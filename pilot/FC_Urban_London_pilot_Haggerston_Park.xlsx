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Pilot offer" sheetId="2" state="visible" r:id="rId2"/>
    <sheet name="Venues" sheetId="3" state="visible" r:id="rId3"/>
    <sheet name="Slots" sheetId="4" state="visible" r:id="rId4"/>
    <sheet name="Totals" sheetId="5" state="visible" r:id="rId5"/>
    <sheet name="Read me" sheetId="6" state="visible" r:id="rId6"/>
  </sheets>
  <definedNames>
    <definedName name="_xlnm._FilterDatabase" localSheetId="0" hidden="1">'Outreach'!$A$2:$AM$698</definedName>
    <definedName name="_xlnm._FilterDatabase" localSheetId="3" hidden="1">'Slots'!$A$1:$R$90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ddd d mmm yyyy hh:mm"/>
    <numFmt numFmtId="165" formatCode="£#,##0.00;-£#,##0.00;-"/>
    <numFmt numFmtId="166" formatCode="ddd d mmm yyyy"/>
    <numFmt numFmtId="167" formatCode="hh:mm"/>
    <numFmt numFmtId="168" formatCode="0.0%;-0.0%;-"/>
    <numFmt numFmtId="169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color rgb="001155CC"/>
      <sz val="10"/>
      <u val="single"/>
    </font>
    <font>
      <name val="Arial"/>
      <color rgb="00008000"/>
      <sz val="10"/>
    </font>
    <font>
      <name val="Arial"/>
      <b val="1"/>
      <sz val="14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2F5496"/>
      </patternFill>
    </fill>
    <fill>
      <patternFill patternType="solid">
        <fgColor rgb="00548235"/>
      </patternFill>
    </fill>
    <fill>
      <patternFill patternType="solid">
        <fgColor rgb="007F6000"/>
      </patternFill>
    </fill>
    <fill>
      <patternFill patternType="solid">
        <fgColor rgb="00C55A11"/>
      </patternFill>
    </fill>
    <fill>
      <patternFill patternType="solid">
        <fgColor rgb="00BF9000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" fillId="5" borderId="0" applyAlignment="1" pivotButton="0" quotePrefix="0" xfId="0">
      <alignment horizontal="left" vertical="center"/>
    </xf>
    <xf numFmtId="0" fontId="0" fillId="5" borderId="0" pivotButton="0" quotePrefix="0" xfId="0"/>
    <xf numFmtId="0" fontId="1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1" fillId="7" borderId="0" applyAlignment="1" pivotButton="0" quotePrefix="0" xfId="0">
      <alignment horizontal="left" vertical="center"/>
    </xf>
    <xf numFmtId="0" fontId="0" fillId="7" borderId="0" pivotButton="0" quotePrefix="0" xfId="0"/>
    <xf numFmtId="0" fontId="1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" fillId="2" borderId="0" applyAlignment="1" pivotButton="0" quotePrefix="0" xfId="0">
      <alignment vertical="center" wrapText="1"/>
    </xf>
    <xf numFmtId="0" fontId="7" fillId="3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164" fontId="5" fillId="0" borderId="1" applyAlignment="1" pivotButton="0" quotePrefix="0" xfId="0">
      <alignment vertical="top"/>
    </xf>
    <xf numFmtId="165" fontId="5" fillId="0" borderId="1" applyAlignment="1" pivotButton="0" quotePrefix="0" xfId="0">
      <alignment vertical="top"/>
    </xf>
    <xf numFmtId="166" fontId="0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3" fillId="3" borderId="0" applyAlignment="1" pivotButton="0" quotePrefix="0" xfId="0">
      <alignment vertical="top" wrapText="1"/>
    </xf>
    <xf numFmtId="166" fontId="3" fillId="3" borderId="0" applyAlignment="1" pivotButton="0" quotePrefix="0" xfId="0">
      <alignment vertical="top" wrapText="1"/>
    </xf>
    <xf numFmtId="167" fontId="3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5" fontId="3" fillId="3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168" fontId="2" fillId="0" borderId="0" applyAlignment="1" pivotButton="0" quotePrefix="0" xfId="0">
      <alignment vertical="top" wrapText="1"/>
    </xf>
    <xf numFmtId="0" fontId="2" fillId="0" borderId="1" pivotButton="0" quotePrefix="0" xfId="0"/>
    <xf numFmtId="166" fontId="2" fillId="0" borderId="1" pivotButton="0" quotePrefix="0" xfId="0"/>
    <xf numFmtId="167" fontId="2" fillId="0" borderId="1" pivotButton="0" quotePrefix="0" xfId="0"/>
    <xf numFmtId="164" fontId="2" fillId="0" borderId="1" pivotButton="0" quotePrefix="0" xfId="0"/>
    <xf numFmtId="165" fontId="3" fillId="0" borderId="1" pivotButton="0" quotePrefix="0" xfId="0"/>
    <xf numFmtId="165" fontId="2" fillId="0" borderId="1" pivotButton="0" quotePrefix="0" xfId="0"/>
    <xf numFmtId="0" fontId="4" fillId="0" borderId="1" pivotButton="0" quotePrefix="0" xfId="0"/>
    <xf numFmtId="0" fontId="2" fillId="0" borderId="1" applyAlignment="1" pivotButton="0" quotePrefix="0" xfId="0">
      <alignment vertical="top" wrapText="1"/>
    </xf>
    <xf numFmtId="0" fontId="1" fillId="2" borderId="0" pivotButton="0" quotePrefix="0" xfId="0"/>
    <xf numFmtId="169" fontId="2" fillId="0" borderId="0" pivotButton="0" quotePrefix="0" xfId="0"/>
    <xf numFmtId="0" fontId="1" fillId="2" borderId="0" applyAlignment="1" pivotButton="0" quotePrefix="0" xfId="0">
      <alignment wrapText="1"/>
    </xf>
    <xf numFmtId="0" fontId="2" fillId="3" borderId="0" applyAlignment="1" pivotButton="0" quotePrefix="0" xfId="0">
      <alignment wrapText="1"/>
    </xf>
    <xf numFmtId="166" fontId="2" fillId="3" borderId="0" applyAlignment="1" pivotButton="0" quotePrefix="0" xfId="0">
      <alignment wrapText="1"/>
    </xf>
    <xf numFmtId="164" fontId="5" fillId="0" borderId="1" applyAlignment="1" pivotButton="0" quotePrefix="0" xfId="0">
      <alignment vertical="top"/>
    </xf>
    <xf numFmtId="165" fontId="5" fillId="0" borderId="1" applyAlignment="1" pivotButton="0" quotePrefix="0" xfId="0">
      <alignment vertical="top"/>
    </xf>
    <xf numFmtId="166" fontId="0" fillId="0" borderId="0" pivotButton="0" quotePrefix="0" xfId="0"/>
    <xf numFmtId="166" fontId="3" fillId="3" borderId="0" applyAlignment="1" pivotButton="0" quotePrefix="0" xfId="0">
      <alignment vertical="top" wrapText="1"/>
    </xf>
    <xf numFmtId="167" fontId="3" fillId="3" borderId="0" applyAlignment="1" pivotButton="0" quotePrefix="0" xfId="0">
      <alignment vertical="top" wrapText="1"/>
    </xf>
    <xf numFmtId="165" fontId="3" fillId="3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168" fontId="2" fillId="0" borderId="0" applyAlignment="1" pivotButton="0" quotePrefix="0" xfId="0">
      <alignment vertical="top" wrapText="1"/>
    </xf>
    <xf numFmtId="166" fontId="2" fillId="0" borderId="1" pivotButton="0" quotePrefix="0" xfId="0"/>
    <xf numFmtId="167" fontId="2" fillId="0" borderId="1" pivotButton="0" quotePrefix="0" xfId="0"/>
    <xf numFmtId="164" fontId="2" fillId="0" borderId="1" pivotButton="0" quotePrefix="0" xfId="0"/>
    <xf numFmtId="165" fontId="3" fillId="0" borderId="1" pivotButton="0" quotePrefix="0" xfId="0"/>
    <xf numFmtId="165" fontId="2" fillId="0" borderId="1" pivotButton="0" quotePrefix="0" xfId="0"/>
    <xf numFmtId="169" fontId="2" fillId="0" borderId="0" pivotButton="0" quotePrefix="0" xfId="0"/>
    <xf numFmtId="166" fontId="2" fillId="3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FC Urban</author>
    <author>Pilot ticket</author>
  </authors>
  <commentList>
    <comment ref="S2" authorId="0" shapeId="0">
      <text>
        <t>Rule: the tagged venue if it has instantly or request-bookable after-work slots (COLA, Old St, Hackney, Shoreditch Rooftop, Market Road); otherwise COLA Shoreditch Park, the nearest venue to Haggerston with the most open slots.</t>
      </text>
    </comment>
    <comment ref="W2" authorId="0" shapeId="0">
      <text>
        <t>Switches to the Haggerston Park slot automatically once Pilot offer › "Pilot ready" says Yes.</t>
      </text>
    </comment>
    <comment ref="AK2" authorId="1" shapeId="0">
      <text>
        <t>Only when they see FC Urban as a competitor. Ask: "Which part of this offer feels like we would take over your group?" Record their words verbatim.</t>
      </text>
    </comment>
  </commentList>
</comments>
</file>

<file path=xl/comments/comment2.xml><?xml version="1.0" encoding="utf-8"?>
<comments xmlns="http://schemas.openxmlformats.org/spreadsheetml/2006/main">
  <authors>
    <author>FC Urban</author>
  </authors>
  <commentList>
    <comment ref="J1" authorId="0" shapeId="0">
      <text>
        <t>Whole-pitch price per slot as listed by the venue, checked 24 Sep 2026. "Price-from" at enni.space venues.</t>
      </text>
    </comment>
    <comment ref="K1" authorId="0" shapeId="0">
      <text>
        <t>Stepney 3G is run by BookMyPitch as pay-per-player games (£3 off-peak 17:30, £5 peak). Source: Claude in Chrome check, 24 Sep 2026.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pellicci.co.uk/" TargetMode="External" Id="rId1" /><Relationship Type="http://schemas.openxmlformats.org/officeDocument/2006/relationships/hyperlink" Target="http://www.trottersjewellers.com/" TargetMode="External" Id="rId2" /><Relationship Type="http://schemas.openxmlformats.org/officeDocument/2006/relationships/hyperlink" Target="https://www.crafted-social.co.uk/old-george-bethnal-green" TargetMode="External" Id="rId3" /><Relationship Type="http://schemas.openxmlformats.org/officeDocument/2006/relationships/hyperlink" Target="https://www.thesuntavern.co.uk/" TargetMode="External" Id="rId4" /><Relationship Type="http://schemas.openxmlformats.org/officeDocument/2006/relationships/hyperlink" Target="https://www.hostelle.co.uk/" TargetMode="External" Id="rId5" /><Relationship Type="http://schemas.openxmlformats.org/officeDocument/2006/relationships/hyperlink" Target="https://backyardcomedyclub.co.uk/" TargetMode="External" Id="rId6" /><Relationship Type="http://schemas.openxmlformats.org/officeDocument/2006/relationships/hyperlink" Target="https://www.threecoltstavern.co.uk/" TargetMode="External" Id="rId7" /><Relationship Type="http://schemas.openxmlformats.org/officeDocument/2006/relationships/hyperlink" Target="https://www.darulhadis.org.uk/" TargetMode="External" Id="rId8" /><Relationship Type="http://schemas.openxmlformats.org/officeDocument/2006/relationships/hyperlink" Target="https://qualitydrycleaners.org.uk/" TargetMode="External" Id="rId9" /><Relationship Type="http://schemas.openxmlformats.org/officeDocument/2006/relationships/hyperlink" Target="https://www.bangabandhu.towerhamlets.sch.uk/" TargetMode="External" Id="rId10" /><Relationship Type="http://schemas.openxmlformats.org/officeDocument/2006/relationships/hyperlink" Target="https://www.bonner.towerhamlets.sch.uk/" TargetMode="External" Id="rId11" /><Relationship Type="http://schemas.openxmlformats.org/officeDocument/2006/relationships/hyperlink" Target="https://www.brsconsulting.co.uk/" TargetMode="External" Id="rId12" /><Relationship Type="http://schemas.openxmlformats.org/officeDocument/2006/relationships/hyperlink" Target="https://www.fourcornersfilm.co.uk/" TargetMode="External" Id="rId13" /><Relationship Type="http://schemas.openxmlformats.org/officeDocument/2006/relationships/hyperlink" Target="https://www.paradisecycles.co.uk/" TargetMode="External" Id="rId14" /><Relationship Type="http://schemas.openxmlformats.org/officeDocument/2006/relationships/hyperlink" Target="https://www.keystonesltd.co.uk/" TargetMode="External" Id="rId15" /><Relationship Type="http://schemas.openxmlformats.org/officeDocument/2006/relationships/hyperlink" Target="https://www.williamdavis.org.uk/" TargetMode="External" Id="rId16" /><Relationship Type="http://schemas.openxmlformats.org/officeDocument/2006/relationships/hyperlink" Target="https://www.crafted.co.uk/" TargetMode="External" Id="rId17" /><Relationship Type="http://schemas.openxmlformats.org/officeDocument/2006/relationships/hyperlink" Target="https://transparentdigitalservices.com/" TargetMode="External" Id="rId18" /><Relationship Type="http://schemas.openxmlformats.org/officeDocument/2006/relationships/hyperlink" Target="http://www.oxfordhouse.org.uk/" TargetMode="External" Id="rId19" /><Relationship Type="http://schemas.openxmlformats.org/officeDocument/2006/relationships/hyperlink" Target="https://eastendprinters.co.uk/" TargetMode="External" Id="rId20" /><Relationship Type="http://schemas.openxmlformats.org/officeDocument/2006/relationships/hyperlink" Target="https://workersplaytime.net/" TargetMode="External" Id="rId21" /><Relationship Type="http://schemas.openxmlformats.org/officeDocument/2006/relationships/hyperlink" Target="https://oaklands.towerhamlets.sch.uk/" TargetMode="External" Id="rId22" /><Relationship Type="http://schemas.openxmlformats.org/officeDocument/2006/relationships/hyperlink" Target="http://www.thecommone2.com" TargetMode="External" Id="rId23" /><Relationship Type="http://schemas.openxmlformats.org/officeDocument/2006/relationships/hyperlink" Target="https://www.aportugueseloveaffair.co.uk/" TargetMode="External" Id="rId24" /><Relationship Type="http://schemas.openxmlformats.org/officeDocument/2006/relationships/hyperlink" Target="http://www.meetsmallworld.com/" TargetMode="External" Id="rId25" /><Relationship Type="http://schemas.openxmlformats.org/officeDocument/2006/relationships/hyperlink" Target="https://baolondon.com/" TargetMode="External" Id="rId26" /><Relationship Type="http://schemas.openxmlformats.org/officeDocument/2006/relationships/hyperlink" Target="https://www.mildmay.org/" TargetMode="External" Id="rId27" /><Relationship Type="http://schemas.openxmlformats.org/officeDocument/2006/relationships/hyperlink" Target="https://theumbrellaproject.co.uk/" TargetMode="External" Id="rId28" /><Relationship Type="http://schemas.openxmlformats.org/officeDocument/2006/relationships/hyperlink" Target="https://facebarlondon.com/" TargetMode="External" Id="rId29" /><Relationship Type="http://schemas.openxmlformats.org/officeDocument/2006/relationships/hyperlink" Target="https://sct.org.uk/social-enterprises/paper-cup/" TargetMode="External" Id="rId30" /><Relationship Type="http://schemas.openxmlformats.org/officeDocument/2006/relationships/hyperlink" Target="https://www.odysseymalegrooming.com/" TargetMode="External" Id="rId31" /><Relationship Type="http://schemas.openxmlformats.org/officeDocument/2006/relationships/hyperlink" Target="https://idle-moments.com/" TargetMode="External" Id="rId32" /><Relationship Type="http://schemas.openxmlformats.org/officeDocument/2006/relationships/hyperlink" Target="https://www.brawn.co/" TargetMode="External" Id="rId33" /><Relationship Type="http://schemas.openxmlformats.org/officeDocument/2006/relationships/hyperlink" Target="https://www.cement-tiles.com/" TargetMode="External" Id="rId34" /><Relationship Type="http://schemas.openxmlformats.org/officeDocument/2006/relationships/hyperlink" Target="https://playvinyl.london/" TargetMode="External" Id="rId35" /><Relationship Type="http://schemas.openxmlformats.org/officeDocument/2006/relationships/hyperlink" Target="https://www.thenelsonspub.com/" TargetMode="External" Id="rId36" /><Relationship Type="http://schemas.openxmlformats.org/officeDocument/2006/relationships/hyperlink" Target="https://www.indiangreedycow.co.uk/" TargetMode="External" Id="rId37" /><Relationship Type="http://schemas.openxmlformats.org/officeDocument/2006/relationships/hyperlink" Target="https://provisionslondon.co.uk/" TargetMode="External" Id="rId38" /><Relationship Type="http://schemas.openxmlformats.org/officeDocument/2006/relationships/hyperlink" Target="https://mixologyevents.co.uk/classes/cocktail-making-classes-london/" TargetMode="External" Id="rId39" /><Relationship Type="http://schemas.openxmlformats.org/officeDocument/2006/relationships/hyperlink" Target="https://www.gramndegrees.co.uk/" TargetMode="External" Id="rId40" /><Relationship Type="http://schemas.openxmlformats.org/officeDocument/2006/relationships/hyperlink" Target="https://longdan.co.uk/" TargetMode="External" Id="rId41" /><Relationship Type="http://schemas.openxmlformats.org/officeDocument/2006/relationships/hyperlink" Target="http://www.umaworkspace.co.uk/" TargetMode="External" Id="rId42" /><Relationship Type="http://schemas.openxmlformats.org/officeDocument/2006/relationships/hyperlink" Target="https://www.thesteamroom.cleaning/our-story" TargetMode="External" Id="rId43" /><Relationship Type="http://schemas.openxmlformats.org/officeDocument/2006/relationships/hyperlink" Target="https://www.tbah.uk/" TargetMode="External" Id="rId44" /><Relationship Type="http://schemas.openxmlformats.org/officeDocument/2006/relationships/hyperlink" Target="https://www.laburnumboatclub.com/" TargetMode="External" Id="rId45" /><Relationship Type="http://schemas.openxmlformats.org/officeDocument/2006/relationships/hyperlink" Target="https://www.eastwestlondon.com" TargetMode="External" Id="rId46" /><Relationship Type="http://schemas.openxmlformats.org/officeDocument/2006/relationships/hyperlink" Target="https://www.gyroslab.com/" TargetMode="External" Id="rId47" /><Relationship Type="http://schemas.openxmlformats.org/officeDocument/2006/relationships/hyperlink" Target="https://www.tower-london.com/" TargetMode="External" Id="rId48" /><Relationship Type="http://schemas.openxmlformats.org/officeDocument/2006/relationships/hyperlink" Target="https://www.centralhoxton.com/" TargetMode="External" Id="rId49" /><Relationship Type="http://schemas.openxmlformats.org/officeDocument/2006/relationships/hyperlink" Target="https://www.thegroceryshop.co.uk/" TargetMode="External" Id="rId50" /><Relationship Type="http://schemas.openxmlformats.org/officeDocument/2006/relationships/hyperlink" Target="https://aazzagency.co.uk/" TargetMode="External" Id="rId51" /><Relationship Type="http://schemas.openxmlformats.org/officeDocument/2006/relationships/hyperlink" Target="https://charlesluf.com/" TargetMode="External" Id="rId52" /><Relationship Type="http://schemas.openxmlformats.org/officeDocument/2006/relationships/hyperlink" Target="https://www.museumofthehome.org.uk/" TargetMode="External" Id="rId53" /><Relationship Type="http://schemas.openxmlformats.org/officeDocument/2006/relationships/hyperlink" Target="https://arcaniststavern.uk/" TargetMode="External" Id="rId54" /><Relationship Type="http://schemas.openxmlformats.org/officeDocument/2006/relationships/hyperlink" Target="https://www.centre151.com/" TargetMode="External" Id="rId55" /><Relationship Type="http://schemas.openxmlformats.org/officeDocument/2006/relationships/hyperlink" Target="https://www.butcherssalon.com" TargetMode="External" Id="rId56" /><Relationship Type="http://schemas.openxmlformats.org/officeDocument/2006/relationships/hyperlink" Target="https://gaiabistro.co.uk/" TargetMode="External" Id="rId57" /><Relationship Type="http://schemas.openxmlformats.org/officeDocument/2006/relationships/hyperlink" Target="https://www.legacymartialartslondon.co.uk/" TargetMode="External" Id="rId58" /><Relationship Type="http://schemas.openxmlformats.org/officeDocument/2006/relationships/hyperlink" Target="https://www.biopak.com/uk" TargetMode="External" Id="rId59" /><Relationship Type="http://schemas.openxmlformats.org/officeDocument/2006/relationships/hyperlink" Target="https://www.magnetic-london.co.uk/?utm_source=google&amp;utm_medium=wix_google_business_profile&amp;utm_campaign=13745144260154332613" TargetMode="External" Id="rId60" /><Relationship Type="http://schemas.openxmlformats.org/officeDocument/2006/relationships/hyperlink" Target="https://outsetstudio.com/" TargetMode="External" Id="rId61" /><Relationship Type="http://schemas.openxmlformats.org/officeDocument/2006/relationships/hyperlink" Target="https://docklandsacc.com/" TargetMode="External" Id="rId62" /><Relationship Type="http://schemas.openxmlformats.org/officeDocument/2006/relationships/hyperlink" Target="https://jacksonsframing.co.uk" TargetMode="External" Id="rId63" /><Relationship Type="http://schemas.openxmlformats.org/officeDocument/2006/relationships/hyperlink" Target="http://hundredyearsgallery.co.uk/" TargetMode="External" Id="rId64" /><Relationship Type="http://schemas.openxmlformats.org/officeDocument/2006/relationships/hyperlink" Target="https://lovevinyl.net/" TargetMode="External" Id="rId65" /><Relationship Type="http://schemas.openxmlformats.org/officeDocument/2006/relationships/hyperlink" Target="https://www.chilledconsulting.com/" TargetMode="External" Id="rId66" /><Relationship Type="http://schemas.openxmlformats.org/officeDocument/2006/relationships/hyperlink" Target="http://grammatikagency.com/" TargetMode="External" Id="rId67" /><Relationship Type="http://schemas.openxmlformats.org/officeDocument/2006/relationships/hyperlink" Target="https://shoreditch-exchange.com/" TargetMode="External" Id="rId68" /><Relationship Type="http://schemas.openxmlformats.org/officeDocument/2006/relationships/hyperlink" Target="https://www.sagerandwilde.com/" TargetMode="External" Id="rId69" /><Relationship Type="http://schemas.openxmlformats.org/officeDocument/2006/relationships/hyperlink" Target="https://www.premisesstudios.com/cafe/" TargetMode="External" Id="rId70" /><Relationship Type="http://schemas.openxmlformats.org/officeDocument/2006/relationships/hyperlink" Target="https://www.haggerstoncst.org/" TargetMode="External" Id="rId71" /><Relationship Type="http://schemas.openxmlformats.org/officeDocument/2006/relationships/hyperlink" Target="https://www.equalpartslondon.com/" TargetMode="External" Id="rId72" /><Relationship Type="http://schemas.openxmlformats.org/officeDocument/2006/relationships/hyperlink" Target="https://fishplanetlondon.co.uk/" TargetMode="External" Id="rId73" /><Relationship Type="http://schemas.openxmlformats.org/officeDocument/2006/relationships/hyperlink" Target="https://frizzanterestaurant.com/" TargetMode="External" Id="rId74" /><Relationship Type="http://schemas.openxmlformats.org/officeDocument/2006/relationships/hyperlink" Target="https://www.sebright.hackney.sch.uk/" TargetMode="External" Id="rId75" /><Relationship Type="http://schemas.openxmlformats.org/officeDocument/2006/relationships/hyperlink" Target="https://www.gauchoworld.com/" TargetMode="External" Id="rId76" /><Relationship Type="http://schemas.openxmlformats.org/officeDocument/2006/relationships/hyperlink" Target="https://www.chrysanth.london/" TargetMode="External" Id="rId77" /><Relationship Type="http://schemas.openxmlformats.org/officeDocument/2006/relationships/hyperlink" Target="https://www.yoyorecordslondon.com/" TargetMode="External" Id="rId78" /><Relationship Type="http://schemas.openxmlformats.org/officeDocument/2006/relationships/hyperlink" Target="https://www.fitness4less.co.uk/location/cambridge/" TargetMode="External" Id="rId79" /><Relationship Type="http://schemas.openxmlformats.org/officeDocument/2006/relationships/hyperlink" Target="https://www.eyepresent.co.uk/" TargetMode="External" Id="rId80" /><Relationship Type="http://schemas.openxmlformats.org/officeDocument/2006/relationships/hyperlink" Target="https://www.hollandharvey.com/" TargetMode="External" Id="rId81" /><Relationship Type="http://schemas.openxmlformats.org/officeDocument/2006/relationships/hyperlink" Target="https://www.squintopera.com/" TargetMode="External" Id="rId82" /><Relationship Type="http://schemas.openxmlformats.org/officeDocument/2006/relationships/hyperlink" Target="https://www.hackney-cycles.co.uk/" TargetMode="External" Id="rId83" /><Relationship Type="http://schemas.openxmlformats.org/officeDocument/2006/relationships/hyperlink" Target="https://www.thequeenadelaide.com/" TargetMode="External" Id="rId84" /><Relationship Type="http://schemas.openxmlformats.org/officeDocument/2006/relationships/hyperlink" Target="https://www.iamwithceleste.com/" TargetMode="External" Id="rId85" /><Relationship Type="http://schemas.openxmlformats.org/officeDocument/2006/relationships/hyperlink" Target="http://www.containerville.co.uk/" TargetMode="External" Id="rId86" /><Relationship Type="http://schemas.openxmlformats.org/officeDocument/2006/relationships/hyperlink" Target="https://www.loveshackldn.com/" TargetMode="External" Id="rId87" /><Relationship Type="http://schemas.openxmlformats.org/officeDocument/2006/relationships/hyperlink" Target="https://www.mowlem.towerhamlets.sch.uk/" TargetMode="External" Id="rId88" /><Relationship Type="http://schemas.openxmlformats.org/officeDocument/2006/relationships/hyperlink" Target="https://www.gatehouseschool.co.uk/" TargetMode="External" Id="rId89" /><Relationship Type="http://schemas.openxmlformats.org/officeDocument/2006/relationships/hyperlink" Target="http://www.thedundeearms.com/" TargetMode="External" Id="rId90" /><Relationship Type="http://schemas.openxmlformats.org/officeDocument/2006/relationships/hyperlink" Target="https://www.st-johns.towerhamlets.sch.uk/" TargetMode="External" Id="rId91" /><Relationship Type="http://schemas.openxmlformats.org/officeDocument/2006/relationships/hyperlink" Target="https://theapproachtavern.co.uk/" TargetMode="External" Id="rId92" /><Relationship Type="http://schemas.openxmlformats.org/officeDocument/2006/relationships/hyperlink" Target="https://www.thesolo.co.uk/" TargetMode="External" Id="rId93" /><Relationship Type="http://schemas.openxmlformats.org/officeDocument/2006/relationships/hyperlink" Target="https://www.vam.ac.uk/young" TargetMode="External" Id="rId94" /><Relationship Type="http://schemas.openxmlformats.org/officeDocument/2006/relationships/hyperlink" Target="https://www.stmargaretshouse.org.uk/the-gallery-cafe" TargetMode="External" Id="rId95" /><Relationship Type="http://schemas.openxmlformats.org/officeDocument/2006/relationships/hyperlink" Target="https://peoplesletters.org/" TargetMode="External" Id="rId96" /><Relationship Type="http://schemas.openxmlformats.org/officeDocument/2006/relationships/hyperlink" Target="https://www.burntrestaurant.co.uk/burnt-arches" TargetMode="External" Id="rId97" /><Relationship Type="http://schemas.openxmlformats.org/officeDocument/2006/relationships/hyperlink" Target="https://www.vaginamuseum.co.uk/" TargetMode="External" Id="rId98" /><Relationship Type="http://schemas.openxmlformats.org/officeDocument/2006/relationships/hyperlink" Target="https://www.mpa.mossbourne.org/" TargetMode="External" Id="rId99" /><Relationship Type="http://schemas.openxmlformats.org/officeDocument/2006/relationships/hyperlink" Target="https://www.tealbysallyabe.com/" TargetMode="External" Id="rId100" /><Relationship Type="http://schemas.openxmlformats.org/officeDocument/2006/relationships/hyperlink" Target="https://www.suttonandsons.co.uk/" TargetMode="External" Id="rId101" /><Relationship Type="http://schemas.openxmlformats.org/officeDocument/2006/relationships/hyperlink" Target="https://breadandbuttercollection.com/pages/photo" TargetMode="External" Id="rId102" /><Relationship Type="http://schemas.openxmlformats.org/officeDocument/2006/relationships/hyperlink" Target="https://hackneychurchbrew.co" TargetMode="External" Id="rId103" /><Relationship Type="http://schemas.openxmlformats.org/officeDocument/2006/relationships/hyperlink" Target="https://nighttales.co.uk" TargetMode="External" Id="rId104" /><Relationship Type="http://schemas.openxmlformats.org/officeDocument/2006/relationships/hyperlink" Target="https://weareveganeverything.com/" TargetMode="External" Id="rId105" /><Relationship Type="http://schemas.openxmlformats.org/officeDocument/2006/relationships/hyperlink" Target="https://www.zelobike.co.uk/" TargetMode="External" Id="rId106" /><Relationship Type="http://schemas.openxmlformats.org/officeDocument/2006/relationships/hyperlink" Target="https://www.picturehouses.com/cinema/Hackney_Picturehouse" TargetMode="External" Id="rId107" /><Relationship Type="http://schemas.openxmlformats.org/officeDocument/2006/relationships/hyperlink" Target="http://www.limiteepr.com/" TargetMode="External" Id="rId108" /><Relationship Type="http://schemas.openxmlformats.org/officeDocument/2006/relationships/hyperlink" Target="https://mainyardstudios.co.uk/hackney-office-music-studio/" TargetMode="External" Id="rId109" /><Relationship Type="http://schemas.openxmlformats.org/officeDocument/2006/relationships/hyperlink" Target="https://rbnsolicitors.co.uk/" TargetMode="External" Id="rId110" /><Relationship Type="http://schemas.openxmlformats.org/officeDocument/2006/relationships/hyperlink" Target="https://www.thecrownhackney.co.uk/" TargetMode="External" Id="rId111" /><Relationship Type="http://schemas.openxmlformats.org/officeDocument/2006/relationships/hyperlink" Target="https://hackneystylecouncil.com/" TargetMode="External" Id="rId112" /><Relationship Type="http://schemas.openxmlformats.org/officeDocument/2006/relationships/hyperlink" Target="https://www.paperdressvintage.co.uk/" TargetMode="External" Id="rId113" /><Relationship Type="http://schemas.openxmlformats.org/officeDocument/2006/relationships/hyperlink" Target="https://seaweed-food.co.uk" TargetMode="External" Id="rId114" /><Relationship Type="http://schemas.openxmlformats.org/officeDocument/2006/relationships/hyperlink" Target="https://www.mcdonalds.com/gb/en-gb/location/hackney/hackney/359363-mare-street/8260109.html" TargetMode="External" Id="rId115" /><Relationship Type="http://schemas.openxmlformats.org/officeDocument/2006/relationships/hyperlink" Target="https://www.palaette.co.uk/" TargetMode="External" Id="rId116" /><Relationship Type="http://schemas.openxmlformats.org/officeDocument/2006/relationships/hyperlink" Target="https://pemburytavern.co.uk/" TargetMode="External" Id="rId117" /><Relationship Type="http://schemas.openxmlformats.org/officeDocument/2006/relationships/hyperlink" Target="https://getsomekip.com/" TargetMode="External" Id="rId118" /><Relationship Type="http://schemas.openxmlformats.org/officeDocument/2006/relationships/hyperlink" Target="https://printclublondon.com/millers-junction-creative-deskspace/" TargetMode="External" Id="rId119" /><Relationship Type="http://schemas.openxmlformats.org/officeDocument/2006/relationships/hyperlink" Target="http://www.regnumsolicitors.com/" TargetMode="External" Id="rId120" /><Relationship Type="http://schemas.openxmlformats.org/officeDocument/2006/relationships/hyperlink" Target="https://bhattmurphy.co.uk/" TargetMode="External" Id="rId121" /><Relationship Type="http://schemas.openxmlformats.org/officeDocument/2006/relationships/hyperlink" Target="https://www.casafofolondon.co.uk/" TargetMode="External" Id="rId122" /><Relationship Type="http://schemas.openxmlformats.org/officeDocument/2006/relationships/hyperlink" Target="http://www.swan.marketing/" TargetMode="External" Id="rId123" /><Relationship Type="http://schemas.openxmlformats.org/officeDocument/2006/relationships/hyperlink" Target="http://www.progresstax.co.uk/" TargetMode="External" Id="rId124" /><Relationship Type="http://schemas.openxmlformats.org/officeDocument/2006/relationships/hyperlink" Target="https://hcvs.org.uk/" TargetMode="External" Id="rId125" /><Relationship Type="http://schemas.openxmlformats.org/officeDocument/2006/relationships/hyperlink" Target="https://www.theprincearthure8.com/" TargetMode="External" Id="rId126" /><Relationship Type="http://schemas.openxmlformats.org/officeDocument/2006/relationships/hyperlink" Target="http://www.caferoute.co.uk/" TargetMode="External" Id="rId127" /><Relationship Type="http://schemas.openxmlformats.org/officeDocument/2006/relationships/hyperlink" Target="https://www.newcomerwines.com" TargetMode="External" Id="rId128" /><Relationship Type="http://schemas.openxmlformats.org/officeDocument/2006/relationships/hyperlink" Target="https://www.arcolatheatre.com/" TargetMode="External" Id="rId129" /><Relationship Type="http://schemas.openxmlformats.org/officeDocument/2006/relationships/hyperlink" Target="http://www.fairfinance.org.uk/" TargetMode="External" Id="rId130" /><Relationship Type="http://schemas.openxmlformats.org/officeDocument/2006/relationships/hyperlink" Target="http://www.v22collection.com/v22-dalston/" TargetMode="External" Id="rId131" /><Relationship Type="http://schemas.openxmlformats.org/officeDocument/2006/relationships/hyperlink" Target="https://www.gayhurst.hackney.sch.uk/" TargetMode="External" Id="rId132" /><Relationship Type="http://schemas.openxmlformats.org/officeDocument/2006/relationships/hyperlink" Target="https://hoxtonbeach.com/" TargetMode="External" Id="rId133" /><Relationship Type="http://schemas.openxmlformats.org/officeDocument/2006/relationships/hyperlink" Target="https://www.better.org.uk/leisure-centre/london/hackney/london-fields-lido" TargetMode="External" Id="rId134" /><Relationship Type="http://schemas.openxmlformats.org/officeDocument/2006/relationships/hyperlink" Target="https://gympods.com/about/dalston" TargetMode="External" Id="rId135" /><Relationship Type="http://schemas.openxmlformats.org/officeDocument/2006/relationships/hyperlink" Target="https://www.dreamrandom.com/" TargetMode="External" Id="rId136" /><Relationship Type="http://schemas.openxmlformats.org/officeDocument/2006/relationships/hyperlink" Target="https://ramenclub.com/ramen-space" TargetMode="External" Id="rId137" /><Relationship Type="http://schemas.openxmlformats.org/officeDocument/2006/relationships/hyperlink" Target="https://www.rumble.fitness/Dalston" TargetMode="External" Id="rId138" /><Relationship Type="http://schemas.openxmlformats.org/officeDocument/2006/relationships/hyperlink" Target="https://www.turtlebay.co.uk/" TargetMode="External" Id="rId139" /><Relationship Type="http://schemas.openxmlformats.org/officeDocument/2006/relationships/hyperlink" Target="https://www.thegoodfrontroom.co.uk/" TargetMode="External" Id="rId140" /><Relationship Type="http://schemas.openxmlformats.org/officeDocument/2006/relationships/hyperlink" Target="https://www.grantcolson.co.uk/" TargetMode="External" Id="rId141" /><Relationship Type="http://schemas.openxmlformats.org/officeDocument/2006/relationships/hyperlink" Target="https://www.thetomlinsoncentre.co.uk/" TargetMode="External" Id="rId142" /><Relationship Type="http://schemas.openxmlformats.org/officeDocument/2006/relationships/hyperlink" Target="https://www.emeraldlife.co.uk/" TargetMode="External" Id="rId143" /><Relationship Type="http://schemas.openxmlformats.org/officeDocument/2006/relationships/hyperlink" Target="https://www.pophamsbakery.com/" TargetMode="External" Id="rId144" /><Relationship Type="http://schemas.openxmlformats.org/officeDocument/2006/relationships/hyperlink" Target="https://pubonthepark.com/" TargetMode="External" Id="rId145" /><Relationship Type="http://schemas.openxmlformats.org/officeDocument/2006/relationships/hyperlink" Target="https://hotpodyoga.com/studios/hackney/" TargetMode="External" Id="rId146" /><Relationship Type="http://schemas.openxmlformats.org/officeDocument/2006/relationships/hyperlink" Target="https://thefinecider.company/" TargetMode="External" Id="rId147" /><Relationship Type="http://schemas.openxmlformats.org/officeDocument/2006/relationships/hyperlink" Target="https://fastmot.com/" TargetMode="External" Id="rId148" /><Relationship Type="http://schemas.openxmlformats.org/officeDocument/2006/relationships/hyperlink" Target="https://www.londonfieldsbottega.co.uk/" TargetMode="External" Id="rId149" /><Relationship Type="http://schemas.openxmlformats.org/officeDocument/2006/relationships/hyperlink" Target="https://floomcreative.co.uk/" TargetMode="External" Id="rId150" /><Relationship Type="http://schemas.openxmlformats.org/officeDocument/2006/relationships/hyperlink" Target="https://www.braziliancentre.co.uk/" TargetMode="External" Id="rId151" /><Relationship Type="http://schemas.openxmlformats.org/officeDocument/2006/relationships/hyperlink" Target="https://bronsonsburgers.co.uk/" TargetMode="External" Id="rId152" /><Relationship Type="http://schemas.openxmlformats.org/officeDocument/2006/relationships/hyperlink" Target="https://www.e-z-8.com/" TargetMode="External" Id="rId153" /><Relationship Type="http://schemas.openxmlformats.org/officeDocument/2006/relationships/hyperlink" Target="https://secretsmokehouse.co.uk/" TargetMode="External" Id="rId154" /><Relationship Type="http://schemas.openxmlformats.org/officeDocument/2006/relationships/hyperlink" Target="https://www.bloodlinegym.com/" TargetMode="External" Id="rId155" /><Relationship Type="http://schemas.openxmlformats.org/officeDocument/2006/relationships/hyperlink" Target="https://www.facing-heaven.com/" TargetMode="External" Id="rId156" /><Relationship Type="http://schemas.openxmlformats.org/officeDocument/2006/relationships/hyperlink" Target="https://mu-ldn.com/" TargetMode="External" Id="rId157" /><Relationship Type="http://schemas.openxmlformats.org/officeDocument/2006/relationships/hyperlink" Target="https://burleyfisherbooks.com/" TargetMode="External" Id="rId158" /><Relationship Type="http://schemas.openxmlformats.org/officeDocument/2006/relationships/hyperlink" Target="https://www.faulknersfishandchips.co.uk/" TargetMode="External" Id="rId159" /><Relationship Type="http://schemas.openxmlformats.org/officeDocument/2006/relationships/hyperlink" Target="https://goldsmithpersonnel.co.uk/" TargetMode="External" Id="rId160" /><Relationship Type="http://schemas.openxmlformats.org/officeDocument/2006/relationships/hyperlink" Target="https://www.thejagodalston.com/" TargetMode="External" Id="rId161" /><Relationship Type="http://schemas.openxmlformats.org/officeDocument/2006/relationships/hyperlink" Target="https://brilliantcornerslondon.co.uk/" TargetMode="External" Id="rId162" /><Relationship Type="http://schemas.openxmlformats.org/officeDocument/2006/relationships/hyperlink" Target="https://www.svp.org.uk/" TargetMode="External" Id="rId163" /><Relationship Type="http://schemas.openxmlformats.org/officeDocument/2006/relationships/hyperlink" Target="https://kingslanddental.co.uk" TargetMode="External" Id="rId164" /><Relationship Type="http://schemas.openxmlformats.org/officeDocument/2006/relationships/hyperlink" Target="https://www.hqtherapy.com/" TargetMode="External" Id="rId165" /><Relationship Type="http://schemas.openxmlformats.org/officeDocument/2006/relationships/hyperlink" Target="https://www.playhouseeast.com/" TargetMode="External" Id="rId166" /><Relationship Type="http://schemas.openxmlformats.org/officeDocument/2006/relationships/hyperlink" Target="https://www.mapmaison.com/" TargetMode="External" Id="rId167" /><Relationship Type="http://schemas.openxmlformats.org/officeDocument/2006/relationships/hyperlink" Target="https://www.watersidecst.org" TargetMode="External" Id="rId168" /><Relationship Type="http://schemas.openxmlformats.org/officeDocument/2006/relationships/hyperlink" Target="https://www.terrieragency.com/locations/london/?utm_source=google&amp;utm_medium=organic&amp;utm_campaign=gbp-hackney" TargetMode="External" Id="rId169" /><Relationship Type="http://schemas.openxmlformats.org/officeDocument/2006/relationships/hyperlink" Target="https://www.berberandq.com/" TargetMode="External" Id="rId170" /><Relationship Type="http://schemas.openxmlformats.org/officeDocument/2006/relationships/hyperlink" Target="https://www.signaturebrew.co.uk/pages/the-signature-brew-taproom-venue-in-haggerston-east-london" TargetMode="External" Id="rId171" /><Relationship Type="http://schemas.openxmlformats.org/officeDocument/2006/relationships/hyperlink" Target="https://www.ukitservice.co.uk/" TargetMode="External" Id="rId172" /><Relationship Type="http://schemas.openxmlformats.org/officeDocument/2006/relationships/hyperlink" Target="https://www.queensbridge.hackney.sch.uk/" TargetMode="External" Id="rId173" /><Relationship Type="http://schemas.openxmlformats.org/officeDocument/2006/relationships/hyperlink" Target="http://batch.space/" TargetMode="External" Id="rId174" /><Relationship Type="http://schemas.openxmlformats.org/officeDocument/2006/relationships/hyperlink" Target="https://www.charlesmilnes.co.uk/" TargetMode="External" Id="rId175" /><Relationship Type="http://schemas.openxmlformats.org/officeDocument/2006/relationships/hyperlink" Target="https://www.epochbiodesign.com/" TargetMode="External" Id="rId176" /><Relationship Type="http://schemas.openxmlformats.org/officeDocument/2006/relationships/hyperlink" Target="https://www.finchspub.co.uk/" TargetMode="External" Id="rId177" /><Relationship Type="http://schemas.openxmlformats.org/officeDocument/2006/relationships/hyperlink" Target="https://aviarylondon.com/" TargetMode="External" Id="rId178" /><Relationship Type="http://schemas.openxmlformats.org/officeDocument/2006/relationships/hyperlink" Target="https://www.viasat.com/about/company/locations/?location=uk-london" TargetMode="External" Id="rId179" /><Relationship Type="http://schemas.openxmlformats.org/officeDocument/2006/relationships/hyperlink" Target="https://www.figtreetechnology.co.uk/" TargetMode="External" Id="rId180" /><Relationship Type="http://schemas.openxmlformats.org/officeDocument/2006/relationships/hyperlink" Target="http://www.caceis.com/" TargetMode="External" Id="rId181" /><Relationship Type="http://schemas.openxmlformats.org/officeDocument/2006/relationships/hyperlink" Target="https://flightclubdarts.com/" TargetMode="External" Id="rId182" /><Relationship Type="http://schemas.openxmlformats.org/officeDocument/2006/relationships/hyperlink" Target="https://www.123financials.com/" TargetMode="External" Id="rId183" /><Relationship Type="http://schemas.openxmlformats.org/officeDocument/2006/relationships/hyperlink" Target="https://core.co.uk/" TargetMode="External" Id="rId184" /><Relationship Type="http://schemas.openxmlformats.org/officeDocument/2006/relationships/hyperlink" Target="https://piclo.energy/" TargetMode="External" Id="rId185" /><Relationship Type="http://schemas.openxmlformats.org/officeDocument/2006/relationships/hyperlink" Target="http://www.lighterhr.co.uk/" TargetMode="External" Id="rId186" /><Relationship Type="http://schemas.openxmlformats.org/officeDocument/2006/relationships/hyperlink" Target="http://www.decibeltechnology.com/" TargetMode="External" Id="rId187" /><Relationship Type="http://schemas.openxmlformats.org/officeDocument/2006/relationships/hyperlink" Target="https://onclusive.com/en-gb/" TargetMode="External" Id="rId188" /><Relationship Type="http://schemas.openxmlformats.org/officeDocument/2006/relationships/hyperlink" Target="http://honestlondon.co.uk/" TargetMode="External" Id="rId189" /><Relationship Type="http://schemas.openxmlformats.org/officeDocument/2006/relationships/hyperlink" Target="http://www.ca-cib.com/" TargetMode="External" Id="rId190" /><Relationship Type="http://schemas.openxmlformats.org/officeDocument/2006/relationships/hyperlink" Target="https://duffel.com/" TargetMode="External" Id="rId191" /><Relationship Type="http://schemas.openxmlformats.org/officeDocument/2006/relationships/hyperlink" Target="https://www.lyceumschool.co.uk/" TargetMode="External" Id="rId192" /><Relationship Type="http://schemas.openxmlformats.org/officeDocument/2006/relationships/hyperlink" Target="https://www.lawandlawyers.co.uk/" TargetMode="External" Id="rId193" /><Relationship Type="http://schemas.openxmlformats.org/officeDocument/2006/relationships/hyperlink" Target="http://longarmpub.com/" TargetMode="External" Id="rId194" /><Relationship Type="http://schemas.openxmlformats.org/officeDocument/2006/relationships/hyperlink" Target="https://www.hilldickinson.com/our-locations/london-city/" TargetMode="External" Id="rId195" /><Relationship Type="http://schemas.openxmlformats.org/officeDocument/2006/relationships/hyperlink" Target="https://intercity.technology/" TargetMode="External" Id="rId196" /><Relationship Type="http://schemas.openxmlformats.org/officeDocument/2006/relationships/hyperlink" Target="https://www.rmb.co.uk/" TargetMode="External" Id="rId197" /><Relationship Type="http://schemas.openxmlformats.org/officeDocument/2006/relationships/hyperlink" Target="https://www.huckletree.com/hubs/liverpool-street" TargetMode="External" Id="rId198" /><Relationship Type="http://schemas.openxmlformats.org/officeDocument/2006/relationships/hyperlink" Target="http://www.highwoodsgroup.co.uk/" TargetMode="External" Id="rId199" /><Relationship Type="http://schemas.openxmlformats.org/officeDocument/2006/relationships/hyperlink" Target="https://shoreditch.ballieballerson.com/" TargetMode="External" Id="rId200" /><Relationship Type="http://schemas.openxmlformats.org/officeDocument/2006/relationships/hyperlink" Target="https://www.findmypast.co.uk/" TargetMode="External" Id="rId201" /><Relationship Type="http://schemas.openxmlformats.org/officeDocument/2006/relationships/hyperlink" Target="http://www.newintonacc.com/" TargetMode="External" Id="rId202" /><Relationship Type="http://schemas.openxmlformats.org/officeDocument/2006/relationships/hyperlink" Target="https://artotellondonhoxton.com/" TargetMode="External" Id="rId203" /><Relationship Type="http://schemas.openxmlformats.org/officeDocument/2006/relationships/hyperlink" Target="https://popoloshoreditch.com/" TargetMode="External" Id="rId204" /><Relationship Type="http://schemas.openxmlformats.org/officeDocument/2006/relationships/hyperlink" Target="https://www.butchies.co.uk" TargetMode="External" Id="rId205" /><Relationship Type="http://schemas.openxmlformats.org/officeDocument/2006/relationships/hyperlink" Target="https://www.theoldbluelast.com" TargetMode="External" Id="rId206" /><Relationship Type="http://schemas.openxmlformats.org/officeDocument/2006/relationships/hyperlink" Target="https://www.proteinstudios.com/" TargetMode="External" Id="rId207" /><Relationship Type="http://schemas.openxmlformats.org/officeDocument/2006/relationships/hyperlink" Target="https://www.mackenziewheeler.co.uk/" TargetMode="External" Id="rId208" /><Relationship Type="http://schemas.openxmlformats.org/officeDocument/2006/relationships/hyperlink" Target="https://www.santoremedio.co.uk/" TargetMode="External" Id="rId209" /><Relationship Type="http://schemas.openxmlformats.org/officeDocument/2006/relationships/hyperlink" Target="https://www.hilton.com/en/hotels/lonsdqq-hart-shoreditch-hotel-london/?WT.mc_id=zCBEC0UK1QQ2NaturalSearch3Google_LGHotelListing4DGGeneric_5LocalSearch6LONSDQQ7EN8i92146" TargetMode="External" Id="rId210" /><Relationship Type="http://schemas.openxmlformats.org/officeDocument/2006/relationships/hyperlink" Target="https://www.digivate.com/" TargetMode="External" Id="rId211" /><Relationship Type="http://schemas.openxmlformats.org/officeDocument/2006/relationships/hyperlink" Target="https://makehoney.com" TargetMode="External" Id="rId212" /><Relationship Type="http://schemas.openxmlformats.org/officeDocument/2006/relationships/hyperlink" Target="https://www.tallyworkspace.com/" TargetMode="External" Id="rId213" /><Relationship Type="http://schemas.openxmlformats.org/officeDocument/2006/relationships/hyperlink" Target="https://www.thebrushhoxton.co.uk/" TargetMode="External" Id="rId214" /><Relationship Type="http://schemas.openxmlformats.org/officeDocument/2006/relationships/hyperlink" Target="https://ar-urbanism.com/" TargetMode="External" Id="rId215" /><Relationship Type="http://schemas.openxmlformats.org/officeDocument/2006/relationships/hyperlink" Target="https://eu.tala.co.uk/pages/flagship-showroom" TargetMode="External" Id="rId216" /><Relationship Type="http://schemas.openxmlformats.org/officeDocument/2006/relationships/hyperlink" Target="https://croud.com/en-gb/" TargetMode="External" Id="rId217" /><Relationship Type="http://schemas.openxmlformats.org/officeDocument/2006/relationships/hyperlink" Target="https://kricket.co.uk/shoreditch/" TargetMode="External" Id="rId218" /><Relationship Type="http://schemas.openxmlformats.org/officeDocument/2006/relationships/hyperlink" Target="https://marsdenwoo.com/" TargetMode="External" Id="rId219" /><Relationship Type="http://schemas.openxmlformats.org/officeDocument/2006/relationships/hyperlink" Target="https://www.bottegaprelibato.com/" TargetMode="External" Id="rId220" /><Relationship Type="http://schemas.openxmlformats.org/officeDocument/2006/relationships/hyperlink" Target="https://www.kybelle.co.uk/" TargetMode="External" Id="rId221" /><Relationship Type="http://schemas.openxmlformats.org/officeDocument/2006/relationships/hyperlink" Target="https://www.princes-foundation.org/" TargetMode="External" Id="rId222" /><Relationship Type="http://schemas.openxmlformats.org/officeDocument/2006/relationships/hyperlink" Target="https://www.royaldrawingschool.org/" TargetMode="External" Id="rId223" /><Relationship Type="http://schemas.openxmlformats.org/officeDocument/2006/relationships/hyperlink" Target="https://www.ozonecoffee.co.uk/" TargetMode="External" Id="rId224" /><Relationship Type="http://schemas.openxmlformats.org/officeDocument/2006/relationships/hyperlink" Target="https://tokyobike.co.uk/" TargetMode="External" Id="rId225" /><Relationship Type="http://schemas.openxmlformats.org/officeDocument/2006/relationships/hyperlink" Target="https://www.aethos.com/destinations/london" TargetMode="External" Id="rId226" /><Relationship Type="http://schemas.openxmlformats.org/officeDocument/2006/relationships/hyperlink" Target="http://www.chiumento.co.uk/" TargetMode="External" Id="rId227" /><Relationship Type="http://schemas.openxmlformats.org/officeDocument/2006/relationships/hyperlink" Target="http://consultmyapp.com/" TargetMode="External" Id="rId228" /><Relationship Type="http://schemas.openxmlformats.org/officeDocument/2006/relationships/hyperlink" Target="https://zutec.com/" TargetMode="External" Id="rId229" /><Relationship Type="http://schemas.openxmlformats.org/officeDocument/2006/relationships/hyperlink" Target="http://www.kingsleynapley.co.uk/" TargetMode="External" Id="rId230" /><Relationship Type="http://schemas.openxmlformats.org/officeDocument/2006/relationships/hyperlink" Target="https://www.tugagency.com/?utm_source=local-london&amp;utm_medium=organic&amp;utm_campaign=gmb" TargetMode="External" Id="rId231" /><Relationship Type="http://schemas.openxmlformats.org/officeDocument/2006/relationships/hyperlink" Target="https://www.pinsentmasons.com/locations/europe/united-kingdom/london?utm_source=google&amp;utm_medium=organic&amp;utm_campaign=maps&amp;utm_content=GB-London" TargetMode="External" Id="rId232" /><Relationship Type="http://schemas.openxmlformats.org/officeDocument/2006/relationships/hyperlink" Target="https://www.kaizen.co.uk/" TargetMode="External" Id="rId233" /><Relationship Type="http://schemas.openxmlformats.org/officeDocument/2006/relationships/hyperlink" Target="https://raptor.agency/" TargetMode="External" Id="rId234" /><Relationship Type="http://schemas.openxmlformats.org/officeDocument/2006/relationships/hyperlink" Target="https://www.brooksmurray.com/" TargetMode="External" Id="rId235" /><Relationship Type="http://schemas.openxmlformats.org/officeDocument/2006/relationships/hyperlink" Target="https://doufu.co.uk" TargetMode="External" Id="rId236" /><Relationship Type="http://schemas.openxmlformats.org/officeDocument/2006/relationships/hyperlink" Target="https://www.weareamplify.com/" TargetMode="External" Id="rId237" /><Relationship Type="http://schemas.openxmlformats.org/officeDocument/2006/relationships/hyperlink" Target="http://www.seedmarketingagency.com/" TargetMode="External" Id="rId238" /><Relationship Type="http://schemas.openxmlformats.org/officeDocument/2006/relationships/hyperlink" Target="https://www.shoreditchtownhouse.com/" TargetMode="External" Id="rId239" /><Relationship Type="http://schemas.openxmlformats.org/officeDocument/2006/relationships/hyperlink" Target="https://www.mkodo.com" TargetMode="External" Id="rId240" /><Relationship Type="http://schemas.openxmlformats.org/officeDocument/2006/relationships/hyperlink" Target="https://www.thefoxpublichouse.co.uk/" TargetMode="External" Id="rId241" /><Relationship Type="http://schemas.openxmlformats.org/officeDocument/2006/relationships/hyperlink" Target="http://www.convergenttechnology.com/" TargetMode="External" Id="rId242" /><Relationship Type="http://schemas.openxmlformats.org/officeDocument/2006/relationships/hyperlink" Target="https://canvasoffices.co.uk/office-building/luke-street-old-street-london-offices" TargetMode="External" Id="rId243" /><Relationship Type="http://schemas.openxmlformats.org/officeDocument/2006/relationships/hyperlink" Target="https://astechsol.co.uk/" TargetMode="External" Id="rId244" /><Relationship Type="http://schemas.openxmlformats.org/officeDocument/2006/relationships/hyperlink" Target="https://www.cloud9tech.co.uk/" TargetMode="External" Id="rId245" /><Relationship Type="http://schemas.openxmlformats.org/officeDocument/2006/relationships/hyperlink" Target="http://azaccountancyltd.co.uk/" TargetMode="External" Id="rId246" /><Relationship Type="http://schemas.openxmlformats.org/officeDocument/2006/relationships/hyperlink" Target="http://arlaconsultingltd.com/" TargetMode="External" Id="rId247" /><Relationship Type="http://schemas.openxmlformats.org/officeDocument/2006/relationships/hyperlink" Target="https://altitudelifestyle.com/" TargetMode="External" Id="rId248" /><Relationship Type="http://schemas.openxmlformats.org/officeDocument/2006/relationships/hyperlink" Target="https://www.alto-accounting.com/" TargetMode="External" Id="rId249" /><Relationship Type="http://schemas.openxmlformats.org/officeDocument/2006/relationships/hyperlink" Target="http://www.bambridgeaccountants.com/" TargetMode="External" Id="rId250" /><Relationship Type="http://schemas.openxmlformats.org/officeDocument/2006/relationships/hyperlink" Target="http://www.barnesandscott.com/" TargetMode="External" Id="rId251" /><Relationship Type="http://schemas.openxmlformats.org/officeDocument/2006/relationships/hyperlink" Target="http://www.bingdigital.com/" TargetMode="External" Id="rId252" /><Relationship Type="http://schemas.openxmlformats.org/officeDocument/2006/relationships/hyperlink" Target="https://blazonagency.com/" TargetMode="External" Id="rId253" /><Relationship Type="http://schemas.openxmlformats.org/officeDocument/2006/relationships/hyperlink" Target="https://blokpoint.com/" TargetMode="External" Id="rId254" /><Relationship Type="http://schemas.openxmlformats.org/officeDocument/2006/relationships/hyperlink" Target="http://www.cbmaccounting.co.uk/" TargetMode="External" Id="rId255" /><Relationship Type="http://schemas.openxmlformats.org/officeDocument/2006/relationships/hyperlink" Target="https://www.ccal.co.uk/" TargetMode="External" Id="rId256" /><Relationship Type="http://schemas.openxmlformats.org/officeDocument/2006/relationships/hyperlink" Target="https://www.curiousbrand.co.uk/" TargetMode="External" Id="rId257" /><Relationship Type="http://schemas.openxmlformats.org/officeDocument/2006/relationships/hyperlink" Target="https://www.kustomdezign.com/" TargetMode="External" Id="rId258" /><Relationship Type="http://schemas.openxmlformats.org/officeDocument/2006/relationships/hyperlink" Target="https://www.elsewhen.com/" TargetMode="External" Id="rId259" /><Relationship Type="http://schemas.openxmlformats.org/officeDocument/2006/relationships/hyperlink" Target="https://excellisgroup.com/" TargetMode="External" Id="rId260" /><Relationship Type="http://schemas.openxmlformats.org/officeDocument/2006/relationships/hyperlink" Target="https://www.fluidtech.solutions/?utm_source=google&amp;utm_medium=wix_google_business_profile&amp;utm_campaign=9469546741734003306" TargetMode="External" Id="rId261" /><Relationship Type="http://schemas.openxmlformats.org/officeDocument/2006/relationships/hyperlink" Target="https://www.innovadeltech.com/" TargetMode="External" Id="rId262" /><Relationship Type="http://schemas.openxmlformats.org/officeDocument/2006/relationships/hyperlink" Target="https://lkiconsulting.io/" TargetMode="External" Id="rId263" /><Relationship Type="http://schemas.openxmlformats.org/officeDocument/2006/relationships/hyperlink" Target="https://mindpathtech.com/" TargetMode="External" Id="rId264" /><Relationship Type="http://schemas.openxmlformats.org/officeDocument/2006/relationships/hyperlink" Target="https://perceivedigital.com/" TargetMode="External" Id="rId265" /><Relationship Type="http://schemas.openxmlformats.org/officeDocument/2006/relationships/hyperlink" Target="https://rankaudits.com" TargetMode="External" Id="rId266" /><Relationship Type="http://schemas.openxmlformats.org/officeDocument/2006/relationships/hyperlink" Target="http://www.trsconsulting.co.uk/contact/" TargetMode="External" Id="rId267" /><Relationship Type="http://schemas.openxmlformats.org/officeDocument/2006/relationships/hyperlink" Target="https://www.hoxtonmix.com/" TargetMode="External" Id="rId268" /><Relationship Type="http://schemas.openxmlformats.org/officeDocument/2006/relationships/hyperlink" Target="https://www.theprincessofshoreditch.com/" TargetMode="External" Id="rId269" /><Relationship Type="http://schemas.openxmlformats.org/officeDocument/2006/relationships/hyperlink" Target="https://vennaccounts.com/" TargetMode="External" Id="rId270" /><Relationship Type="http://schemas.openxmlformats.org/officeDocument/2006/relationships/hyperlink" Target="http://www.in-step.co.uk/" TargetMode="External" Id="rId271" /><Relationship Type="http://schemas.openxmlformats.org/officeDocument/2006/relationships/hyperlink" Target="https://www.forge.uk/" TargetMode="External" Id="rId272" /><Relationship Type="http://schemas.openxmlformats.org/officeDocument/2006/relationships/hyperlink" Target="https://www.lendable.co.uk/" TargetMode="External" Id="rId273" /><Relationship Type="http://schemas.openxmlformats.org/officeDocument/2006/relationships/hyperlink" Target="http://www.creamuk.com/" TargetMode="External" Id="rId274" /><Relationship Type="http://schemas.openxmlformats.org/officeDocument/2006/relationships/hyperlink" Target="https://www.gifta.co.uk/?utm_source=google-business-profile&amp;utm_medium=organic" TargetMode="External" Id="rId275" /><Relationship Type="http://schemas.openxmlformats.org/officeDocument/2006/relationships/hyperlink" Target="http://www.illuminatefinancial.com/" TargetMode="External" Id="rId276" /><Relationship Type="http://schemas.openxmlformats.org/officeDocument/2006/relationships/hyperlink" Target="https://www.bistrofreddie.com/" TargetMode="External" Id="rId277" /><Relationship Type="http://schemas.openxmlformats.org/officeDocument/2006/relationships/hyperlink" Target="http://www.bright.co/" TargetMode="External" Id="rId278" /><Relationship Type="http://schemas.openxmlformats.org/officeDocument/2006/relationships/hyperlink" Target="https://www.safeai.org.uk/" TargetMode="External" Id="rId279" /><Relationship Type="http://schemas.openxmlformats.org/officeDocument/2006/relationships/hyperlink" Target="https://firin.co.uk/" TargetMode="External" Id="rId280" /><Relationship Type="http://schemas.openxmlformats.org/officeDocument/2006/relationships/hyperlink" Target="http://starofkings.co.uk/" TargetMode="External" Id="rId281" /><Relationship Type="http://schemas.openxmlformats.org/officeDocument/2006/relationships/hyperlink" Target="https://www.americancarwash.co.uk/locations/kings-cross/" TargetMode="External" Id="rId282" /><Relationship Type="http://schemas.openxmlformats.org/officeDocument/2006/relationships/hyperlink" Target="http://www.freedomworks.org.uk/" TargetMode="External" Id="rId283" /><Relationship Type="http://schemas.openxmlformats.org/officeDocument/2006/relationships/hyperlink" Target="https://www.standrews.islington.sch.uk" TargetMode="External" Id="rId284" /><Relationship Type="http://schemas.openxmlformats.org/officeDocument/2006/relationships/hyperlink" Target="http://www.colmancoyle.com/" TargetMode="External" Id="rId285" /><Relationship Type="http://schemas.openxmlformats.org/officeDocument/2006/relationships/hyperlink" Target="http://www.tenshilondon.com/" TargetMode="External" Id="rId286" /><Relationship Type="http://schemas.openxmlformats.org/officeDocument/2006/relationships/hyperlink" Target="https://ladybirdbar.co.uk" TargetMode="External" Id="rId287" /><Relationship Type="http://schemas.openxmlformats.org/officeDocument/2006/relationships/hyperlink" Target="https://thaisq.com/restaurants/islington/" TargetMode="External" Id="rId288" /><Relationship Type="http://schemas.openxmlformats.org/officeDocument/2006/relationships/hyperlink" Target="https://www.clarkwell.co.uk/" TargetMode="External" Id="rId289" /><Relationship Type="http://schemas.openxmlformats.org/officeDocument/2006/relationships/hyperlink" Target="https://www.kanada-ya.com/" TargetMode="External" Id="rId290" /><Relationship Type="http://schemas.openxmlformats.org/officeDocument/2006/relationships/hyperlink" Target="https://www.beatone.co.uk/islington" TargetMode="External" Id="rId291" /><Relationship Type="http://schemas.openxmlformats.org/officeDocument/2006/relationships/hyperlink" Target="https://thepigandbutcher.co.uk" TargetMode="External" Id="rId292" /><Relationship Type="http://schemas.openxmlformats.org/officeDocument/2006/relationships/hyperlink" Target="https://www.kilis.co.uk/" TargetMode="External" Id="rId293" /><Relationship Type="http://schemas.openxmlformats.org/officeDocument/2006/relationships/hyperlink" Target="https://www.memlaz.co.uk/" TargetMode="External" Id="rId294" /><Relationship Type="http://schemas.openxmlformats.org/officeDocument/2006/relationships/hyperlink" Target="https://www.klassnik.com/" TargetMode="External" Id="rId295" /><Relationship Type="http://schemas.openxmlformats.org/officeDocument/2006/relationships/hyperlink" Target="https://www.hilton.com/en/hotels/lonishn-hilton-london-angel-islington/" TargetMode="External" Id="rId296" /><Relationship Type="http://schemas.openxmlformats.org/officeDocument/2006/relationships/hyperlink" Target="https://www.vittoria.islington.sch.uk/" TargetMode="External" Id="rId297" /><Relationship Type="http://schemas.openxmlformats.org/officeDocument/2006/relationships/hyperlink" Target="https://jamdelish.co.uk/" TargetMode="External" Id="rId298" /><Relationship Type="http://schemas.openxmlformats.org/officeDocument/2006/relationships/hyperlink" Target="https://www.thetamilprince.com" TargetMode="External" Id="rId299" /><Relationship Type="http://schemas.openxmlformats.org/officeDocument/2006/relationships/hyperlink" Target="https://www.hemingfordarms.com/" TargetMode="External" Id="rId300" /><Relationship Type="http://schemas.openxmlformats.org/officeDocument/2006/relationships/hyperlink" Target="http://www.thedrapersarms.com/" TargetMode="External" Id="rId301" /><Relationship Type="http://schemas.openxmlformats.org/officeDocument/2006/relationships/hyperlink" Target="https://www.the-albion.co.uk/" TargetMode="External" Id="rId302" /><Relationship Type="http://schemas.openxmlformats.org/officeDocument/2006/relationships/hyperlink" Target="https://www.thornhill.islington.sch.uk" TargetMode="External" Id="rId303" /><Relationship Type="http://schemas.openxmlformats.org/officeDocument/2006/relationships/hyperlink" Target="https://kingsheadtheatre.com/" TargetMode="External" Id="rId304" /><Relationship Type="http://schemas.openxmlformats.org/officeDocument/2006/relationships/hyperlink" Target="https://lafarolacafe.co.uk/" TargetMode="External" Id="rId305" /><Relationship Type="http://schemas.openxmlformats.org/officeDocument/2006/relationships/hyperlink" Target="https://www.neilsonbauer.com/" TargetMode="External" Id="rId306" /><Relationship Type="http://schemas.openxmlformats.org/officeDocument/2006/relationships/hyperlink" Target="https://tofuvegan.com" TargetMode="External" Id="rId307" /><Relationship Type="http://schemas.openxmlformats.org/officeDocument/2006/relationships/hyperlink" Target="https://good.space/locations/islington-square" TargetMode="External" Id="rId308" /><Relationship Type="http://schemas.openxmlformats.org/officeDocument/2006/relationships/hyperlink" Target="https://re1996.com/" TargetMode="External" Id="rId309" /><Relationship Type="http://schemas.openxmlformats.org/officeDocument/2006/relationships/hyperlink" Target="https://thebottlecocktailshop.com/" TargetMode="External" Id="rId310" /><Relationship Type="http://schemas.openxmlformats.org/officeDocument/2006/relationships/hyperlink" Target="https://hoxleyandporter.com/" TargetMode="External" Id="rId311" /><Relationship Type="http://schemas.openxmlformats.org/officeDocument/2006/relationships/hyperlink" Target="http://www.workersislington.co.uk/" TargetMode="External" Id="rId312" /><Relationship Type="http://schemas.openxmlformats.org/officeDocument/2006/relationships/hyperlink" Target="https://www.santamariapizzeria.com/" TargetMode="External" Id="rId313" /><Relationship Type="http://schemas.openxmlformats.org/officeDocument/2006/relationships/hyperlink" Target="https://www.udderlicious.co.uk/" TargetMode="External" Id="rId314" /><Relationship Type="http://schemas.openxmlformats.org/officeDocument/2006/relationships/hyperlink" Target="https://www.nucco.co.uk/" TargetMode="External" Id="rId315" /><Relationship Type="http://schemas.openxmlformats.org/officeDocument/2006/relationships/hyperlink" Target="https://www.estorickcollection.com/" TargetMode="External" Id="rId316" /><Relationship Type="http://schemas.openxmlformats.org/officeDocument/2006/relationships/hyperlink" Target="https://www.lelabofragrances.com" TargetMode="External" Id="rId317" /><Relationship Type="http://schemas.openxmlformats.org/officeDocument/2006/relationships/hyperlink" Target="https://www.tribe-london.com/" TargetMode="External" Id="rId318" /><Relationship Type="http://schemas.openxmlformats.org/officeDocument/2006/relationships/hyperlink" Target="https://smokehouseislington.co.uk/" TargetMode="External" Id="rId319" /><Relationship Type="http://schemas.openxmlformats.org/officeDocument/2006/relationships/hyperlink" Target="https://www.littleangeltheatre.com" TargetMode="External" Id="rId320" /><Relationship Type="http://schemas.openxmlformats.org/officeDocument/2006/relationships/hyperlink" Target="https://www.stmarys.islington.sch.uk/" TargetMode="External" Id="rId321" /><Relationship Type="http://schemas.openxmlformats.org/officeDocument/2006/relationships/hyperlink" Target="https://myddletonarms.com/" TargetMode="External" Id="rId322" /><Relationship Type="http://schemas.openxmlformats.org/officeDocument/2006/relationships/hyperlink" Target="https://www.sawyerandgray.co.uk/" TargetMode="External" Id="rId323" /><Relationship Type="http://schemas.openxmlformats.org/officeDocument/2006/relationships/hyperlink" Target="https://www.tootoomoo.co.uk/islington" TargetMode="External" Id="rId324" /><Relationship Type="http://schemas.openxmlformats.org/officeDocument/2006/relationships/hyperlink" Target="https://tonyalan.co.uk/" TargetMode="External" Id="rId325" /><Relationship Type="http://schemas.openxmlformats.org/officeDocument/2006/relationships/hyperlink" Target="https://www.yieldn1.com/" TargetMode="External" Id="rId326" /><Relationship Type="http://schemas.openxmlformats.org/officeDocument/2006/relationships/hyperlink" Target="https://www.northbridgehouse.com/" TargetMode="External" Id="rId327" /><Relationship Type="http://schemas.openxmlformats.org/officeDocument/2006/relationships/hyperlink" Target="https://www.stpaulswaldorfschool.org/" TargetMode="External" Id="rId328" /><Relationship Type="http://schemas.openxmlformats.org/officeDocument/2006/relationships/hyperlink" Target="https://www.balfesbikes.co.uk/islington/" TargetMode="External" Id="rId329" /><Relationship Type="http://schemas.openxmlformats.org/officeDocument/2006/relationships/hyperlink" Target="https://www.macansys.co.uk/" TargetMode="External" Id="rId330" /><Relationship Type="http://schemas.openxmlformats.org/officeDocument/2006/relationships/hyperlink" Target="https://sourdoughsophia.co.uk/" TargetMode="External" Id="rId331" /><Relationship Type="http://schemas.openxmlformats.org/officeDocument/2006/relationships/hyperlink" Target="https://www.coexistence.co.uk/" TargetMode="External" Id="rId332" /><Relationship Type="http://schemas.openxmlformats.org/officeDocument/2006/relationships/hyperlink" Target="https://www.davidscotcher.co.uk/" TargetMode="External" Id="rId333" /><Relationship Type="http://schemas.openxmlformats.org/officeDocument/2006/relationships/hyperlink" Target="https://www.new-unity.org/" TargetMode="External" Id="rId334" /><Relationship Type="http://schemas.openxmlformats.org/officeDocument/2006/relationships/hyperlink" Target="https://thesampler.co.uk/" TargetMode="External" Id="rId335" /><Relationship Type="http://schemas.openxmlformats.org/officeDocument/2006/relationships/hyperlink" Target="https://nocirestaurant.co.uk" TargetMode="External" Id="rId336" /><Relationship Type="http://schemas.openxmlformats.org/officeDocument/2006/relationships/hyperlink" Target="http://goodbyehorses.london" TargetMode="External" Id="rId337" /><Relationship Type="http://schemas.openxmlformats.org/officeDocument/2006/relationships/hyperlink" Target="https://thedebeauvoirdeli.co.uk/" TargetMode="External" Id="rId338" /><Relationship Type="http://schemas.openxmlformats.org/officeDocument/2006/relationships/hyperlink" Target="https://www.debeauvoirarms.com/" TargetMode="External" Id="rId339" /><Relationship Type="http://schemas.openxmlformats.org/officeDocument/2006/relationships/hyperlink" Target="https://www.thebravelondon.co.uk/" TargetMode="External" Id="rId340" /><Relationship Type="http://schemas.openxmlformats.org/officeDocument/2006/relationships/hyperlink" Target="https://www.trade-made.co.uk" TargetMode="External" Id="rId341" /><Relationship Type="http://schemas.openxmlformats.org/officeDocument/2006/relationships/hyperlink" Target="http://www.suttonandsons.co.uk/" TargetMode="External" Id="rId342" /><Relationship Type="http://schemas.openxmlformats.org/officeDocument/2006/relationships/hyperlink" Target="https://www.lestrocycles.co.uk" TargetMode="External" Id="rId343" /><Relationship Type="http://schemas.openxmlformats.org/officeDocument/2006/relationships/hyperlink" Target="http://www.adormo.com/en/Designer-Family-Home-in-Central-London/3781" TargetMode="External" Id="rId344" /><Relationship Type="http://schemas.openxmlformats.org/officeDocument/2006/relationships/hyperlink" Target="https://www.debeauvoirblock.com" TargetMode="External" Id="rId345" /><Relationship Type="http://schemas.openxmlformats.org/officeDocument/2006/relationships/hyperlink" Target="https://hectorslondon.co.uk" TargetMode="External" Id="rId346" /><Relationship Type="http://schemas.openxmlformats.org/officeDocument/2006/relationships/hyperlink" Target="http://www.thescolthead.co.uk/" TargetMode="External" Id="rId347" /><Relationship Type="http://schemas.openxmlformats.org/officeDocument/2006/relationships/hyperlink" Target="https://www.childrenshouseschool.co.uk/" TargetMode="External" Id="rId348" /><Relationship Type="http://schemas.openxmlformats.org/officeDocument/2006/relationships/hyperlink" Target="https://oivita.london" TargetMode="External" Id="rId349" /><Relationship Type="http://schemas.openxmlformats.org/officeDocument/2006/relationships/hyperlink" Target="https://thealmaislington.com" TargetMode="External" Id="rId350" /><Relationship Type="http://schemas.openxmlformats.org/officeDocument/2006/relationships/hyperlink" Target="http://www.maxwellsestates.com/" TargetMode="External" Id="rId351" /><Relationship Type="http://schemas.openxmlformats.org/officeDocument/2006/relationships/hyperlink" Target="http://www.kindandental.com/" TargetMode="External" Id="rId352" /><Relationship Type="http://schemas.openxmlformats.org/officeDocument/2006/relationships/hyperlink" Target="https://thehalley.co.uk/" TargetMode="External" Id="rId353" /><Relationship Type="http://schemas.openxmlformats.org/officeDocument/2006/relationships/hyperlink" Target="https://hoxtongarden.hackney.sch.uk/" TargetMode="External" Id="rId354" /><Relationship Type="http://schemas.openxmlformats.org/officeDocument/2006/relationships/hyperlink" Target="https://www.shoreditchpark.hackney.sch.uk/" TargetMode="External" Id="rId355" /><Relationship Type="http://schemas.openxmlformats.org/officeDocument/2006/relationships/hyperlink" Target="https://www.shoreditch.cola.org.uk/" TargetMode="External" Id="rId356" /><Relationship Type="http://schemas.openxmlformats.org/officeDocument/2006/relationships/hyperlink" Target="https://www.humdingers.org.uk/" TargetMode="External" Id="rId357" /><Relationship Type="http://schemas.openxmlformats.org/officeDocument/2006/relationships/hyperlink" Target="https://rosemaryworks.co.uk/" TargetMode="External" Id="rId358" /><Relationship Type="http://schemas.openxmlformats.org/officeDocument/2006/relationships/hyperlink" Target="https://www.arepaandco.com/" TargetMode="External" Id="rId359" /><Relationship Type="http://schemas.openxmlformats.org/officeDocument/2006/relationships/hyperlink" Target="https://www.batchbaby.co.uk/" TargetMode="External" Id="rId360" /><Relationship Type="http://schemas.openxmlformats.org/officeDocument/2006/relationships/hyperlink" Target="https://inventiontl.com/" TargetMode="External" Id="rId361" /><Relationship Type="http://schemas.openxmlformats.org/officeDocument/2006/relationships/hyperlink" Target="https://www.masabi.com/" TargetMode="External" Id="rId362" /><Relationship Type="http://schemas.openxmlformats.org/officeDocument/2006/relationships/hyperlink" Target="https://www.fathom-consulting.com/" TargetMode="External" Id="rId363" /><Relationship Type="http://schemas.openxmlformats.org/officeDocument/2006/relationships/hyperlink" Target="http://movingonlondon.com" TargetMode="External" Id="rId364" /><Relationship Type="http://schemas.openxmlformats.org/officeDocument/2006/relationships/hyperlink" Target="https://www.schnitzelheaven.co.uk" TargetMode="External" Id="rId365" /><Relationship Type="http://schemas.openxmlformats.org/officeDocument/2006/relationships/hyperlink" Target="https://www.sodopizza.co.uk/" TargetMode="External" Id="rId366" /><Relationship Type="http://schemas.openxmlformats.org/officeDocument/2006/relationships/hyperlink" Target="https://georgeandvulture.com/" TargetMode="External" Id="rId367" /><Relationship Type="http://schemas.openxmlformats.org/officeDocument/2006/relationships/hyperlink" Target="http://www.londonyouth.org.uk" TargetMode="External" Id="rId368" /><Relationship Type="http://schemas.openxmlformats.org/officeDocument/2006/relationships/hyperlink" Target="https://www.peskyfish.co.uk/" TargetMode="External" Id="rId369" /><Relationship Type="http://schemas.openxmlformats.org/officeDocument/2006/relationships/hyperlink" Target="https://www.theprincearthurpub.co.uk/" TargetMode="External" Id="rId370" /><Relationship Type="http://schemas.openxmlformats.org/officeDocument/2006/relationships/hyperlink" Target="https://www.vodafone.com/" TargetMode="External" Id="rId371" /><Relationship Type="http://schemas.openxmlformats.org/officeDocument/2006/relationships/hyperlink" Target="https://www.thecourtyard.org.uk/" TargetMode="External" Id="rId372" /><Relationship Type="http://schemas.openxmlformats.org/officeDocument/2006/relationships/hyperlink" Target="https://nexusstudios.com/" TargetMode="External" Id="rId373" /><Relationship Type="http://schemas.openxmlformats.org/officeDocument/2006/relationships/hyperlink" Target="https://www.orhanlondontailoring.com/" TargetMode="External" Id="rId374" /><Relationship Type="http://schemas.openxmlformats.org/officeDocument/2006/relationships/hyperlink" Target="https://st-john.hackney.sch.uk/" TargetMode="External" Id="rId375" /><Relationship Type="http://schemas.openxmlformats.org/officeDocument/2006/relationships/hyperlink" Target="http://wearefullfat.com/" TargetMode="External" Id="rId376" /><Relationship Type="http://schemas.openxmlformats.org/officeDocument/2006/relationships/hyperlink" Target="https://www.breenlegacyacademy.co.uk/" TargetMode="External" Id="rId377" /><Relationship Type="http://schemas.openxmlformats.org/officeDocument/2006/relationships/hyperlink" Target="https://www.redlionhoxton.co.uk" TargetMode="External" Id="rId378" /><Relationship Type="http://schemas.openxmlformats.org/officeDocument/2006/relationships/hyperlink" Target="https://wiedemannlampe.com/" TargetMode="External" Id="rId379" /><Relationship Type="http://schemas.openxmlformats.org/officeDocument/2006/relationships/hyperlink" Target="https://hoxtonchiropractic.com/" TargetMode="External" Id="rId380" /><Relationship Type="http://schemas.openxmlformats.org/officeDocument/2006/relationships/hyperlink" Target="https://www.senzafondo.com/" TargetMode="External" Id="rId381" /><Relationship Type="http://schemas.openxmlformats.org/officeDocument/2006/relationships/hyperlink" Target="http://openbarbers.com/" TargetMode="External" Id="rId382" /><Relationship Type="http://schemas.openxmlformats.org/officeDocument/2006/relationships/hyperlink" Target="https://www.grahams.co.uk/" TargetMode="External" Id="rId383" /><Relationship Type="http://schemas.openxmlformats.org/officeDocument/2006/relationships/hyperlink" Target="https://www.marykatrantzou.com/" TargetMode="External" Id="rId384" /><Relationship Type="http://schemas.openxmlformats.org/officeDocument/2006/relationships/hyperlink" Target="https://www.thearccentre.org/" TargetMode="External" Id="rId385" /><Relationship Type="http://schemas.openxmlformats.org/officeDocument/2006/relationships/hyperlink" Target="https://www.thehanbury.co.uk/" TargetMode="External" Id="rId386" /><Relationship Type="http://schemas.openxmlformats.org/officeDocument/2006/relationships/hyperlink" Target="https://www.accessstorage.com/central-london/access-self-storage-islington" TargetMode="External" Id="rId387" /><Relationship Type="http://schemas.openxmlformats.org/officeDocument/2006/relationships/hyperlink" Target="https://www.unknownphone.com" TargetMode="External" Id="rId388" /><Relationship Type="http://schemas.openxmlformats.org/officeDocument/2006/relationships/hyperlink" Target="https://fiscalhub.co.uk/" TargetMode="External" Id="rId389" /><Relationship Type="http://schemas.openxmlformats.org/officeDocument/2006/relationships/hyperlink" Target="http://www.londonfoodphotography.co.uk" TargetMode="External" Id="rId390" /><Relationship Type="http://schemas.openxmlformats.org/officeDocument/2006/relationships/hyperlink" Target="http://www.mabyconsultancy.com/" TargetMode="External" Id="rId391" /><Relationship Type="http://schemas.openxmlformats.org/officeDocument/2006/relationships/hyperlink" Target="https://www.medalliontechnologies.com/" TargetMode="External" Id="rId392" /><Relationship Type="http://schemas.openxmlformats.org/officeDocument/2006/relationships/hyperlink" Target="https://members.workhubmadesimple.com/" TargetMode="External" Id="rId393" /><Relationship Type="http://schemas.openxmlformats.org/officeDocument/2006/relationships/hyperlink" Target="http://www.purbeckinsurance.co.uk/" TargetMode="External" Id="rId394" /><Relationship Type="http://schemas.openxmlformats.org/officeDocument/2006/relationships/hyperlink" Target="https://rsaccountancy.co.uk/" TargetMode="External" Id="rId395" /><Relationship Type="http://schemas.openxmlformats.org/officeDocument/2006/relationships/hyperlink" Target="https://www.rhodiumaccounting.co.uk/" TargetMode="External" Id="rId396" /><Relationship Type="http://schemas.openxmlformats.org/officeDocument/2006/relationships/hyperlink" Target="https://www.thrivetech.co/" TargetMode="External" Id="rId397" /><Relationship Type="http://schemas.openxmlformats.org/officeDocument/2006/relationships/hyperlink" Target="https://zmartly.co.uk/contact/" TargetMode="External" Id="rId398" /><Relationship Type="http://schemas.openxmlformats.org/officeDocument/2006/relationships/hyperlink" Target="https://www.zodeemedia.com/" TargetMode="External" Id="rId399" /><Relationship Type="http://schemas.openxmlformats.org/officeDocument/2006/relationships/hyperlink" Target="https://www.sbccycles.com/" TargetMode="External" Id="rId400" /><Relationship Type="http://schemas.openxmlformats.org/officeDocument/2006/relationships/hyperlink" Target="https://www.stampoutpoverty.org/" TargetMode="External" Id="rId401" /><Relationship Type="http://schemas.openxmlformats.org/officeDocument/2006/relationships/hyperlink" Target="https://www.block.co.uk" TargetMode="External" Id="rId402" /><Relationship Type="http://schemas.openxmlformats.org/officeDocument/2006/relationships/hyperlink" Target="https://www.hilton.com/en/hotels/lhroshx-hampton-london-old-street/" TargetMode="External" Id="rId403" /><Relationship Type="http://schemas.openxmlformats.org/officeDocument/2006/relationships/hyperlink" Target="http://www.westlandcoffee.co.uk" TargetMode="External" Id="rId404" /><Relationship Type="http://schemas.openxmlformats.org/officeDocument/2006/relationships/hyperlink" Target="https://hypervsn.com" TargetMode="External" Id="rId405" /><Relationship Type="http://schemas.openxmlformats.org/officeDocument/2006/relationships/hyperlink" Target="https://www.victoria-miro.com/" TargetMode="External" Id="rId406" /><Relationship Type="http://schemas.openxmlformats.org/officeDocument/2006/relationships/hyperlink" Target="https://wenlockarms.com/" TargetMode="External" Id="rId407" /><Relationship Type="http://schemas.openxmlformats.org/officeDocument/2006/relationships/hyperlink" Target="https://www.moorfields.nhs.uk/locations/moorfields-hoxton" TargetMode="External" Id="rId408" /><Relationship Type="http://schemas.openxmlformats.org/officeDocument/2006/relationships/hyperlink" Target="https://www.propeller.co.uk/" TargetMode="External" Id="rId409" /><Relationship Type="http://schemas.openxmlformats.org/officeDocument/2006/relationships/hyperlink" Target="https://www.hanover.islington.sch.uk/" TargetMode="External" Id="rId410" /><Relationship Type="http://schemas.openxmlformats.org/officeDocument/2006/relationships/hyperlink" Target="https://www.mbe.co.uk/londonangelislington" TargetMode="External" Id="rId411" /><Relationship Type="http://schemas.openxmlformats.org/officeDocument/2006/relationships/hyperlink" Target="https://www.thetamilcrown.com/" TargetMode="External" Id="rId412" /><Relationship Type="http://schemas.openxmlformats.org/officeDocument/2006/relationships/hyperlink" Target="https://ezendesigns.com/" TargetMode="External" Id="rId413" /><Relationship Type="http://schemas.openxmlformats.org/officeDocument/2006/relationships/hyperlink" Target="https://kipferl.co.uk/" TargetMode="External" Id="rId414" /><Relationship Type="http://schemas.openxmlformats.org/officeDocument/2006/relationships/hyperlink" Target="https://www.fredericks.co.uk" TargetMode="External" Id="rId415" /><Relationship Type="http://schemas.openxmlformats.org/officeDocument/2006/relationships/hyperlink" Target="https://dukeorganic.co.uk/" TargetMode="External" Id="rId416" /><Relationship Type="http://schemas.openxmlformats.org/officeDocument/2006/relationships/hyperlink" Target="https://plaqlock.com/" TargetMode="External" Id="rId417" /><Relationship Type="http://schemas.openxmlformats.org/officeDocument/2006/relationships/hyperlink" Target="https://www.earlofessex.net/" TargetMode="External" Id="rId418" /><Relationship Type="http://schemas.openxmlformats.org/officeDocument/2006/relationships/hyperlink" Target="https://www.theoldqueenshead.com/" TargetMode="External" Id="rId419" /><Relationship Type="http://schemas.openxmlformats.org/officeDocument/2006/relationships/hyperlink" Target="https://www.planetorganic.com/pages/islington" TargetMode="External" Id="rId420" /><Relationship Type="http://schemas.openxmlformats.org/officeDocument/2006/relationships/hyperlink" Target="https://www.stevehattfishmongers.co.uk" TargetMode="External" Id="rId421" /><Relationship Type="http://schemas.openxmlformats.org/officeDocument/2006/relationships/hyperlink" Target="https://www.thealpaca.co.uk/" TargetMode="External" Id="rId422" /><Relationship Type="http://schemas.openxmlformats.org/officeDocument/2006/relationships/hyperlink" Target="https://ellisdavid.com/" TargetMode="External" Id="rId423" /><Relationship Type="http://schemas.openxmlformats.org/officeDocument/2006/relationships/hyperlink" Target="https://www.angelcomedy.co.uk/" TargetMode="External" Id="rId424" /><Relationship Type="http://schemas.openxmlformats.org/officeDocument/2006/relationships/hyperlink" Target="https://www.colai.org.uk/" TargetMode="External" Id="rId425" /><Relationship Type="http://schemas.openxmlformats.org/officeDocument/2006/relationships/hyperlink" Target="https://www.cloudesley.islington.sch.uk/" TargetMode="External" Id="rId426" /><Relationship Type="http://schemas.openxmlformats.org/officeDocument/2006/relationships/hyperlink" Target="https://kingscross.impacthub.net/" TargetMode="External" Id="rId427" /><Relationship Type="http://schemas.openxmlformats.org/officeDocument/2006/relationships/hyperlink" Target="https://www.paddle.com/" TargetMode="External" Id="rId428" /><Relationship Type="http://schemas.openxmlformats.org/officeDocument/2006/relationships/hyperlink" Target="https://www.ekachai.co.uk/" TargetMode="External" Id="rId429" /><Relationship Type="http://schemas.openxmlformats.org/officeDocument/2006/relationships/hyperlink" Target="https://rotundabarandrestaurant.co.uk/" TargetMode="External" Id="rId430" /><Relationship Type="http://schemas.openxmlformats.org/officeDocument/2006/relationships/hyperlink" Target="http://www.roxi.tv/" TargetMode="External" Id="rId431" /><Relationship Type="http://schemas.openxmlformats.org/officeDocument/2006/relationships/hyperlink" Target="https://www.wzone.london/" TargetMode="External" Id="rId432" /><Relationship Type="http://schemas.openxmlformats.org/officeDocument/2006/relationships/hyperlink" Target="http://www.rolls-royce.com/" TargetMode="External" Id="rId433" /><Relationship Type="http://schemas.openxmlformats.org/officeDocument/2006/relationships/hyperlink" Target="https://www.theguardian.com/" TargetMode="External" Id="rId434" /><Relationship Type="http://schemas.openxmlformats.org/officeDocument/2006/relationships/hyperlink" Target="http://www.anomalous.co.uk/space" TargetMode="External" Id="rId435" /><Relationship Type="http://schemas.openxmlformats.org/officeDocument/2006/relationships/hyperlink" Target="https://www.mayvn.co.uk/" TargetMode="External" Id="rId436" /><Relationship Type="http://schemas.openxmlformats.org/officeDocument/2006/relationships/hyperlink" Target="https://london.dauphine.psl.eu/" TargetMode="External" Id="rId437" /><Relationship Type="http://schemas.openxmlformats.org/officeDocument/2006/relationships/hyperlink" Target="https://www.faracharityshops.org/" TargetMode="External" Id="rId438" /><Relationship Type="http://schemas.openxmlformats.org/officeDocument/2006/relationships/hyperlink" Target="https://www.saintespresso.com/" TargetMode="External" Id="rId439" /><Relationship Type="http://schemas.openxmlformats.org/officeDocument/2006/relationships/hyperlink" Target="https://www.appliedinformation.group/" TargetMode="External" Id="rId440" /><Relationship Type="http://schemas.openxmlformats.org/officeDocument/2006/relationships/hyperlink" Target="https://thelexington.co.uk/" TargetMode="External" Id="rId441" /><Relationship Type="http://schemas.openxmlformats.org/officeDocument/2006/relationships/hyperlink" Target="https://www.thefamilyschoollondon.org/" TargetMode="External" Id="rId442" /><Relationship Type="http://schemas.openxmlformats.org/officeDocument/2006/relationships/hyperlink" Target="https://www.xpfreelancer.com/" TargetMode="External" Id="rId443" /><Relationship Type="http://schemas.openxmlformats.org/officeDocument/2006/relationships/hyperlink" Target="https://www.hilton.com/en/hotels/lonlidi-doubletree-london-angel-kings-cross/" TargetMode="External" Id="rId444" /><Relationship Type="http://schemas.openxmlformats.org/officeDocument/2006/relationships/hyperlink" Target="https://www.pandas.kitchen/angel" TargetMode="External" Id="rId445" /><Relationship Type="http://schemas.openxmlformats.org/officeDocument/2006/relationships/hyperlink" Target="http://www.ttech.uk.com/" TargetMode="External" Id="rId446" /><Relationship Type="http://schemas.openxmlformats.org/officeDocument/2006/relationships/hyperlink" Target="https://thechapelbar.co.uk/" TargetMode="External" Id="rId447" /><Relationship Type="http://schemas.openxmlformats.org/officeDocument/2006/relationships/hyperlink" Target="https://www.ncvo.org.uk/" TargetMode="External" Id="rId448" /><Relationship Type="http://schemas.openxmlformats.org/officeDocument/2006/relationships/hyperlink" Target="https://www.cinch.co.uk/" TargetMode="External" Id="rId449" /><Relationship Type="http://schemas.openxmlformats.org/officeDocument/2006/relationships/hyperlink" Target="https://canalmuseum.org.uk/" TargetMode="External" Id="rId450" /><Relationship Type="http://schemas.openxmlformats.org/officeDocument/2006/relationships/hyperlink" Target="https://www.cityrealtor.co.uk/" TargetMode="External" Id="rId451" /><Relationship Type="http://schemas.openxmlformats.org/officeDocument/2006/relationships/hyperlink" Target="https://www.cablestreetinn.co.uk/" TargetMode="External" Id="rId452" /><Relationship Type="http://schemas.openxmlformats.org/officeDocument/2006/relationships/hyperlink" Target="https://troxy.co.uk/" TargetMode="External" Id="rId453" /><Relationship Type="http://schemas.openxmlformats.org/officeDocument/2006/relationships/hyperlink" Target="http://www.hsrsolicitors.com/" TargetMode="External" Id="rId454" /><Relationship Type="http://schemas.openxmlformats.org/officeDocument/2006/relationships/hyperlink" Target="http://www.ibwsolicitors.co.uk/" TargetMode="External" Id="rId455" /><Relationship Type="http://schemas.openxmlformats.org/officeDocument/2006/relationships/hyperlink" Target="https://thegeorgetavern.london/" TargetMode="External" Id="rId456" /><Relationship Type="http://schemas.openxmlformats.org/officeDocument/2006/relationships/hyperlink" Target="https://www.marionrichardson.towerhamlets.sch.uk/" TargetMode="External" Id="rId457" /><Relationship Type="http://schemas.openxmlformats.org/officeDocument/2006/relationships/hyperlink" Target="https://stepneyallsaints.school/" TargetMode="External" Id="rId458" /><Relationship Type="http://schemas.openxmlformats.org/officeDocument/2006/relationships/hyperlink" Target="https://adhd-clinic.co.uk/" TargetMode="External" Id="rId459" /><Relationship Type="http://schemas.openxmlformats.org/officeDocument/2006/relationships/hyperlink" Target="https://acornhomecover.co.uk/" TargetMode="External" Id="rId460" /><Relationship Type="http://schemas.openxmlformats.org/officeDocument/2006/relationships/hyperlink" Target="http://aurexaccountants.co.uk/" TargetMode="External" Id="rId461" /><Relationship Type="http://schemas.openxmlformats.org/officeDocument/2006/relationships/hyperlink" Target="https://fenn.digital/" TargetMode="External" Id="rId462" /><Relationship Type="http://schemas.openxmlformats.org/officeDocument/2006/relationships/hyperlink" Target="https://lmcompanion.com/" TargetMode="External" Id="rId463" /><Relationship Type="http://schemas.openxmlformats.org/officeDocument/2006/relationships/hyperlink" Target="https://mngaccountants.uk/" TargetMode="External" Id="rId464" /><Relationship Type="http://schemas.openxmlformats.org/officeDocument/2006/relationships/hyperlink" Target="https://resolutionfs.co.uk/" TargetMode="External" Id="rId465" /><Relationship Type="http://schemas.openxmlformats.org/officeDocument/2006/relationships/hyperlink" Target="https://simplyexcess.com/?utm_source=google&amp;utm_medium=local&amp;utm_campaign=1&amp;utm_content=primary" TargetMode="External" Id="rId466" /><Relationship Type="http://schemas.openxmlformats.org/officeDocument/2006/relationships/hyperlink" Target="https://www.ultrascout.ai/" TargetMode="External" Id="rId467" /><Relationship Type="http://schemas.openxmlformats.org/officeDocument/2006/relationships/hyperlink" Target="https://visasint.com" TargetMode="External" Id="rId468" /><Relationship Type="http://schemas.openxmlformats.org/officeDocument/2006/relationships/hyperlink" Target="http://www.buzzardoverseas.com/" TargetMode="External" Id="rId469" /><Relationship Type="http://schemas.openxmlformats.org/officeDocument/2006/relationships/hyperlink" Target="https://21studiophotolab.co.uk/" TargetMode="External" Id="rId470" /><Relationship Type="http://schemas.openxmlformats.org/officeDocument/2006/relationships/hyperlink" Target="http://www.bwbsedu.com/" TargetMode="External" Id="rId471" /><Relationship Type="http://schemas.openxmlformats.org/officeDocument/2006/relationships/hyperlink" Target="https://www.mypixxa.com/" TargetMode="External" Id="rId472" /><Relationship Type="http://schemas.openxmlformats.org/officeDocument/2006/relationships/hyperlink" Target="https://wearecomplexcreative.com/" TargetMode="External" Id="rId473" /><Relationship Type="http://schemas.openxmlformats.org/officeDocument/2006/relationships/hyperlink" Target="https://www.hyatt.com/en-US/hotel/united-kingdom/hyatt-place-london-city-east/lhrzc" TargetMode="External" Id="rId474" /><Relationship Type="http://schemas.openxmlformats.org/officeDocument/2006/relationships/hyperlink" Target="https://www.legitsolicitors.com/" TargetMode="External" Id="rId475" /><Relationship Type="http://schemas.openxmlformats.org/officeDocument/2006/relationships/hyperlink" Target="https://sunnamusk.com/" TargetMode="External" Id="rId476" /><Relationship Type="http://schemas.openxmlformats.org/officeDocument/2006/relationships/hyperlink" Target="https://www.thecornerlondoncity.co.uk" TargetMode="External" Id="rId477" /><Relationship Type="http://schemas.openxmlformats.org/officeDocument/2006/relationships/hyperlink" Target="https://www.westferrytech.com/" TargetMode="External" Id="rId478" /><Relationship Type="http://schemas.openxmlformats.org/officeDocument/2006/relationships/hyperlink" Target="https://wynfridhouse.com/" TargetMode="External" Id="rId479" /><Relationship Type="http://schemas.openxmlformats.org/officeDocument/2006/relationships/hyperlink" Target="http://www.capstoneaccountants.co.uk/" TargetMode="External" Id="rId480" /><Relationship Type="http://schemas.openxmlformats.org/officeDocument/2006/relationships/hyperlink" Target="http://www.citygateaccountants.co.uk/" TargetMode="External" Id="rId481" /><Relationship Type="http://schemas.openxmlformats.org/officeDocument/2006/relationships/hyperlink" Target="https://ebrahimcollege.org.uk" TargetMode="External" Id="rId482" /><Relationship Type="http://schemas.openxmlformats.org/officeDocument/2006/relationships/hyperlink" Target="https://larc.space/" TargetMode="External" Id="rId483" /><Relationship Type="http://schemas.openxmlformats.org/officeDocument/2006/relationships/hyperlink" Target="https://www.maedahgrill.net/" TargetMode="External" Id="rId484" /><Relationship Type="http://schemas.openxmlformats.org/officeDocument/2006/relationships/hyperlink" Target="https://www.thegoodmarketer.co.uk/" TargetMode="External" Id="rId485" /><Relationship Type="http://schemas.openxmlformats.org/officeDocument/2006/relationships/hyperlink" Target="https://four.agency/" TargetMode="External" Id="rId486" /><Relationship Type="http://schemas.openxmlformats.org/officeDocument/2006/relationships/hyperlink" Target="http://www.rkaccountants.com/" TargetMode="External" Id="rId487" /><Relationship Type="http://schemas.openxmlformats.org/officeDocument/2006/relationships/hyperlink" Target="https://www.ambalafoods.com/" TargetMode="External" Id="rId488" /><Relationship Type="http://schemas.openxmlformats.org/officeDocument/2006/relationships/hyperlink" Target="http://www.chancery-solicitors.com/" TargetMode="External" Id="rId489" /><Relationship Type="http://schemas.openxmlformats.org/officeDocument/2006/relationships/hyperlink" Target="https://secure.accorhotels.com/store/index.html#/en/hotel?hotelCode=8033" TargetMode="External" Id="rId490" /><Relationship Type="http://schemas.openxmlformats.org/officeDocument/2006/relationships/hyperlink" Target="https://www.kobinazrul.towerhamlets.sch.uk/" TargetMode="External" Id="rId491" /><Relationship Type="http://schemas.openxmlformats.org/officeDocument/2006/relationships/hyperlink" Target="https://tayyabs.co.uk/" TargetMode="External" Id="rId492" /><Relationship Type="http://schemas.openxmlformats.org/officeDocument/2006/relationships/hyperlink" Target="https://taxvalley.co.uk/contact-us" TargetMode="External" Id="rId493" /><Relationship Type="http://schemas.openxmlformats.org/officeDocument/2006/relationships/hyperlink" Target="https://www.techspace.co/locations/whitechapel" TargetMode="External" Id="rId494" /><Relationship Type="http://schemas.openxmlformats.org/officeDocument/2006/relationships/hyperlink" Target="http://www.thecastlelondon.com/" TargetMode="External" Id="rId495" /><Relationship Type="http://schemas.openxmlformats.org/officeDocument/2006/relationships/hyperlink" Target="https://www.amigosburgersandshakes.com/" TargetMode="External" Id="rId496" /><Relationship Type="http://schemas.openxmlformats.org/officeDocument/2006/relationships/hyperlink" Target="https://www.browncrosshealthcare.com/" TargetMode="External" Id="rId497" /><Relationship Type="http://schemas.openxmlformats.org/officeDocument/2006/relationships/hyperlink" Target="https://mmaldn.co.uk/" TargetMode="External" Id="rId498" /><Relationship Type="http://schemas.openxmlformats.org/officeDocument/2006/relationships/hyperlink" Target="https://www.londonenterpriseacademy.org/" TargetMode="External" Id="rId499" /><Relationship Type="http://schemas.openxmlformats.org/officeDocument/2006/relationships/hyperlink" Target="http://snraccountants.co.uk/" TargetMode="External" Id="rId500" /><Relationship Type="http://schemas.openxmlformats.org/officeDocument/2006/relationships/hyperlink" Target="https://www.s-ponder.com/" TargetMode="External" Id="rId501" /><Relationship Type="http://schemas.openxmlformats.org/officeDocument/2006/relationships/hyperlink" Target="https://www.omg.school/" TargetMode="External" Id="rId502" /><Relationship Type="http://schemas.openxmlformats.org/officeDocument/2006/relationships/hyperlink" Target="https://www.qmsu.org/griffinn/" TargetMode="External" Id="rId503" /><Relationship Type="http://schemas.openxmlformats.org/officeDocument/2006/relationships/hyperlink" Target="https://ashrafandco.co.uk/" TargetMode="External" Id="rId504" /><Relationship Type="http://schemas.openxmlformats.org/officeDocument/2006/relationships/hyperlink" Target="https://www.muhitandco.com/?utm_source=google-maps" TargetMode="External" Id="rId505" /><Relationship Type="http://schemas.openxmlformats.org/officeDocument/2006/relationships/hyperlink" Target="https://www.rezasolicitors.com/" TargetMode="External" Id="rId506" /><Relationship Type="http://schemas.openxmlformats.org/officeDocument/2006/relationships/hyperlink" Target="https://www.rcsolicitors.uk/" TargetMode="External" Id="rId507" /><Relationship Type="http://schemas.openxmlformats.org/officeDocument/2006/relationships/hyperlink" Target="https://www.aptel.co.uk" TargetMode="External" Id="rId508" /><Relationship Type="http://schemas.openxmlformats.org/officeDocument/2006/relationships/hyperlink" Target="https://www.daffodilprepschool.org.uk/" TargetMode="External" Id="rId509" /><Relationship Type="http://schemas.openxmlformats.org/officeDocument/2006/relationships/hyperlink" Target="https://www.datepalmprimary.com/" TargetMode="External" Id="rId510" /><Relationship Type="http://schemas.openxmlformats.org/officeDocument/2006/relationships/hyperlink" Target="https://www.ideastore.co.uk/idea-store-watney-market" TargetMode="External" Id="rId511" /><Relationship Type="http://schemas.openxmlformats.org/officeDocument/2006/relationships/hyperlink" Target="https://www.lawmaticsolicitors.com/" TargetMode="External" Id="rId512" /><Relationship Type="http://schemas.openxmlformats.org/officeDocument/2006/relationships/hyperlink" Target="http://mhcaccountant.co.uk/" TargetMode="External" Id="rId513" /><Relationship Type="http://schemas.openxmlformats.org/officeDocument/2006/relationships/hyperlink" Target="http://www.londonislamicschool.org" TargetMode="External" Id="rId514" /><Relationship Type="http://schemas.openxmlformats.org/officeDocument/2006/relationships/hyperlink" Target="https://www.hereandnow365.co.uk/" TargetMode="External" Id="rId515" /><Relationship Type="http://schemas.openxmlformats.org/officeDocument/2006/relationships/hyperlink" Target="https://buttercupprimary.co.uk/" TargetMode="External" Id="rId516" /><Relationship Type="http://schemas.openxmlformats.org/officeDocument/2006/relationships/hyperlink" Target="https://jamiatulummah.org.uk/" TargetMode="External" Id="rId517" /><Relationship Type="http://schemas.openxmlformats.org/officeDocument/2006/relationships/hyperlink" Target="https://www.grapplecollective.com/" TargetMode="External" Id="rId518" /><Relationship Type="http://schemas.openxmlformats.org/officeDocument/2006/relationships/hyperlink" Target="https://diamondtdc.co.uk/" TargetMode="External" Id="rId519" /><Relationship Type="http://schemas.openxmlformats.org/officeDocument/2006/relationships/hyperlink" Target="https://www.brigita.co.uk/" TargetMode="External" Id="rId520" /><Relationship Type="http://schemas.openxmlformats.org/officeDocument/2006/relationships/hyperlink" Target="https://castleaccidentmanagement.com/" TargetMode="External" Id="rId521" /><Relationship Type="http://schemas.openxmlformats.org/officeDocument/2006/relationships/hyperlink" Target="https://jaypharmchemist.co.uk/" TargetMode="External" Id="rId522" /><Relationship Type="http://schemas.openxmlformats.org/officeDocument/2006/relationships/hyperlink" Target="https://www.rinkoffbakery.co.uk" TargetMode="External" Id="rId523" /><Relationship Type="http://schemas.openxmlformats.org/officeDocument/2006/relationships/hyperlink" Target="https://www.stepneypark.towerhamlets.sch.uk/" TargetMode="External" Id="rId524" /><Relationship Type="http://schemas.openxmlformats.org/officeDocument/2006/relationships/hyperlink" Target="https://stepneycityfarm.org/at-the-farm/farm-cafe/" TargetMode="External" Id="rId525" /><Relationship Type="http://schemas.openxmlformats.org/officeDocument/2006/relationships/hyperlink" Target="https://kampus-group.com/" TargetMode="External" Id="rId526" /><Relationship Type="http://schemas.openxmlformats.org/officeDocument/2006/relationships/hyperlink" Target="http://www.southwest-marketing.co.uk/" TargetMode="External" Id="rId527" /><Relationship Type="http://schemas.openxmlformats.org/officeDocument/2006/relationships/hyperlink" Target="https://www.afrikanakitchen.com/locations/mile-end" TargetMode="External" Id="rId528" /><Relationship Type="http://schemas.openxmlformats.org/officeDocument/2006/relationships/hyperlink" Target="https://mul.org.uk/" TargetMode="External" Id="rId529" /><Relationship Type="http://schemas.openxmlformats.org/officeDocument/2006/relationships/hyperlink" Target="https://www.relocators.uk.com/" TargetMode="External" Id="rId530" /><Relationship Type="http://schemas.openxmlformats.org/officeDocument/2006/relationships/hyperlink" Target="https://www.travelodge.co.uk/hotels/673/London-Mile-End-hotel" TargetMode="External" Id="rId531" /><Relationship Type="http://schemas.openxmlformats.org/officeDocument/2006/relationships/hyperlink" Target="https://www.johnscurr.towerhamlets.sch.uk" TargetMode="External" Id="rId532" /><Relationship Type="http://schemas.openxmlformats.org/officeDocument/2006/relationships/hyperlink" Target="https://largeprint.london/" TargetMode="External" Id="rId533" /><Relationship Type="http://schemas.openxmlformats.org/officeDocument/2006/relationships/hyperlink" Target="http://www.sdsolicitorsuk.com/" TargetMode="External" Id="rId534" /><Relationship Type="http://schemas.openxmlformats.org/officeDocument/2006/relationships/hyperlink" Target="https://www.ideastore.co.uk/local-history" TargetMode="External" Id="rId535" /><Relationship Type="http://schemas.openxmlformats.org/officeDocument/2006/relationships/hyperlink" Target="https://www.cityrooms.com/" TargetMode="External" Id="rId536" /><Relationship Type="http://schemas.openxmlformats.org/officeDocument/2006/relationships/hyperlink" Target="https://www.londoneastap.org.uk/" TargetMode="External" Id="rId537" /><Relationship Type="http://schemas.openxmlformats.org/officeDocument/2006/relationships/hyperlink" Target="https://www.iqstudentaccommodation.com/london/east-court" TargetMode="External" Id="rId538" /><Relationship Type="http://schemas.openxmlformats.org/officeDocument/2006/relationships/hyperlink" Target="https://www.mowchi.me/" TargetMode="External" Id="rId539" /><Relationship Type="http://schemas.openxmlformats.org/officeDocument/2006/relationships/hyperlink" Target="https://jetts.co.uk/gyms/jetts-stepney-green/" TargetMode="External" Id="rId540" /><Relationship Type="http://schemas.openxmlformats.org/officeDocument/2006/relationships/hyperlink" Target="https://www.whitehorsenotarypublic.com/" TargetMode="External" Id="rId541" /><Relationship Type="http://schemas.openxmlformats.org/officeDocument/2006/relationships/hyperlink" Target="http://www.whitehorselaw.com/" TargetMode="External" Id="rId542" /><Relationship Type="http://schemas.openxmlformats.org/officeDocument/2006/relationships/hyperlink" Target="https://cecos.ac.uk/" TargetMode="External" Id="rId543" /><Relationship Type="http://schemas.openxmlformats.org/officeDocument/2006/relationships/hyperlink" Target="https://www.silvermans.co.uk/" TargetMode="External" Id="rId544" /><Relationship Type="http://schemas.openxmlformats.org/officeDocument/2006/relationships/hyperlink" Target="https://www.benjonson.towerhamlets.sch.uk/" TargetMode="External" Id="rId545" /><Relationship Type="http://schemas.openxmlformats.org/officeDocument/2006/relationships/hyperlink" Target="https://www.mulberrystepneygreen.org/" TargetMode="External" Id="rId546" /><Relationship Type="http://schemas.openxmlformats.org/officeDocument/2006/relationships/hyperlink" Target="http://www.moonstoneaccountants.co.uk/" TargetMode="External" Id="rId547" /><Relationship Type="http://schemas.openxmlformats.org/officeDocument/2006/relationships/hyperlink" Target="https://www.braant.co.uk/locations/london-offices/" TargetMode="External" Id="rId548" /><Relationship Type="http://schemas.openxmlformats.org/officeDocument/2006/relationships/hyperlink" Target="https://css-law.co.uk/" TargetMode="External" Id="rId549" /><Relationship Type="http://schemas.openxmlformats.org/officeDocument/2006/relationships/hyperlink" Target="http://www.elite-accountancy.com/" TargetMode="External" Id="rId550" /><Relationship Type="http://schemas.openxmlformats.org/officeDocument/2006/relationships/hyperlink" Target="https://www.osmani.towerhamlets.sch.uk/" TargetMode="External" Id="rId551" /><Relationship Type="http://schemas.openxmlformats.org/officeDocument/2006/relationships/hyperlink" Target="https://www.spitalfieldscityfarm.org/" TargetMode="External" Id="rId552" /><Relationship Type="http://schemas.openxmlformats.org/officeDocument/2006/relationships/hyperlink" Target="https://www.thomasbuxton.towerhamlets.sch.uk/" TargetMode="External" Id="rId553" /><Relationship Type="http://schemas.openxmlformats.org/officeDocument/2006/relationships/hyperlink" Target="https://www.stannesgaprimary.com" TargetMode="External" Id="rId554" /><Relationship Type="http://schemas.openxmlformats.org/officeDocument/2006/relationships/hyperlink" Target="https://be-well.org.uk/centres/whitechapel-sports-centre/" TargetMode="External" Id="rId555" /><Relationship Type="http://schemas.openxmlformats.org/officeDocument/2006/relationships/hyperlink" Target="https://tajaccountants.co.uk/" TargetMode="External" Id="rId556" /><Relationship Type="http://schemas.openxmlformats.org/officeDocument/2006/relationships/hyperlink" Target="https://www.funicularproductions.com/" TargetMode="External" Id="rId557" /><Relationship Type="http://schemas.openxmlformats.org/officeDocument/2006/relationships/hyperlink" Target="https://www.swanlea.co.uk/" TargetMode="External" Id="rId558" /><Relationship Type="http://schemas.openxmlformats.org/officeDocument/2006/relationships/hyperlink" Target="http://www.nisaccountants.com/" TargetMode="External" Id="rId559" /><Relationship Type="http://schemas.openxmlformats.org/officeDocument/2006/relationships/hyperlink" Target="http://www.ttlondon.co.uk/" TargetMode="External" Id="rId560" /><Relationship Type="http://schemas.openxmlformats.org/officeDocument/2006/relationships/hyperlink" Target="https://www.startthedance.co.uk/" TargetMode="External" Id="rId561" /><Relationship Type="http://schemas.openxmlformats.org/officeDocument/2006/relationships/hyperlink" Target="http://www.turnupagency.com/" TargetMode="External" Id="rId562" /><Relationship Type="http://schemas.openxmlformats.org/officeDocument/2006/relationships/hyperlink" Target="https://doppiocoffee.co.uk/" TargetMode="External" Id="rId563" /><Relationship Type="http://schemas.openxmlformats.org/officeDocument/2006/relationships/hyperlink" Target="https://influence.digital/" TargetMode="External" Id="rId564" /><Relationship Type="http://schemas.openxmlformats.org/officeDocument/2006/relationships/hyperlink" Target="https://libreria.io/" TargetMode="External" Id="rId565" /><Relationship Type="http://schemas.openxmlformats.org/officeDocument/2006/relationships/hyperlink" Target="https://www.xhibit-homes.co.uk" TargetMode="External" Id="rId566" /><Relationship Type="http://schemas.openxmlformats.org/officeDocument/2006/relationships/hyperlink" Target="https://www.xandwhy.co.uk/location/huguenot-place?utm_source=google&amp;utm_medium=business-profile&amp;utm_campaign=huguenot-place" TargetMode="External" Id="rId567" /><Relationship Type="http://schemas.openxmlformats.org/officeDocument/2006/relationships/hyperlink" Target="http://wildanlegal.com/" TargetMode="External" Id="rId568" /><Relationship Type="http://schemas.openxmlformats.org/officeDocument/2006/relationships/hyperlink" Target="https://www.artsadmin.co.uk/toynbee-studios/cafe/" TargetMode="External" Id="rId569" /><Relationship Type="http://schemas.openxmlformats.org/officeDocument/2006/relationships/hyperlink" Target="https://www.niuhotpot.co.uk/" TargetMode="External" Id="rId570" /><Relationship Type="http://schemas.openxmlformats.org/officeDocument/2006/relationships/hyperlink" Target="https://www.somsaa.com/" TargetMode="External" Id="rId571" /><Relationship Type="http://schemas.openxmlformats.org/officeDocument/2006/relationships/hyperlink" Target="https://www.accorhotels.com/gb/hotel-5011-ibis-london-city/index.shtml" TargetMode="External" Id="rId572" /><Relationship Type="http://schemas.openxmlformats.org/officeDocument/2006/relationships/hyperlink" Target="https://www.bishopsgatelaw.com/london.html" TargetMode="External" Id="rId573" /><Relationship Type="http://schemas.openxmlformats.org/officeDocument/2006/relationships/hyperlink" Target="http://improbable.io/" TargetMode="External" Id="rId574" /><Relationship Type="http://schemas.openxmlformats.org/officeDocument/2006/relationships/hyperlink" Target="https://suditaliapizza.co.uk/" TargetMode="External" Id="rId575" /><Relationship Type="http://schemas.openxmlformats.org/officeDocument/2006/relationships/hyperlink" Target="http://matterofform.com/" TargetMode="External" Id="rId576" /><Relationship Type="http://schemas.openxmlformats.org/officeDocument/2006/relationships/hyperlink" Target="https://www.rudyspizza.co.uk/" TargetMode="External" Id="rId577" /><Relationship Type="http://schemas.openxmlformats.org/officeDocument/2006/relationships/hyperlink" Target="https://singburi.london/" TargetMode="External" Id="rId578" /><Relationship Type="http://schemas.openxmlformats.org/officeDocument/2006/relationships/hyperlink" Target="https://www.splendidtrading.co.uk/" TargetMode="External" Id="rId579" /><Relationship Type="http://schemas.openxmlformats.org/officeDocument/2006/relationships/hyperlink" Target="http://www.truth.ms/" TargetMode="External" Id="rId580" /><Relationship Type="http://schemas.openxmlformats.org/officeDocument/2006/relationships/hyperlink" Target="https://www.dallasburger.com/" TargetMode="External" Id="rId581" /><Relationship Type="http://schemas.openxmlformats.org/officeDocument/2006/relationships/hyperlink" Target="https://ceteralabs.com/" TargetMode="External" Id="rId582" /><Relationship Type="http://schemas.openxmlformats.org/officeDocument/2006/relationships/hyperlink" Target="https://www.madx.digital/" TargetMode="External" Id="rId583" /><Relationship Type="http://schemas.openxmlformats.org/officeDocument/2006/relationships/hyperlink" Target="https://www.smokinggoatbar.com/" TargetMode="External" Id="rId584" /><Relationship Type="http://schemas.openxmlformats.org/officeDocument/2006/relationships/hyperlink" Target="https://sohoworks.com/shoreditch/?utm_source=google&amp;utm_medium=organic&amp;utm_campaign=googlemybusiness" TargetMode="External" Id="rId585" /><Relationship Type="http://schemas.openxmlformats.org/officeDocument/2006/relationships/hyperlink" Target="https://www.cowlingandwilcox.com/ourshops.aspx" TargetMode="External" Id="rId586" /><Relationship Type="http://schemas.openxmlformats.org/officeDocument/2006/relationships/hyperlink" Target="https://onehundredshoreditch.com/eat-drink/seed-library/" TargetMode="External" Id="rId587" /><Relationship Type="http://schemas.openxmlformats.org/officeDocument/2006/relationships/hyperlink" Target="http://www.ralphandco.com/" TargetMode="External" Id="rId588" /><Relationship Type="http://schemas.openxmlformats.org/officeDocument/2006/relationships/hyperlink" Target="https://www.homeuk.net/" TargetMode="External" Id="rId589" /><Relationship Type="http://schemas.openxmlformats.org/officeDocument/2006/relationships/hyperlink" Target="http://www.huberslaw.co.uk/" TargetMode="External" Id="rId590" /><Relationship Type="http://schemas.openxmlformats.org/officeDocument/2006/relationships/hyperlink" Target="https://www.theculpeper.com/" TargetMode="External" Id="rId591" /><Relationship Type="http://schemas.openxmlformats.org/officeDocument/2006/relationships/hyperlink" Target="https://www.youngfoundation.org/" TargetMode="External" Id="rId592" /><Relationship Type="http://schemas.openxmlformats.org/officeDocument/2006/relationships/hyperlink" Target="https://www.toynbeehall.org.uk" TargetMode="External" Id="rId593" /><Relationship Type="http://schemas.openxmlformats.org/officeDocument/2006/relationships/hyperlink" Target="https://www.lupita.co.uk/" TargetMode="External" Id="rId594" /><Relationship Type="http://schemas.openxmlformats.org/officeDocument/2006/relationships/hyperlink" Target="https://www.cubitts.com/" TargetMode="External" Id="rId595" /><Relationship Type="http://schemas.openxmlformats.org/officeDocument/2006/relationships/hyperlink" Target="https://www.subabakery.com/" TargetMode="External" Id="rId596" /><Relationship Type="http://schemas.openxmlformats.org/officeDocument/2006/relationships/hyperlink" Target="https://www.yuukitchen.com/" TargetMode="External" Id="rId597" /><Relationship Type="http://schemas.openxmlformats.org/officeDocument/2006/relationships/hyperlink" Target="http://mk-law.co.uk/" TargetMode="External" Id="rId598" /><Relationship Type="http://schemas.openxmlformats.org/officeDocument/2006/relationships/hyperlink" Target="https://www.olympiaproperties.co.uk/" TargetMode="External" Id="rId599" /><Relationship Type="http://schemas.openxmlformats.org/officeDocument/2006/relationships/hyperlink" Target="https://futureworkshops.com/" TargetMode="External" Id="rId600" /><Relationship Type="http://schemas.openxmlformats.org/officeDocument/2006/relationships/hyperlink" Target="https://www.iln.co.uk/" TargetMode="External" Id="rId601" /><Relationship Type="http://schemas.openxmlformats.org/officeDocument/2006/relationships/hyperlink" Target="https://www.bricklanetaproom.co.uk/" TargetMode="External" Id="rId602" /><Relationship Type="http://schemas.openxmlformats.org/officeDocument/2006/relationships/hyperlink" Target="https://www.cafe1001.co.uk/" TargetMode="External" Id="rId603" /><Relationship Type="http://schemas.openxmlformats.org/officeDocument/2006/relationships/hyperlink" Target="https://www.slamcity.com" TargetMode="External" Id="rId604" /><Relationship Type="http://schemas.openxmlformats.org/officeDocument/2006/relationships/hyperlink" Target="https://sonofastag.com/" TargetMode="External" Id="rId605" /><Relationship Type="http://schemas.openxmlformats.org/officeDocument/2006/relationships/hyperlink" Target="http://www.hanburyhall.com/" TargetMode="External" Id="rId606" /><Relationship Type="http://schemas.openxmlformats.org/officeDocument/2006/relationships/hyperlink" Target="https://threerounds.co.uk/" TargetMode="External" Id="rId607" /><Relationship Type="http://schemas.openxmlformats.org/officeDocument/2006/relationships/hyperlink" Target="https://www.krestonreeves.com/locations/london/?utm_source=Organic%20search&amp;utm_medium=GMB" TargetMode="External" Id="rId608" /><Relationship Type="http://schemas.openxmlformats.org/officeDocument/2006/relationships/hyperlink" Target="https://strategiq.co/" TargetMode="External" Id="rId609" /><Relationship Type="http://schemas.openxmlformats.org/officeDocument/2006/relationships/hyperlink" Target="https://www.onericelondon.com/" TargetMode="External" Id="rId610" /><Relationship Type="http://schemas.openxmlformats.org/officeDocument/2006/relationships/hyperlink" Target="https://veganyes.co.uk" TargetMode="External" Id="rId611" /><Relationship Type="http://schemas.openxmlformats.org/officeDocument/2006/relationships/hyperlink" Target="https://amargaon.co.uk/" TargetMode="External" Id="rId612" /><Relationship Type="http://schemas.openxmlformats.org/officeDocument/2006/relationships/hyperlink" Target="https://www.ensolounge.com/" TargetMode="External" Id="rId613" /><Relationship Type="http://schemas.openxmlformats.org/officeDocument/2006/relationships/hyperlink" Target="https://www.reedsmith.com/" TargetMode="External" Id="rId614" /><Relationship Type="http://schemas.openxmlformats.org/officeDocument/2006/relationships/hyperlink" Target="https://attleecentre.org/" TargetMode="External" Id="rId615" /><Relationship Type="http://schemas.openxmlformats.org/officeDocument/2006/relationships/hyperlink" Target="https://thaiocha.co.uk/" TargetMode="External" Id="rId616" /><Relationship Type="http://schemas.openxmlformats.org/officeDocument/2006/relationships/hyperlink" Target="https://urbiana.co.uk/" TargetMode="External" Id="rId617" /><Relationship Type="http://schemas.openxmlformats.org/officeDocument/2006/relationships/hyperlink" Target="https://hoxtonwealth.com/uk" TargetMode="External" Id="rId618" /><Relationship Type="http://schemas.openxmlformats.org/officeDocument/2006/relationships/hyperlink" Target="https://www.thebuxton.co.uk/stay/" TargetMode="External" Id="rId619" /><Relationship Type="http://schemas.openxmlformats.org/officeDocument/2006/relationships/hyperlink" Target="https://mumbaisquare.co.uk/" TargetMode="External" Id="rId620" /><Relationship Type="http://schemas.openxmlformats.org/officeDocument/2006/relationships/hyperlink" Target="https://xianbiangbiangnoodles.com" TargetMode="External" Id="rId621" /><Relationship Type="http://schemas.openxmlformats.org/officeDocument/2006/relationships/hyperlink" Target="https://www.claytonhotelcityoflondon.com/" TargetMode="External" Id="rId622" /><Relationship Type="http://schemas.openxmlformats.org/officeDocument/2006/relationships/hyperlink" Target="https://ararestaurant.co.uk/" TargetMode="External" Id="rId623" /><Relationship Type="http://schemas.openxmlformats.org/officeDocument/2006/relationships/hyperlink" Target="https://londonaccountingfirm.co.uk/" TargetMode="External" Id="rId624" /><Relationship Type="http://schemas.openxmlformats.org/officeDocument/2006/relationships/hyperlink" Target="https://www.currentcafe.co.uk/" TargetMode="External" Id="rId625" /><Relationship Type="http://schemas.openxmlformats.org/officeDocument/2006/relationships/hyperlink" Target="https://www.grainkitchen.co.uk/" TargetMode="External" Id="rId626" /><Relationship Type="http://schemas.openxmlformats.org/officeDocument/2006/relationships/hyperlink" Target="https://1947restaurant.co.uk/" TargetMode="External" Id="rId627" /><Relationship Type="http://schemas.openxmlformats.org/officeDocument/2006/relationships/hyperlink" Target="https://bife.co.uk/" TargetMode="External" Id="rId628" /><Relationship Type="http://schemas.openxmlformats.org/officeDocument/2006/relationships/hyperlink" Target="https://www.rockerfellabarbers.com/" TargetMode="External" Id="rId629" /><Relationship Type="http://schemas.openxmlformats.org/officeDocument/2006/relationships/hyperlink" Target="https://www.thebellpub.co.uk/" TargetMode="External" Id="rId630" /><Relationship Type="http://schemas.openxmlformats.org/officeDocument/2006/relationships/hyperlink" Target="https://starbyliverpoolstreet.co.uk/" TargetMode="External" Id="rId631" /><Relationship Type="http://schemas.openxmlformats.org/officeDocument/2006/relationships/hyperlink" Target="https://discountsuitcompany.co.uk/" TargetMode="External" Id="rId632" /><Relationship Type="http://schemas.openxmlformats.org/officeDocument/2006/relationships/hyperlink" Target="https://www.duke.london/" TargetMode="External" Id="rId633" /><Relationship Type="http://schemas.openxmlformats.org/officeDocument/2006/relationships/hyperlink" Target="https://www.potterandreid.com/" TargetMode="External" Id="rId634" /><Relationship Type="http://schemas.openxmlformats.org/officeDocument/2006/relationships/hyperlink" Target="http://gunpowderlondon.com/" TargetMode="External" Id="rId635" /><Relationship Type="http://schemas.openxmlformats.org/officeDocument/2006/relationships/hyperlink" Target="https://wecovr.com/" TargetMode="External" Id="rId636" /><Relationship Type="http://schemas.openxmlformats.org/officeDocument/2006/relationships/hyperlink" Target="https://departmentofcoffee.com" TargetMode="External" Id="rId637" /><Relationship Type="http://schemas.openxmlformats.org/officeDocument/2006/relationships/hyperlink" Target="http://www.rare.consulting/" TargetMode="External" Id="rId638" /><Relationship Type="http://schemas.openxmlformats.org/officeDocument/2006/relationships/hyperlink" Target="https://www.sushinoen.com/" TargetMode="External" Id="rId639" /><Relationship Type="http://schemas.openxmlformats.org/officeDocument/2006/relationships/hyperlink" Target="https://www.thegate-london.com/" TargetMode="External" Id="rId640" /><Relationship Type="http://schemas.openxmlformats.org/officeDocument/2006/relationships/hyperlink" Target="https://www.dulcecoffeeandkitchen.com/" TargetMode="External" Id="rId641" /><Relationship Type="http://schemas.openxmlformats.org/officeDocument/2006/relationships/hyperlink" Target="http://www.freedompress.org.uk/" TargetMode="External" Id="rId642" /><Relationship Type="http://schemas.openxmlformats.org/officeDocument/2006/relationships/hyperlink" Target="https://www.whitechapelgallery.org/" TargetMode="External" Id="rId643" /><Relationship Type="http://schemas.openxmlformats.org/officeDocument/2006/relationships/hyperlink" Target="https://www.whitechapelgallery.org/eat-and-drink-the-whitechapel-refectory/" TargetMode="External" Id="rId644" /><Relationship Type="http://schemas.openxmlformats.org/officeDocument/2006/relationships/hyperlink" Target="https://lcmt.co.uk/about-us" TargetMode="External" Id="rId645" /><Relationship Type="http://schemas.openxmlformats.org/officeDocument/2006/relationships/hyperlink" Target="https://roasteryclub.co.uk/" TargetMode="External" Id="rId646" /><Relationship Type="http://schemas.openxmlformats.org/officeDocument/2006/relationships/hyperlink" Target="https://www.mulberrycanonbarnett.org/" TargetMode="External" Id="rId647" /><Relationship Type="http://schemas.openxmlformats.org/officeDocument/2006/relationships/hyperlink" Target="https://dauns.co.uk/" TargetMode="External" Id="rId648" /><Relationship Type="http://schemas.openxmlformats.org/officeDocument/2006/relationships/hyperlink" Target="https://happydays-restaurant.co.uk/" TargetMode="External" Id="rId649" /><Relationship Type="http://schemas.openxmlformats.org/officeDocument/2006/relationships/hyperlink" Target="https://www.cityoflondon.gov.uk/services/housing/resident-involvement/portsoken-community-centre-4" TargetMode="External" Id="rId650" /><Relationship Type="http://schemas.openxmlformats.org/officeDocument/2006/relationships/hyperlink" Target="http://www.ackroydlegal.com/" TargetMode="External" Id="rId651" /><Relationship Type="http://schemas.openxmlformats.org/officeDocument/2006/relationships/hyperlink" Target="http://hutchinslaw.co.uk/" TargetMode="External" Id="rId652" /><Relationship Type="http://schemas.openxmlformats.org/officeDocument/2006/relationships/hyperlink" Target="https://brandsmiths.co.uk/" TargetMode="External" Id="rId653" /><Relationship Type="http://schemas.openxmlformats.org/officeDocument/2006/relationships/hyperlink" Target="https://www.samsara.com/uk" TargetMode="External" Id="rId654" /><Relationship Type="http://schemas.openxmlformats.org/officeDocument/2006/relationships/hyperlink" Target="http://invokaconsulting.com/" TargetMode="External" Id="rId655" /><Relationship Type="http://schemas.openxmlformats.org/officeDocument/2006/relationships/hyperlink" Target="https://laka.co/" TargetMode="External" Id="rId656" /><Relationship Type="http://schemas.openxmlformats.org/officeDocument/2006/relationships/hyperlink" Target="https://www.hurford-salvi-carr.co.uk/" TargetMode="External" Id="rId657" /><Relationship Type="http://schemas.openxmlformats.org/officeDocument/2006/relationships/hyperlink" Target="https://hottopotto.co.uk/" TargetMode="External" Id="rId658" /><Relationship Type="http://schemas.openxmlformats.org/officeDocument/2006/relationships/hyperlink" Target="https://frequencycoffee.com/" TargetMode="External" Id="rId659" /><Relationship Type="http://schemas.openxmlformats.org/officeDocument/2006/relationships/hyperlink" Target="https://www.lockeliving.com/leman-locke/" TargetMode="External" Id="rId660" /><Relationship Type="http://schemas.openxmlformats.org/officeDocument/2006/relationships/hyperlink" Target="https://www.thedispensarylondon.co.uk/" TargetMode="External" Id="rId661" /><Relationship Type="http://schemas.openxmlformats.org/officeDocument/2006/relationships/hyperlink" Target="https://howladerandco.com/" TargetMode="External" Id="rId662" /><Relationship Type="http://schemas.openxmlformats.org/officeDocument/2006/relationships/hyperlink" Target="https://squaremileinsurance.com/" TargetMode="External" Id="rId663" /><Relationship Type="http://schemas.openxmlformats.org/officeDocument/2006/relationships/hyperlink" Target="https://www.aecom.com/projects/aldgate-tower/" TargetMode="External" Id="rId664" /><Relationship Type="http://schemas.openxmlformats.org/officeDocument/2006/relationships/hyperlink" Target="http://www.aethoscg.com/" TargetMode="External" Id="rId665" /><Relationship Type="http://schemas.openxmlformats.org/officeDocument/2006/relationships/hyperlink" Target="https://therunninghorsealdgate.co.uk/" TargetMode="External" Id="rId666" /><Relationship Type="http://schemas.openxmlformats.org/officeDocument/2006/relationships/hyperlink" Target="https://www.leonardohotels.co.uk/hotels/london/leonardo-royal-hotel-london-tower-bridge" TargetMode="External" Id="rId667" /><Relationship Type="http://schemas.openxmlformats.org/officeDocument/2006/relationships/hyperlink" Target="https://www.st-pauls.towerhamlets.sch.uk/" TargetMode="External" Id="rId668" /><Relationship Type="http://schemas.openxmlformats.org/officeDocument/2006/relationships/hyperlink" Target="https://wiltons.org.uk/" TargetMode="External" Id="rId669" /><Relationship Type="http://schemas.openxmlformats.org/officeDocument/2006/relationships/hyperlink" Target="https://www.jacktherippermuseum.com/" TargetMode="External" Id="rId670" /><Relationship Type="http://schemas.openxmlformats.org/officeDocument/2006/relationships/hyperlink" Target="https://booksy.com/en-gb/42326_toni-and-luci-barbers_barber_311817_london" TargetMode="External" Id="rId671" /><Relationship Type="http://schemas.openxmlformats.org/officeDocument/2006/relationships/hyperlink" Target="http://www.bellavita.com" TargetMode="External" Id="rId672" /><Relationship Type="http://schemas.openxmlformats.org/officeDocument/2006/relationships/hyperlink" Target="https://www.emiliaspasta.com/" TargetMode="External" Id="rId673" /><Relationship Type="http://schemas.openxmlformats.org/officeDocument/2006/relationships/hyperlink" Target="https://aimescape.com/" TargetMode="External" Id="rId674" /><Relationship Type="http://schemas.openxmlformats.org/officeDocument/2006/relationships/hyperlink" Target="https://www.knightfrank.co.uk/" TargetMode="External" Id="rId675" /><Relationship Type="http://schemas.openxmlformats.org/officeDocument/2006/relationships/hyperlink" Target="https://www.lemanstreettavern.co.uk/" TargetMode="External" Id="rId676" /><Relationship Type="http://schemas.openxmlformats.org/officeDocument/2006/relationships/hyperlink" Target="https://www.pizzaunion.com/" TargetMode="External" Id="rId677" /><Relationship Type="http://schemas.openxmlformats.org/officeDocument/2006/relationships/hyperlink" Target="https://www.barandblock.co.uk/" TargetMode="External" Id="rId678" /><Relationship Type="http://schemas.openxmlformats.org/officeDocument/2006/relationships/hyperlink" Target="https://www.erlang-solutions.com/" TargetMode="External" Id="rId679" /><Relationship Type="http://schemas.openxmlformats.org/officeDocument/2006/relationships/hyperlink" Target="https://boombattlebar.com/" TargetMode="External" Id="rId680" /><Relationship Type="http://schemas.openxmlformats.org/officeDocument/2006/relationships/hyperlink" Target="https://www.thisisamber.co.uk/" TargetMode="External" Id="rId681" /><Relationship Type="http://schemas.openxmlformats.org/officeDocument/2006/relationships/hyperlink" Target="https://goodmansfieldgp.co.uk/" TargetMode="External" Id="rId682" /><Relationship Type="http://schemas.openxmlformats.org/officeDocument/2006/relationships/hyperlink" Target="https://saichemist.co.uk/" TargetMode="External" Id="rId683" /><Relationship Type="http://schemas.openxmlformats.org/officeDocument/2006/relationships/hyperlink" Target="https://www.tiantian.london/" TargetMode="External" Id="rId684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hackney.gov.uk/courts-and-pitches" TargetMode="External" Id="rId1" /><Relationship Type="http://schemas.openxmlformats.org/officeDocument/2006/relationships/hyperlink" Target="https://pitchbooking.com/partners/MULBERRYSPORTSLEISURECENTRE" TargetMode="External" Id="rId2" /><Relationship Type="http://schemas.openxmlformats.org/officeDocument/2006/relationships/hyperlink" Target="https://bookings.better.org.uk/location/britannia-leisure-centre/3g-cage/2026-09-28/by-time" TargetMode="External" Id="rId3" /><Relationship Type="http://schemas.openxmlformats.org/officeDocument/2006/relationships/hyperlink" Target="https://bookings.better.org.uk/location/islington-tennis-centre/rosemary-gardens-activities" TargetMode="External" Id="rId4" /><Relationship Type="http://schemas.openxmlformats.org/officeDocument/2006/relationships/hyperlink" Target="https://bookmypitch.uk/slots/c5d1422b-8c1e-4497-b8a4-13cd96677bdc" TargetMode="External" Id="rId5" /><Relationship Type="http://schemas.openxmlformats.org/officeDocument/2006/relationships/hyperlink" Target="https://www.playfootball.net/venues/old-street-moreland-school/book-a-pitch/87/6-a-side3gpitchhire" TargetMode="External" Id="rId6" /><Relationship Type="http://schemas.openxmlformats.org/officeDocument/2006/relationships/hyperlink" Target="https://enni.space/search/2872-city-academy-hackney-3g-pitch" TargetMode="External" Id="rId7" /><Relationship Type="http://schemas.openxmlformats.org/officeDocument/2006/relationships/hyperlink" Target="https://enni.space/search/21782-cola-shoreditch-park-3g-5-a-side-pitch" TargetMode="External" Id="rId8" /><Relationship Type="http://schemas.openxmlformats.org/officeDocument/2006/relationships/hyperlink" Target="https://bookings.better.org.uk/location/islington-tennis-centre/market-road" TargetMode="External" Id="rId9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hackney.gov.uk/courts-and-pitches" TargetMode="External" Id="rId1" /><Relationship Type="http://schemas.openxmlformats.org/officeDocument/2006/relationships/hyperlink" Target="https://pitchbooking.com/partners/MULBERRYSPORTSLEISURECENTRE" TargetMode="External" Id="rId2" /><Relationship Type="http://schemas.openxmlformats.org/officeDocument/2006/relationships/hyperlink" Target="https://bookings.better.org.uk/location/britannia-leisure-centre/3g-cage/2026-09-28/by-time" TargetMode="External" Id="rId3" /><Relationship Type="http://schemas.openxmlformats.org/officeDocument/2006/relationships/hyperlink" Target="https://bookings.better.org.uk/location/islington-tennis-centre/rosemary-gardens-activities" TargetMode="External" Id="rId4" /><Relationship Type="http://schemas.openxmlformats.org/officeDocument/2006/relationships/hyperlink" Target="https://bookmypitch.uk/slots/c5d1422b-8c1e-4497-b8a4-13cd96677bdc" TargetMode="External" Id="rId5" /><Relationship Type="http://schemas.openxmlformats.org/officeDocument/2006/relationships/hyperlink" Target="https://bookmypitch.uk/slots/c5d1422b-8c1e-4497-b8a4-13cd96677bdc" TargetMode="External" Id="rId6" /><Relationship Type="http://schemas.openxmlformats.org/officeDocument/2006/relationships/hyperlink" Target="https://bookmypitch.uk/slots/c5d1422b-8c1e-4497-b8a4-13cd96677bdc" TargetMode="External" Id="rId7" /><Relationship Type="http://schemas.openxmlformats.org/officeDocument/2006/relationships/hyperlink" Target="https://bookmypitch.uk/slots/c5d1422b-8c1e-4497-b8a4-13cd96677bdc" TargetMode="External" Id="rId8" /><Relationship Type="http://schemas.openxmlformats.org/officeDocument/2006/relationships/hyperlink" Target="https://bookmypitch.uk/slots/c5d1422b-8c1e-4497-b8a4-13cd96677bdc" TargetMode="External" Id="rId9" /><Relationship Type="http://schemas.openxmlformats.org/officeDocument/2006/relationships/hyperlink" Target="https://bookmypitch.uk/slots/c5d1422b-8c1e-4497-b8a4-13cd96677bdc" TargetMode="External" Id="rId10" /><Relationship Type="http://schemas.openxmlformats.org/officeDocument/2006/relationships/hyperlink" Target="https://bookmypitch.uk/slots/c5d1422b-8c1e-4497-b8a4-13cd96677bdc" TargetMode="External" Id="rId11" /><Relationship Type="http://schemas.openxmlformats.org/officeDocument/2006/relationships/hyperlink" Target="https://bookmypitch.uk/slots/c5d1422b-8c1e-4497-b8a4-13cd96677bdc" TargetMode="External" Id="rId12" /><Relationship Type="http://schemas.openxmlformats.org/officeDocument/2006/relationships/hyperlink" Target="https://bookmypitch.uk/slots/c5d1422b-8c1e-4497-b8a4-13cd96677bdc" TargetMode="External" Id="rId13" /><Relationship Type="http://schemas.openxmlformats.org/officeDocument/2006/relationships/hyperlink" Target="https://bookmypitch.uk/slots/c5d1422b-8c1e-4497-b8a4-13cd96677bdc" TargetMode="External" Id="rId14" /><Relationship Type="http://schemas.openxmlformats.org/officeDocument/2006/relationships/hyperlink" Target="https://bookmypitch.uk/slots/c5d1422b-8c1e-4497-b8a4-13cd96677bdc" TargetMode="External" Id="rId15" /><Relationship Type="http://schemas.openxmlformats.org/officeDocument/2006/relationships/hyperlink" Target="https://bookmypitch.uk/slots/c5d1422b-8c1e-4497-b8a4-13cd96677bdc" TargetMode="External" Id="rId16" /><Relationship Type="http://schemas.openxmlformats.org/officeDocument/2006/relationships/hyperlink" Target="https://bookmypitch.uk/slots/c5d1422b-8c1e-4497-b8a4-13cd96677bdc" TargetMode="External" Id="rId17" /><Relationship Type="http://schemas.openxmlformats.org/officeDocument/2006/relationships/hyperlink" Target="https://bookmypitch.uk/slots/c5d1422b-8c1e-4497-b8a4-13cd96677bdc" TargetMode="External" Id="rId18" /><Relationship Type="http://schemas.openxmlformats.org/officeDocument/2006/relationships/hyperlink" Target="https://bookmypitch.uk/slots/c5d1422b-8c1e-4497-b8a4-13cd96677bdc" TargetMode="External" Id="rId19" /><Relationship Type="http://schemas.openxmlformats.org/officeDocument/2006/relationships/hyperlink" Target="https://bookmypitch.uk/slots/c5d1422b-8c1e-4497-b8a4-13cd96677bdc" TargetMode="External" Id="rId20" /><Relationship Type="http://schemas.openxmlformats.org/officeDocument/2006/relationships/hyperlink" Target="https://bookmypitch.uk/slots/c5d1422b-8c1e-4497-b8a4-13cd96677bdc" TargetMode="External" Id="rId21" /><Relationship Type="http://schemas.openxmlformats.org/officeDocument/2006/relationships/hyperlink" Target="https://bookmypitch.uk/slots/c5d1422b-8c1e-4497-b8a4-13cd96677bdc" TargetMode="External" Id="rId22" /><Relationship Type="http://schemas.openxmlformats.org/officeDocument/2006/relationships/hyperlink" Target="https://bookmypitch.uk/slots/c5d1422b-8c1e-4497-b8a4-13cd96677bdc" TargetMode="External" Id="rId23" /><Relationship Type="http://schemas.openxmlformats.org/officeDocument/2006/relationships/hyperlink" Target="https://bookmypitch.uk/slots/c5d1422b-8c1e-4497-b8a4-13cd96677bdc" TargetMode="External" Id="rId24" /><Relationship Type="http://schemas.openxmlformats.org/officeDocument/2006/relationships/hyperlink" Target="https://bookmypitch.uk/slots/c5d1422b-8c1e-4497-b8a4-13cd96677bdc" TargetMode="External" Id="rId25" /><Relationship Type="http://schemas.openxmlformats.org/officeDocument/2006/relationships/hyperlink" Target="https://bookmypitch.uk/slots/c5d1422b-8c1e-4497-b8a4-13cd96677bdc" TargetMode="External" Id="rId26" /><Relationship Type="http://schemas.openxmlformats.org/officeDocument/2006/relationships/hyperlink" Target="https://bookmypitch.uk/slots/c5d1422b-8c1e-4497-b8a4-13cd96677bdc" TargetMode="External" Id="rId27" /><Relationship Type="http://schemas.openxmlformats.org/officeDocument/2006/relationships/hyperlink" Target="https://bookmypitch.uk/slots/c5d1422b-8c1e-4497-b8a4-13cd96677bdc" TargetMode="External" Id="rId28" /><Relationship Type="http://schemas.openxmlformats.org/officeDocument/2006/relationships/hyperlink" Target="https://bookmypitch.uk/slots/c5d1422b-8c1e-4497-b8a4-13cd96677bdc" TargetMode="External" Id="rId29" /><Relationship Type="http://schemas.openxmlformats.org/officeDocument/2006/relationships/hyperlink" Target="https://bookmypitch.uk/slots/c5d1422b-8c1e-4497-b8a4-13cd96677bdc" TargetMode="External" Id="rId30" /><Relationship Type="http://schemas.openxmlformats.org/officeDocument/2006/relationships/hyperlink" Target="https://bookmypitch.uk/slots/c5d1422b-8c1e-4497-b8a4-13cd96677bdc" TargetMode="External" Id="rId31" /><Relationship Type="http://schemas.openxmlformats.org/officeDocument/2006/relationships/hyperlink" Target="https://bookmypitch.uk/slots/c5d1422b-8c1e-4497-b8a4-13cd96677bdc" TargetMode="External" Id="rId32" /><Relationship Type="http://schemas.openxmlformats.org/officeDocument/2006/relationships/hyperlink" Target="https://bookmypitch.uk/slots/c5d1422b-8c1e-4497-b8a4-13cd96677bdc" TargetMode="External" Id="rId33" /><Relationship Type="http://schemas.openxmlformats.org/officeDocument/2006/relationships/hyperlink" Target="https://bookmypitch.uk/slots/c5d1422b-8c1e-4497-b8a4-13cd96677bdc" TargetMode="External" Id="rId34" /><Relationship Type="http://schemas.openxmlformats.org/officeDocument/2006/relationships/hyperlink" Target="https://bookmypitch.uk/slots/c5d1422b-8c1e-4497-b8a4-13cd96677bdc" TargetMode="External" Id="rId35" /><Relationship Type="http://schemas.openxmlformats.org/officeDocument/2006/relationships/hyperlink" Target="https://bookmypitch.uk/slots/c5d1422b-8c1e-4497-b8a4-13cd96677bdc" TargetMode="External" Id="rId36" /><Relationship Type="http://schemas.openxmlformats.org/officeDocument/2006/relationships/hyperlink" Target="https://www.playfootball.net/venues/old-street-moreland-school/book-a-pitch/87/6-a-side3gpitchhire" TargetMode="External" Id="rId37" /><Relationship Type="http://schemas.openxmlformats.org/officeDocument/2006/relationships/hyperlink" Target="https://www.playfootball.net/venues/old-street-moreland-school/book-a-pitch/87/6-a-side3gpitchhire" TargetMode="External" Id="rId38" /><Relationship Type="http://schemas.openxmlformats.org/officeDocument/2006/relationships/hyperlink" Target="https://www.playfootball.net/venues/old-street-moreland-school/book-a-pitch/87/6-a-side3gpitchhire" TargetMode="External" Id="rId39" /><Relationship Type="http://schemas.openxmlformats.org/officeDocument/2006/relationships/hyperlink" Target="https://www.playfootball.net/venues/old-street-moreland-school/book-a-pitch/87/6-a-side3gpitchhire" TargetMode="External" Id="rId40" /><Relationship Type="http://schemas.openxmlformats.org/officeDocument/2006/relationships/hyperlink" Target="https://www.playfootball.net/venues/old-street-moreland-school/book-a-pitch/87/6-a-side3gpitchhire" TargetMode="External" Id="rId41" /><Relationship Type="http://schemas.openxmlformats.org/officeDocument/2006/relationships/hyperlink" Target="https://www.playfootball.net/venues/old-street-moreland-school/book-a-pitch/87/6-a-side3gpitchhire" TargetMode="External" Id="rId42" /><Relationship Type="http://schemas.openxmlformats.org/officeDocument/2006/relationships/hyperlink" Target="https://www.playfootball.net/venues/old-street-moreland-school/book-a-pitch/87/6-a-side3gpitchhire" TargetMode="External" Id="rId43" /><Relationship Type="http://schemas.openxmlformats.org/officeDocument/2006/relationships/hyperlink" Target="https://www.playfootball.net/venues/old-street-moreland-school/book-a-pitch/87/6-a-side3gpitchhire" TargetMode="External" Id="rId44" /><Relationship Type="http://schemas.openxmlformats.org/officeDocument/2006/relationships/hyperlink" Target="https://www.playfootball.net/venues/old-street-moreland-school/book-a-pitch/87/6-a-side3gpitchhire" TargetMode="External" Id="rId45" /><Relationship Type="http://schemas.openxmlformats.org/officeDocument/2006/relationships/hyperlink" Target="https://www.playfootball.net/venues/old-street-moreland-school/book-a-pitch/87/6-a-side3gpitchhire" TargetMode="External" Id="rId46" /><Relationship Type="http://schemas.openxmlformats.org/officeDocument/2006/relationships/hyperlink" Target="https://www.playfootball.net/venues/old-street-moreland-school/book-a-pitch/87/6-a-side3gpitchhire" TargetMode="External" Id="rId47" /><Relationship Type="http://schemas.openxmlformats.org/officeDocument/2006/relationships/hyperlink" Target="https://www.playfootball.net/venues/old-street-moreland-school/book-a-pitch/87/6-a-side3gpitchhire" TargetMode="External" Id="rId48" /><Relationship Type="http://schemas.openxmlformats.org/officeDocument/2006/relationships/hyperlink" Target="https://enni.space/search/2872-city-academy-hackney-3g-pitch" TargetMode="External" Id="rId49" /><Relationship Type="http://schemas.openxmlformats.org/officeDocument/2006/relationships/hyperlink" Target="https://enni.space/search/2872-city-academy-hackney-3g-pitch" TargetMode="External" Id="rId50" /><Relationship Type="http://schemas.openxmlformats.org/officeDocument/2006/relationships/hyperlink" Target="https://enni.space/search/2872-city-academy-hackney-3g-pitch" TargetMode="External" Id="rId51" /><Relationship Type="http://schemas.openxmlformats.org/officeDocument/2006/relationships/hyperlink" Target="https://enni.space/search/2872-city-academy-hackney-3g-pitch" TargetMode="External" Id="rId52" /><Relationship Type="http://schemas.openxmlformats.org/officeDocument/2006/relationships/hyperlink" Target="https://enni.space/search/21782-cola-shoreditch-park-3g-5-a-side-pitch" TargetMode="External" Id="rId53" /><Relationship Type="http://schemas.openxmlformats.org/officeDocument/2006/relationships/hyperlink" Target="https://enni.space/search/21782-cola-shoreditch-park-3g-5-a-side-pitch" TargetMode="External" Id="rId54" /><Relationship Type="http://schemas.openxmlformats.org/officeDocument/2006/relationships/hyperlink" Target="https://enni.space/search/21782-cola-shoreditch-park-3g-5-a-side-pitch" TargetMode="External" Id="rId55" /><Relationship Type="http://schemas.openxmlformats.org/officeDocument/2006/relationships/hyperlink" Target="https://enni.space/search/21782-cola-shoreditch-park-3g-5-a-side-pitch" TargetMode="External" Id="rId56" /><Relationship Type="http://schemas.openxmlformats.org/officeDocument/2006/relationships/hyperlink" Target="https://enni.space/search/21782-cola-shoreditch-park-3g-5-a-side-pitch" TargetMode="External" Id="rId57" /><Relationship Type="http://schemas.openxmlformats.org/officeDocument/2006/relationships/hyperlink" Target="https://enni.space/search/21782-cola-shoreditch-park-3g-5-a-side-pitch" TargetMode="External" Id="rId58" /><Relationship Type="http://schemas.openxmlformats.org/officeDocument/2006/relationships/hyperlink" Target="https://enni.space/search/21782-cola-shoreditch-park-3g-5-a-side-pitch" TargetMode="External" Id="rId59" /><Relationship Type="http://schemas.openxmlformats.org/officeDocument/2006/relationships/hyperlink" Target="https://enni.space/search/21782-cola-shoreditch-park-3g-5-a-side-pitch" TargetMode="External" Id="rId60" /><Relationship Type="http://schemas.openxmlformats.org/officeDocument/2006/relationships/hyperlink" Target="https://enni.space/search/21782-cola-shoreditch-park-3g-5-a-side-pitch" TargetMode="External" Id="rId61" /><Relationship Type="http://schemas.openxmlformats.org/officeDocument/2006/relationships/hyperlink" Target="https://enni.space/search/21782-cola-shoreditch-park-3g-5-a-side-pitch" TargetMode="External" Id="rId62" /><Relationship Type="http://schemas.openxmlformats.org/officeDocument/2006/relationships/hyperlink" Target="https://enni.space/search/21782-cola-shoreditch-park-3g-5-a-side-pitch" TargetMode="External" Id="rId63" /><Relationship Type="http://schemas.openxmlformats.org/officeDocument/2006/relationships/hyperlink" Target="https://enni.space/search/21782-cola-shoreditch-park-3g-5-a-side-pitch" TargetMode="External" Id="rId64" /><Relationship Type="http://schemas.openxmlformats.org/officeDocument/2006/relationships/hyperlink" Target="https://enni.space/search/21782-cola-shoreditch-park-3g-5-a-side-pitch" TargetMode="External" Id="rId65" /><Relationship Type="http://schemas.openxmlformats.org/officeDocument/2006/relationships/hyperlink" Target="https://enni.space/search/21782-cola-shoreditch-park-3g-5-a-side-pitch" TargetMode="External" Id="rId66" /><Relationship Type="http://schemas.openxmlformats.org/officeDocument/2006/relationships/hyperlink" Target="https://enni.space/search/21782-cola-shoreditch-park-3g-5-a-side-pitch" TargetMode="External" Id="rId67" /><Relationship Type="http://schemas.openxmlformats.org/officeDocument/2006/relationships/hyperlink" Target="https://enni.space/search/21782-cola-shoreditch-park-3g-5-a-side-pitch" TargetMode="External" Id="rId68" /><Relationship Type="http://schemas.openxmlformats.org/officeDocument/2006/relationships/hyperlink" Target="https://enni.space/search/21782-cola-shoreditch-park-3g-5-a-side-pitch" TargetMode="External" Id="rId69" /><Relationship Type="http://schemas.openxmlformats.org/officeDocument/2006/relationships/hyperlink" Target="https://enni.space/search/21782-cola-shoreditch-park-3g-5-a-side-pitch" TargetMode="External" Id="rId70" /><Relationship Type="http://schemas.openxmlformats.org/officeDocument/2006/relationships/hyperlink" Target="https://enni.space/search/21782-cola-shoreditch-park-3g-5-a-side-pitch" TargetMode="External" Id="rId71" /><Relationship Type="http://schemas.openxmlformats.org/officeDocument/2006/relationships/hyperlink" Target="https://enni.space/search/21782-cola-shoreditch-park-3g-5-a-side-pitch" TargetMode="External" Id="rId72" /><Relationship Type="http://schemas.openxmlformats.org/officeDocument/2006/relationships/hyperlink" Target="https://enni.space/search/21782-cola-shoreditch-park-3g-5-a-side-pitch" TargetMode="External" Id="rId73" /><Relationship Type="http://schemas.openxmlformats.org/officeDocument/2006/relationships/hyperlink" Target="https://enni.space/search/21782-cola-shoreditch-park-3g-5-a-side-pitch" TargetMode="External" Id="rId74" /><Relationship Type="http://schemas.openxmlformats.org/officeDocument/2006/relationships/hyperlink" Target="https://enni.space/search/21782-cola-shoreditch-park-3g-5-a-side-pitch" TargetMode="External" Id="rId75" /><Relationship Type="http://schemas.openxmlformats.org/officeDocument/2006/relationships/hyperlink" Target="https://enni.space/search/21782-cola-shoreditch-park-3g-5-a-side-pitch" TargetMode="External" Id="rId76" /><Relationship Type="http://schemas.openxmlformats.org/officeDocument/2006/relationships/hyperlink" Target="https://enni.space/search/21782-cola-shoreditch-park-3g-5-a-side-pitch" TargetMode="External" Id="rId77" /><Relationship Type="http://schemas.openxmlformats.org/officeDocument/2006/relationships/hyperlink" Target="https://enni.space/search/21782-cola-shoreditch-park-3g-5-a-side-pitch" TargetMode="External" Id="rId78" /><Relationship Type="http://schemas.openxmlformats.org/officeDocument/2006/relationships/hyperlink" Target="https://enni.space/search/21782-cola-shoreditch-park-3g-5-a-side-pitch" TargetMode="External" Id="rId79" /><Relationship Type="http://schemas.openxmlformats.org/officeDocument/2006/relationships/hyperlink" Target="https://enni.space/search/21782-cola-shoreditch-park-3g-5-a-side-pitch" TargetMode="External" Id="rId80" /><Relationship Type="http://schemas.openxmlformats.org/officeDocument/2006/relationships/hyperlink" Target="https://enni.space/search/21782-cola-shoreditch-park-3g-5-a-side-pitch" TargetMode="External" Id="rId81" /><Relationship Type="http://schemas.openxmlformats.org/officeDocument/2006/relationships/hyperlink" Target="https://enni.space/search/21782-cola-shoreditch-park-3g-5-a-side-pitch" TargetMode="External" Id="rId82" /><Relationship Type="http://schemas.openxmlformats.org/officeDocument/2006/relationships/hyperlink" Target="https://enni.space/search/21782-cola-shoreditch-park-3g-5-a-side-pitch" TargetMode="External" Id="rId83" /><Relationship Type="http://schemas.openxmlformats.org/officeDocument/2006/relationships/hyperlink" Target="https://enni.space/search/21782-cola-shoreditch-park-3g-5-a-side-pitch" TargetMode="External" Id="rId84" /><Relationship Type="http://schemas.openxmlformats.org/officeDocument/2006/relationships/hyperlink" Target="https://enni.space/search/21782-cola-shoreditch-park-3g-5-a-side-pitch" TargetMode="External" Id="rId85" /><Relationship Type="http://schemas.openxmlformats.org/officeDocument/2006/relationships/hyperlink" Target="https://enni.space/search/21782-cola-shoreditch-park-3g-5-a-side-pitch" TargetMode="External" Id="rId86" /><Relationship Type="http://schemas.openxmlformats.org/officeDocument/2006/relationships/hyperlink" Target="https://enni.space/search/21782-cola-shoreditch-park-3g-5-a-side-pitch" TargetMode="External" Id="rId87" /><Relationship Type="http://schemas.openxmlformats.org/officeDocument/2006/relationships/hyperlink" Target="https://enni.space/search/21782-cola-shoreditch-park-3g-5-a-side-pitch" TargetMode="External" Id="rId88" /><Relationship Type="http://schemas.openxmlformats.org/officeDocument/2006/relationships/hyperlink" Target="https://bookings.better.org.uk/location/islington-tennis-centre/market-road" TargetMode="External" Id="rId89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8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7" customWidth="1" min="2" max="2"/>
    <col width="20" customWidth="1" min="3" max="3"/>
    <col width="12" customWidth="1" min="4" max="4"/>
    <col width="34" customWidth="1" min="5" max="5"/>
    <col width="20" customWidth="1" min="6" max="6"/>
    <col width="30" customWidth="1" min="7" max="7"/>
    <col width="13" customWidth="1" min="8" max="8"/>
    <col width="16" customWidth="1" min="9" max="9"/>
    <col width="28" customWidth="1" min="10" max="10"/>
    <col width="30" customWidth="1" min="11" max="11"/>
    <col width="10" customWidth="1" min="12" max="12"/>
    <col width="26" customWidth="1" min="13" max="13"/>
    <col width="7" customWidth="1" min="14" max="14"/>
    <col width="15" customWidth="1" min="15" max="15"/>
    <col width="7" customWidth="1" min="16" max="16"/>
    <col width="19" customWidth="1" min="17" max="17"/>
    <col width="10" customWidth="1" min="18" max="18"/>
    <col width="26" customWidth="1" min="19" max="19"/>
    <col width="19" customWidth="1" min="20" max="20"/>
    <col width="10" customWidth="1" min="21" max="21"/>
    <col width="10" customWidth="1" min="22" max="22"/>
    <col width="24" customWidth="1" min="23" max="23"/>
    <col width="19" customWidth="1" min="24" max="24"/>
    <col width="10" customWidth="1" min="25" max="25"/>
    <col width="10" customWidth="1" min="26" max="26"/>
    <col width="60" customWidth="1" min="27" max="27"/>
    <col width="9" customWidth="1" min="28" max="28"/>
    <col width="11" customWidth="1" min="29" max="29"/>
    <col width="12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10" customWidth="1" min="36" max="36"/>
    <col width="40" customWidth="1" min="37" max="37"/>
    <col width="28" customWidth="1" min="38" max="38"/>
    <col width="30" customWidth="1" min="39" max="39"/>
  </cols>
  <sheetData>
    <row r="1">
      <c r="A1" s="1" t="inlineStr">
        <is>
          <t>Lead</t>
        </is>
      </c>
      <c r="M1" s="3" t="inlineStr">
        <is>
          <t>Tagged venue</t>
        </is>
      </c>
      <c r="R1" s="5" t="inlineStr">
        <is>
          <t>Fallback pitch</t>
        </is>
      </c>
      <c r="W1" s="7" t="inlineStr">
        <is>
          <t>Lead with (message)</t>
        </is>
      </c>
      <c r="AB1" s="9" t="inlineStr">
        <is>
          <t>Tracking — fill in</t>
        </is>
      </c>
    </row>
    <row r="2" ht="42" customHeight="1">
      <c r="A2" s="11" t="inlineStr">
        <is>
          <t>#</t>
        </is>
      </c>
      <c r="B2" s="11" t="inlineStr">
        <is>
          <t>Tier</t>
        </is>
      </c>
      <c r="C2" s="11" t="inlineStr">
        <is>
          <t>Segment</t>
        </is>
      </c>
      <c r="D2" s="11" t="inlineStr">
        <is>
          <t>List</t>
        </is>
      </c>
      <c r="E2" s="11" t="inlineStr">
        <is>
          <t>Business</t>
        </is>
      </c>
      <c r="F2" s="11" t="inlineStr">
        <is>
          <t>Industry</t>
        </is>
      </c>
      <c r="G2" s="11" t="inlineStr">
        <is>
          <t>Email</t>
        </is>
      </c>
      <c r="H2" s="11" t="inlineStr">
        <is>
          <t>Email type</t>
        </is>
      </c>
      <c r="I2" s="11" t="inlineStr">
        <is>
          <t>Phone</t>
        </is>
      </c>
      <c r="J2" s="11" t="inlineStr">
        <is>
          <t>Website</t>
        </is>
      </c>
      <c r="K2" s="11" t="inlineStr">
        <is>
          <t>Address</t>
        </is>
      </c>
      <c r="L2" s="11" t="inlineStr">
        <is>
          <t>Postcode</t>
        </is>
      </c>
      <c r="M2" s="11" t="inlineStr">
        <is>
          <t>Tagged venue</t>
        </is>
      </c>
      <c r="N2" s="11" t="inlineStr">
        <is>
          <t>Walk (min)</t>
        </is>
      </c>
      <c r="O2" s="11" t="inlineStr">
        <is>
          <t>Status</t>
        </is>
      </c>
      <c r="P2" s="11" t="inlineStr">
        <is>
          <t>Open slots</t>
        </is>
      </c>
      <c r="Q2" s="11" t="inlineStr">
        <is>
          <t>Earliest slot</t>
        </is>
      </c>
      <c r="R2" s="11" t="inlineStr">
        <is>
          <t>Bookable nearby?</t>
        </is>
      </c>
      <c r="S2" s="11" t="inlineStr">
        <is>
          <t>Fallback venue</t>
        </is>
      </c>
      <c r="T2" s="11" t="inlineStr">
        <is>
          <t>Fallback slot</t>
        </is>
      </c>
      <c r="U2" s="11" t="inlineStr">
        <is>
          <t>Format</t>
        </is>
      </c>
      <c r="V2" s="11" t="inlineStr">
        <is>
          <t>Cost per player at cost (£)</t>
        </is>
      </c>
      <c r="W2" s="11" t="inlineStr">
        <is>
          <t>Lead with: venue</t>
        </is>
      </c>
      <c r="X2" s="11" t="inlineStr">
        <is>
          <t>Lead with: slot</t>
        </is>
      </c>
      <c r="Y2" s="11" t="inlineStr">
        <is>
          <t>Lead with: format</t>
        </is>
      </c>
      <c r="Z2" s="11" t="inlineStr">
        <is>
          <t>Lead with: price per player (£)</t>
        </is>
      </c>
      <c r="AA2" s="11" t="inlineStr">
        <is>
          <t>Lead-with line (for drafting)</t>
        </is>
      </c>
      <c r="AB2" s="12" t="inlineStr">
        <is>
          <t>Owner</t>
        </is>
      </c>
      <c r="AC2" s="12" t="inlineStr">
        <is>
          <t>Channel</t>
        </is>
      </c>
      <c r="AD2" s="12" t="inlineStr">
        <is>
          <t>Contacted on</t>
        </is>
      </c>
      <c r="AE2" s="12" t="inlineStr">
        <is>
          <t>Replied</t>
        </is>
      </c>
      <c r="AF2" s="12" t="inlineStr">
        <is>
          <t>Call booked</t>
        </is>
      </c>
      <c r="AG2" s="12" t="inlineStr">
        <is>
          <t>Group created</t>
        </is>
      </c>
      <c r="AH2" s="12" t="inlineStr">
        <is>
          <t>First game booked</t>
        </is>
      </c>
      <c r="AI2" s="12" t="inlineStr">
        <is>
          <t>Second game booked</t>
        </is>
      </c>
      <c r="AJ2" s="12" t="inlineStr">
        <is>
          <t>Sees us as competitor?</t>
        </is>
      </c>
      <c r="AK2" s="12" t="inlineStr">
        <is>
          <t>Objection (exact words)</t>
        </is>
      </c>
      <c r="AL2" s="12" t="inlineStr">
        <is>
          <t>Next step</t>
        </is>
      </c>
      <c r="AM2" s="12" t="inlineStr">
        <is>
          <t>Notes</t>
        </is>
      </c>
    </row>
    <row r="3">
      <c r="A3" s="13" t="n">
        <v>1</v>
      </c>
      <c r="B3" s="13" t="inlineStr">
        <is>
          <t>1 · E2 Haggerston</t>
        </is>
      </c>
      <c r="C3" s="13" t="inlineStr">
        <is>
          <t>Hospitality</t>
        </is>
      </c>
      <c r="D3" s="13" t="inlineStr">
        <is>
          <t>Local businesses</t>
        </is>
      </c>
      <c r="E3" s="13" t="inlineStr">
        <is>
          <t>E. Pellicci</t>
        </is>
      </c>
      <c r="F3" s="13" t="inlineStr">
        <is>
          <t>amenity: cafe</t>
        </is>
      </c>
      <c r="G3" s="13" t="inlineStr">
        <is>
          <t>epelliccicafe@gmail.com</t>
        </is>
      </c>
      <c r="H3" s="13" t="inlineStr">
        <is>
          <t>openstreetmap_tag</t>
        </is>
      </c>
      <c r="I3" s="13" t="inlineStr">
        <is>
          <t>+44 20 7739 4873</t>
        </is>
      </c>
      <c r="J3" s="14" t="inlineStr">
        <is>
          <t>https://epellicci.co.uk/</t>
        </is>
      </c>
      <c r="K3" s="13" t="inlineStr">
        <is>
          <t>Bethnal Green Road 332, London</t>
        </is>
      </c>
      <c r="L3" s="13" t="inlineStr">
        <is>
          <t>E2 0AG</t>
        </is>
      </c>
      <c r="M3" s="13" t="inlineStr">
        <is>
          <t>Stepney 3G</t>
        </is>
      </c>
      <c r="N3" s="13" t="n">
        <v>18</v>
      </c>
      <c r="O3" s="15">
        <f>IFERROR(INDEX(Venues!$C$2:$C$10,MATCH(M3,Venues!$A$2:$A$10,0)),"Not checked")</f>
        <v/>
      </c>
      <c r="P3" s="15">
        <f>IFERROR(INDEX(Venues!$D$2:$D$10,MATCH(M3,Venues!$A$2:$A$10,0)),0)</f>
        <v/>
      </c>
      <c r="Q3" s="42">
        <f>IFERROR(INDEX(Venues!$E$2:$E$10,MATCH(M3,Venues!$A$2:$A$10,0)),"")</f>
        <v/>
      </c>
      <c r="R3" s="15">
        <f>IF(P3&gt;0,"Yes","No")</f>
        <v/>
      </c>
      <c r="S3" s="13" t="inlineStr">
        <is>
          <t>COLA Shoreditch Park</t>
        </is>
      </c>
      <c r="T3" s="42">
        <f>IFERROR(INDEX(Venues!$E$2:$E$10,MATCH(S3,Venues!$A$2:$A$10,0)),"")</f>
        <v/>
      </c>
      <c r="U3" s="15">
        <f>IFERROR(INDEX(Venues!$F$2:$F$10,MATCH(S3,Venues!$A$2:$A$10,0)),"")</f>
        <v/>
      </c>
      <c r="V3" s="43">
        <f>IFERROR(INDEX(Venues!$H$2:$H$10,MATCH(S3,Venues!$A$2:$A$10,0)),"")</f>
        <v/>
      </c>
      <c r="W3" s="15">
        <f>IF('Pilot offer'!$C$24="Yes",'Pilot offer'!$C$3,S3)</f>
        <v/>
      </c>
      <c r="X3" s="42">
        <f>IF('Pilot offer'!$C$24="Yes",'Pilot offer'!$C$5+'Pilot offer'!$C$6,T3)</f>
        <v/>
      </c>
      <c r="Y3" s="15">
        <f>IF('Pilot offer'!$C$24="Yes",'Pilot offer'!$C$8,U3)</f>
        <v/>
      </c>
      <c r="Z3" s="43">
        <f>IF('Pilot offer'!$C$24="Yes",'Pilot offer'!$C$11,"")</f>
        <v/>
      </c>
      <c r="AA3" s="15">
        <f>IF(X3="","",W3&amp;" · "&amp;TEXT(X3,"ddd d mmm, hh:mm")&amp;" · "&amp;Y3&amp;IF(Z3&lt;&gt;""," · £"&amp;TEXT(Z3,"0.00")&amp;" per player"," · price TBC (cost £"&amp;TEXT(V3,"0.00")&amp;" pp)"))</f>
        <v/>
      </c>
      <c r="AD3" s="44" t="n"/>
    </row>
    <row r="4">
      <c r="A4" s="13" t="n">
        <v>2</v>
      </c>
      <c r="B4" s="13" t="inlineStr">
        <is>
          <t>1 · E2 Haggerston</t>
        </is>
      </c>
      <c r="C4" s="13" t="inlineStr">
        <is>
          <t>Retail</t>
        </is>
      </c>
      <c r="D4" s="13" t="inlineStr">
        <is>
          <t>Local businesses</t>
        </is>
      </c>
      <c r="E4" s="13" t="inlineStr">
        <is>
          <t>Trotters Jewellers</t>
        </is>
      </c>
      <c r="F4" s="13" t="inlineStr">
        <is>
          <t>shop: jewelry</t>
        </is>
      </c>
      <c r="G4" s="13" t="inlineStr">
        <is>
          <t>info@trottersjewellers.com</t>
        </is>
      </c>
      <c r="H4" s="13" t="inlineStr">
        <is>
          <t>general</t>
        </is>
      </c>
      <c r="I4" s="13" t="inlineStr">
        <is>
          <t>+44 7399 606868</t>
        </is>
      </c>
      <c r="J4" s="14" t="inlineStr">
        <is>
          <t>http://www.trottersjewellers.com/</t>
        </is>
      </c>
      <c r="K4" s="13" t="inlineStr">
        <is>
          <t>Bethnal Green Road 350, London</t>
        </is>
      </c>
      <c r="L4" s="13" t="inlineStr">
        <is>
          <t>E2 0AH</t>
        </is>
      </c>
      <c r="M4" s="13" t="inlineStr">
        <is>
          <t>Stepney 3G</t>
        </is>
      </c>
      <c r="N4" s="13" t="n">
        <v>17</v>
      </c>
      <c r="O4" s="15">
        <f>IFERROR(INDEX(Venues!$C$2:$C$10,MATCH(M4,Venues!$A$2:$A$10,0)),"Not checked")</f>
        <v/>
      </c>
      <c r="P4" s="15">
        <f>IFERROR(INDEX(Venues!$D$2:$D$10,MATCH(M4,Venues!$A$2:$A$10,0)),0)</f>
        <v/>
      </c>
      <c r="Q4" s="42">
        <f>IFERROR(INDEX(Venues!$E$2:$E$10,MATCH(M4,Venues!$A$2:$A$10,0)),"")</f>
        <v/>
      </c>
      <c r="R4" s="15">
        <f>IF(P4&gt;0,"Yes","No")</f>
        <v/>
      </c>
      <c r="S4" s="13" t="inlineStr">
        <is>
          <t>COLA Shoreditch Park</t>
        </is>
      </c>
      <c r="T4" s="42">
        <f>IFERROR(INDEX(Venues!$E$2:$E$10,MATCH(S4,Venues!$A$2:$A$10,0)),"")</f>
        <v/>
      </c>
      <c r="U4" s="15">
        <f>IFERROR(INDEX(Venues!$F$2:$F$10,MATCH(S4,Venues!$A$2:$A$10,0)),"")</f>
        <v/>
      </c>
      <c r="V4" s="43">
        <f>IFERROR(INDEX(Venues!$H$2:$H$10,MATCH(S4,Venues!$A$2:$A$10,0)),"")</f>
        <v/>
      </c>
      <c r="W4" s="15">
        <f>IF('Pilot offer'!$C$24="Yes",'Pilot offer'!$C$3,S4)</f>
        <v/>
      </c>
      <c r="X4" s="42">
        <f>IF('Pilot offer'!$C$24="Yes",'Pilot offer'!$C$5+'Pilot offer'!$C$6,T4)</f>
        <v/>
      </c>
      <c r="Y4" s="15">
        <f>IF('Pilot offer'!$C$24="Yes",'Pilot offer'!$C$8,U4)</f>
        <v/>
      </c>
      <c r="Z4" s="43">
        <f>IF('Pilot offer'!$C$24="Yes",'Pilot offer'!$C$11,"")</f>
        <v/>
      </c>
      <c r="AA4" s="15">
        <f>IF(X4="","",W4&amp;" · "&amp;TEXT(X4,"ddd d mmm, hh:mm")&amp;" · "&amp;Y4&amp;IF(Z4&lt;&gt;""," · £"&amp;TEXT(Z4,"0.00")&amp;" per player"," · price TBC (cost £"&amp;TEXT(V4,"0.00")&amp;" pp)"))</f>
        <v/>
      </c>
      <c r="AD4" s="44" t="n"/>
    </row>
    <row r="5">
      <c r="A5" s="13" t="n">
        <v>3</v>
      </c>
      <c r="B5" s="13" t="inlineStr">
        <is>
          <t>1 · E2 Haggerston</t>
        </is>
      </c>
      <c r="C5" s="13" t="inlineStr">
        <is>
          <t>Hospitality</t>
        </is>
      </c>
      <c r="D5" s="13" t="inlineStr">
        <is>
          <t>Local businesses</t>
        </is>
      </c>
      <c r="E5" s="13" t="inlineStr">
        <is>
          <t>The Old George</t>
        </is>
      </c>
      <c r="F5" s="13" t="inlineStr">
        <is>
          <t>amenity: pub</t>
        </is>
      </c>
      <c r="G5" s="13" t="inlineStr">
        <is>
          <t>oldgeorge@anticlondon.com</t>
        </is>
      </c>
      <c r="H5" s="13" t="inlineStr">
        <is>
          <t>openstreetmap_tag</t>
        </is>
      </c>
      <c r="I5" s="13" t="inlineStr">
        <is>
          <t>+44 20 7033 9726</t>
        </is>
      </c>
      <c r="J5" s="14" t="inlineStr">
        <is>
          <t>https://www.crafted-social.co.uk/old-george-bethnal-green</t>
        </is>
      </c>
      <c r="K5" s="13" t="inlineStr">
        <is>
          <t>Bethnal Green Road 379, London</t>
        </is>
      </c>
      <c r="L5" s="13" t="inlineStr">
        <is>
          <t>E2 0AN</t>
        </is>
      </c>
      <c r="M5" s="13" t="inlineStr">
        <is>
          <t>Stepney 3G</t>
        </is>
      </c>
      <c r="N5" s="13" t="n">
        <v>15</v>
      </c>
      <c r="O5" s="15">
        <f>IFERROR(INDEX(Venues!$C$2:$C$10,MATCH(M5,Venues!$A$2:$A$10,0)),"Not checked")</f>
        <v/>
      </c>
      <c r="P5" s="15">
        <f>IFERROR(INDEX(Venues!$D$2:$D$10,MATCH(M5,Venues!$A$2:$A$10,0)),0)</f>
        <v/>
      </c>
      <c r="Q5" s="42">
        <f>IFERROR(INDEX(Venues!$E$2:$E$10,MATCH(M5,Venues!$A$2:$A$10,0)),"")</f>
        <v/>
      </c>
      <c r="R5" s="15">
        <f>IF(P5&gt;0,"Yes","No")</f>
        <v/>
      </c>
      <c r="S5" s="13" t="inlineStr">
        <is>
          <t>COLA Shoreditch Park</t>
        </is>
      </c>
      <c r="T5" s="42">
        <f>IFERROR(INDEX(Venues!$E$2:$E$10,MATCH(S5,Venues!$A$2:$A$10,0)),"")</f>
        <v/>
      </c>
      <c r="U5" s="15">
        <f>IFERROR(INDEX(Venues!$F$2:$F$10,MATCH(S5,Venues!$A$2:$A$10,0)),"")</f>
        <v/>
      </c>
      <c r="V5" s="43">
        <f>IFERROR(INDEX(Venues!$H$2:$H$10,MATCH(S5,Venues!$A$2:$A$10,0)),"")</f>
        <v/>
      </c>
      <c r="W5" s="15">
        <f>IF('Pilot offer'!$C$24="Yes",'Pilot offer'!$C$3,S5)</f>
        <v/>
      </c>
      <c r="X5" s="42">
        <f>IF('Pilot offer'!$C$24="Yes",'Pilot offer'!$C$5+'Pilot offer'!$C$6,T5)</f>
        <v/>
      </c>
      <c r="Y5" s="15">
        <f>IF('Pilot offer'!$C$24="Yes",'Pilot offer'!$C$8,U5)</f>
        <v/>
      </c>
      <c r="Z5" s="43">
        <f>IF('Pilot offer'!$C$24="Yes",'Pilot offer'!$C$11,"")</f>
        <v/>
      </c>
      <c r="AA5" s="15">
        <f>IF(X5="","",W5&amp;" · "&amp;TEXT(X5,"ddd d mmm, hh:mm")&amp;" · "&amp;Y5&amp;IF(Z5&lt;&gt;""," · £"&amp;TEXT(Z5,"0.00")&amp;" per player"," · price TBC (cost £"&amp;TEXT(V5,"0.00")&amp;" pp)"))</f>
        <v/>
      </c>
      <c r="AD5" s="44" t="n"/>
    </row>
    <row r="6">
      <c r="A6" s="13" t="n">
        <v>4</v>
      </c>
      <c r="B6" s="13" t="inlineStr">
        <is>
          <t>1 · E2 Haggerston</t>
        </is>
      </c>
      <c r="C6" s="13" t="inlineStr">
        <is>
          <t>Hospitality</t>
        </is>
      </c>
      <c r="D6" s="13" t="inlineStr">
        <is>
          <t>Local businesses</t>
        </is>
      </c>
      <c r="E6" s="13" t="inlineStr">
        <is>
          <t>The Sun Tavern</t>
        </is>
      </c>
      <c r="F6" s="13" t="inlineStr">
        <is>
          <t>amenity: pub</t>
        </is>
      </c>
      <c r="G6" s="13" t="inlineStr">
        <is>
          <t>info@thesuntavern.co.uk</t>
        </is>
      </c>
      <c r="H6" s="13" t="inlineStr">
        <is>
          <t>general</t>
        </is>
      </c>
      <c r="I6" s="13" t="n"/>
      <c r="J6" s="14" t="inlineStr">
        <is>
          <t>https://www.thesuntavern.co.uk/</t>
        </is>
      </c>
      <c r="K6" s="13" t="inlineStr">
        <is>
          <t>Bethnal Green Road 441, London</t>
        </is>
      </c>
      <c r="L6" s="13" t="inlineStr">
        <is>
          <t>E2 0AN</t>
        </is>
      </c>
      <c r="M6" s="13" t="inlineStr">
        <is>
          <t>Stepney 3G</t>
        </is>
      </c>
      <c r="N6" s="13" t="n">
        <v>13</v>
      </c>
      <c r="O6" s="15">
        <f>IFERROR(INDEX(Venues!$C$2:$C$10,MATCH(M6,Venues!$A$2:$A$10,0)),"Not checked")</f>
        <v/>
      </c>
      <c r="P6" s="15">
        <f>IFERROR(INDEX(Venues!$D$2:$D$10,MATCH(M6,Venues!$A$2:$A$10,0)),0)</f>
        <v/>
      </c>
      <c r="Q6" s="42">
        <f>IFERROR(INDEX(Venues!$E$2:$E$10,MATCH(M6,Venues!$A$2:$A$10,0)),"")</f>
        <v/>
      </c>
      <c r="R6" s="15">
        <f>IF(P6&gt;0,"Yes","No")</f>
        <v/>
      </c>
      <c r="S6" s="13" t="inlineStr">
        <is>
          <t>COLA Shoreditch Park</t>
        </is>
      </c>
      <c r="T6" s="42">
        <f>IFERROR(INDEX(Venues!$E$2:$E$10,MATCH(S6,Venues!$A$2:$A$10,0)),"")</f>
        <v/>
      </c>
      <c r="U6" s="15">
        <f>IFERROR(INDEX(Venues!$F$2:$F$10,MATCH(S6,Venues!$A$2:$A$10,0)),"")</f>
        <v/>
      </c>
      <c r="V6" s="43">
        <f>IFERROR(INDEX(Venues!$H$2:$H$10,MATCH(S6,Venues!$A$2:$A$10,0)),"")</f>
        <v/>
      </c>
      <c r="W6" s="15">
        <f>IF('Pilot offer'!$C$24="Yes",'Pilot offer'!$C$3,S6)</f>
        <v/>
      </c>
      <c r="X6" s="42">
        <f>IF('Pilot offer'!$C$24="Yes",'Pilot offer'!$C$5+'Pilot offer'!$C$6,T6)</f>
        <v/>
      </c>
      <c r="Y6" s="15">
        <f>IF('Pilot offer'!$C$24="Yes",'Pilot offer'!$C$8,U6)</f>
        <v/>
      </c>
      <c r="Z6" s="43">
        <f>IF('Pilot offer'!$C$24="Yes",'Pilot offer'!$C$11,"")</f>
        <v/>
      </c>
      <c r="AA6" s="15">
        <f>IF(X6="","",W6&amp;" · "&amp;TEXT(X6,"ddd d mmm, hh:mm")&amp;" · "&amp;Y6&amp;IF(Z6&lt;&gt;""," · £"&amp;TEXT(Z6,"0.00")&amp;" per player"," · price TBC (cost £"&amp;TEXT(V6,"0.00")&amp;" pp)"))</f>
        <v/>
      </c>
      <c r="AD6" s="44" t="n"/>
    </row>
    <row r="7">
      <c r="A7" s="13" t="n">
        <v>5</v>
      </c>
      <c r="B7" s="13" t="inlineStr">
        <is>
          <t>1 · E2 Haggerston</t>
        </is>
      </c>
      <c r="C7" s="13" t="inlineStr">
        <is>
          <t>Hospitality</t>
        </is>
      </c>
      <c r="D7" s="13" t="inlineStr">
        <is>
          <t>Local businesses</t>
        </is>
      </c>
      <c r="E7" s="13" t="inlineStr">
        <is>
          <t>Hostelle</t>
        </is>
      </c>
      <c r="F7" s="13" t="inlineStr">
        <is>
          <t>tourism: hostel</t>
        </is>
      </c>
      <c r="G7" s="13" t="inlineStr">
        <is>
          <t>info@hostelle.co.uk</t>
        </is>
      </c>
      <c r="H7" s="13" t="inlineStr">
        <is>
          <t>general</t>
        </is>
      </c>
      <c r="I7" s="13" t="inlineStr">
        <is>
          <t>+44 20 7646 6671</t>
        </is>
      </c>
      <c r="J7" s="14" t="inlineStr">
        <is>
          <t>https://www.hostelle.co.uk/</t>
        </is>
      </c>
      <c r="K7" s="13" t="inlineStr">
        <is>
          <t>Bethnal Green Road 458, London</t>
        </is>
      </c>
      <c r="L7" s="13" t="inlineStr">
        <is>
          <t>E2 0EA</t>
        </is>
      </c>
      <c r="M7" s="13" t="inlineStr">
        <is>
          <t>Stepney 3G</t>
        </is>
      </c>
      <c r="N7" s="13" t="n">
        <v>12</v>
      </c>
      <c r="O7" s="15">
        <f>IFERROR(INDEX(Venues!$C$2:$C$10,MATCH(M7,Venues!$A$2:$A$10,0)),"Not checked")</f>
        <v/>
      </c>
      <c r="P7" s="15">
        <f>IFERROR(INDEX(Venues!$D$2:$D$10,MATCH(M7,Venues!$A$2:$A$10,0)),0)</f>
        <v/>
      </c>
      <c r="Q7" s="42">
        <f>IFERROR(INDEX(Venues!$E$2:$E$10,MATCH(M7,Venues!$A$2:$A$10,0)),"")</f>
        <v/>
      </c>
      <c r="R7" s="15">
        <f>IF(P7&gt;0,"Yes","No")</f>
        <v/>
      </c>
      <c r="S7" s="13" t="inlineStr">
        <is>
          <t>COLA Shoreditch Park</t>
        </is>
      </c>
      <c r="T7" s="42">
        <f>IFERROR(INDEX(Venues!$E$2:$E$10,MATCH(S7,Venues!$A$2:$A$10,0)),"")</f>
        <v/>
      </c>
      <c r="U7" s="15">
        <f>IFERROR(INDEX(Venues!$F$2:$F$10,MATCH(S7,Venues!$A$2:$A$10,0)),"")</f>
        <v/>
      </c>
      <c r="V7" s="43">
        <f>IFERROR(INDEX(Venues!$H$2:$H$10,MATCH(S7,Venues!$A$2:$A$10,0)),"")</f>
        <v/>
      </c>
      <c r="W7" s="15">
        <f>IF('Pilot offer'!$C$24="Yes",'Pilot offer'!$C$3,S7)</f>
        <v/>
      </c>
      <c r="X7" s="42">
        <f>IF('Pilot offer'!$C$24="Yes",'Pilot offer'!$C$5+'Pilot offer'!$C$6,T7)</f>
        <v/>
      </c>
      <c r="Y7" s="15">
        <f>IF('Pilot offer'!$C$24="Yes",'Pilot offer'!$C$8,U7)</f>
        <v/>
      </c>
      <c r="Z7" s="43">
        <f>IF('Pilot offer'!$C$24="Yes",'Pilot offer'!$C$11,"")</f>
        <v/>
      </c>
      <c r="AA7" s="15">
        <f>IF(X7="","",W7&amp;" · "&amp;TEXT(X7,"ddd d mmm, hh:mm")&amp;" · "&amp;Y7&amp;IF(Z7&lt;&gt;""," · £"&amp;TEXT(Z7,"0.00")&amp;" per player"," · price TBC (cost £"&amp;TEXT(V7,"0.00")&amp;" pp)"))</f>
        <v/>
      </c>
      <c r="AD7" s="44" t="n"/>
    </row>
    <row r="8">
      <c r="A8" s="13" t="n">
        <v>6</v>
      </c>
      <c r="B8" s="13" t="inlineStr">
        <is>
          <t>1 · E2 Haggerston</t>
        </is>
      </c>
      <c r="C8" s="13" t="inlineStr">
        <is>
          <t>Leisure &amp; culture</t>
        </is>
      </c>
      <c r="D8" s="13" t="inlineStr">
        <is>
          <t>Local businesses</t>
        </is>
      </c>
      <c r="E8" s="13" t="inlineStr">
        <is>
          <t>Backyard Comedy Club</t>
        </is>
      </c>
      <c r="F8" s="13" t="inlineStr">
        <is>
          <t>amenity: theatre</t>
        </is>
      </c>
      <c r="G8" s="13" t="inlineStr">
        <is>
          <t>info@backyardcomedyclub.co.uk</t>
        </is>
      </c>
      <c r="H8" s="13" t="inlineStr">
        <is>
          <t>general</t>
        </is>
      </c>
      <c r="I8" s="13" t="n"/>
      <c r="J8" s="14" t="inlineStr">
        <is>
          <t>https://backyardcomedyclub.co.uk/</t>
        </is>
      </c>
      <c r="K8" s="13" t="inlineStr">
        <is>
          <t>Cambridge Heath Road 231, London</t>
        </is>
      </c>
      <c r="L8" s="13" t="inlineStr">
        <is>
          <t>E2 0EL</t>
        </is>
      </c>
      <c r="M8" s="13" t="inlineStr">
        <is>
          <t>Stepney 3G</t>
        </is>
      </c>
      <c r="N8" s="13" t="n">
        <v>9</v>
      </c>
      <c r="O8" s="15">
        <f>IFERROR(INDEX(Venues!$C$2:$C$10,MATCH(M8,Venues!$A$2:$A$10,0)),"Not checked")</f>
        <v/>
      </c>
      <c r="P8" s="15">
        <f>IFERROR(INDEX(Venues!$D$2:$D$10,MATCH(M8,Venues!$A$2:$A$10,0)),0)</f>
        <v/>
      </c>
      <c r="Q8" s="42">
        <f>IFERROR(INDEX(Venues!$E$2:$E$10,MATCH(M8,Venues!$A$2:$A$10,0)),"")</f>
        <v/>
      </c>
      <c r="R8" s="15">
        <f>IF(P8&gt;0,"Yes","No")</f>
        <v/>
      </c>
      <c r="S8" s="13" t="inlineStr">
        <is>
          <t>COLA Shoreditch Park</t>
        </is>
      </c>
      <c r="T8" s="42">
        <f>IFERROR(INDEX(Venues!$E$2:$E$10,MATCH(S8,Venues!$A$2:$A$10,0)),"")</f>
        <v/>
      </c>
      <c r="U8" s="15">
        <f>IFERROR(INDEX(Venues!$F$2:$F$10,MATCH(S8,Venues!$A$2:$A$10,0)),"")</f>
        <v/>
      </c>
      <c r="V8" s="43">
        <f>IFERROR(INDEX(Venues!$H$2:$H$10,MATCH(S8,Venues!$A$2:$A$10,0)),"")</f>
        <v/>
      </c>
      <c r="W8" s="15">
        <f>IF('Pilot offer'!$C$24="Yes",'Pilot offer'!$C$3,S8)</f>
        <v/>
      </c>
      <c r="X8" s="42">
        <f>IF('Pilot offer'!$C$24="Yes",'Pilot offer'!$C$5+'Pilot offer'!$C$6,T8)</f>
        <v/>
      </c>
      <c r="Y8" s="15">
        <f>IF('Pilot offer'!$C$24="Yes",'Pilot offer'!$C$8,U8)</f>
        <v/>
      </c>
      <c r="Z8" s="43">
        <f>IF('Pilot offer'!$C$24="Yes",'Pilot offer'!$C$11,"")</f>
        <v/>
      </c>
      <c r="AA8" s="15">
        <f>IF(X8="","",W8&amp;" · "&amp;TEXT(X8,"ddd d mmm, hh:mm")&amp;" · "&amp;Y8&amp;IF(Z8&lt;&gt;""," · £"&amp;TEXT(Z8,"0.00")&amp;" per player"," · price TBC (cost £"&amp;TEXT(V8,"0.00")&amp;" pp)"))</f>
        <v/>
      </c>
      <c r="AD8" s="44" t="n"/>
    </row>
    <row r="9">
      <c r="A9" s="13" t="n">
        <v>7</v>
      </c>
      <c r="B9" s="13" t="inlineStr">
        <is>
          <t>1 · E2 Haggerston</t>
        </is>
      </c>
      <c r="C9" s="13" t="inlineStr">
        <is>
          <t>Hospitality</t>
        </is>
      </c>
      <c r="D9" s="13" t="inlineStr">
        <is>
          <t>Local businesses</t>
        </is>
      </c>
      <c r="E9" s="13" t="inlineStr">
        <is>
          <t>Three Colts Tavern</t>
        </is>
      </c>
      <c r="F9" s="13" t="inlineStr">
        <is>
          <t>amenity: pub</t>
        </is>
      </c>
      <c r="G9" s="13" t="inlineStr">
        <is>
          <t>info@threecoltstavern.co.uk</t>
        </is>
      </c>
      <c r="H9" s="13" t="inlineStr">
        <is>
          <t>general</t>
        </is>
      </c>
      <c r="I9" s="13" t="n"/>
      <c r="J9" s="14" t="inlineStr">
        <is>
          <t>https://www.threecoltstavern.co.uk/</t>
        </is>
      </c>
      <c r="K9" s="13" t="inlineStr">
        <is>
          <t>Cambridge Heath Road 199, London</t>
        </is>
      </c>
      <c r="L9" s="13" t="inlineStr">
        <is>
          <t>E2 0EL</t>
        </is>
      </c>
      <c r="M9" s="13" t="inlineStr">
        <is>
          <t>Stepney 3G</t>
        </is>
      </c>
      <c r="N9" s="13" t="n">
        <v>8</v>
      </c>
      <c r="O9" s="15">
        <f>IFERROR(INDEX(Venues!$C$2:$C$10,MATCH(M9,Venues!$A$2:$A$10,0)),"Not checked")</f>
        <v/>
      </c>
      <c r="P9" s="15">
        <f>IFERROR(INDEX(Venues!$D$2:$D$10,MATCH(M9,Venues!$A$2:$A$10,0)),0)</f>
        <v/>
      </c>
      <c r="Q9" s="42">
        <f>IFERROR(INDEX(Venues!$E$2:$E$10,MATCH(M9,Venues!$A$2:$A$10,0)),"")</f>
        <v/>
      </c>
      <c r="R9" s="15">
        <f>IF(P9&gt;0,"Yes","No")</f>
        <v/>
      </c>
      <c r="S9" s="13" t="inlineStr">
        <is>
          <t>COLA Shoreditch Park</t>
        </is>
      </c>
      <c r="T9" s="42">
        <f>IFERROR(INDEX(Venues!$E$2:$E$10,MATCH(S9,Venues!$A$2:$A$10,0)),"")</f>
        <v/>
      </c>
      <c r="U9" s="15">
        <f>IFERROR(INDEX(Venues!$F$2:$F$10,MATCH(S9,Venues!$A$2:$A$10,0)),"")</f>
        <v/>
      </c>
      <c r="V9" s="43">
        <f>IFERROR(INDEX(Venues!$H$2:$H$10,MATCH(S9,Venues!$A$2:$A$10,0)),"")</f>
        <v/>
      </c>
      <c r="W9" s="15">
        <f>IF('Pilot offer'!$C$24="Yes",'Pilot offer'!$C$3,S9)</f>
        <v/>
      </c>
      <c r="X9" s="42">
        <f>IF('Pilot offer'!$C$24="Yes",'Pilot offer'!$C$5+'Pilot offer'!$C$6,T9)</f>
        <v/>
      </c>
      <c r="Y9" s="15">
        <f>IF('Pilot offer'!$C$24="Yes",'Pilot offer'!$C$8,U9)</f>
        <v/>
      </c>
      <c r="Z9" s="43">
        <f>IF('Pilot offer'!$C$24="Yes",'Pilot offer'!$C$11,"")</f>
        <v/>
      </c>
      <c r="AA9" s="15">
        <f>IF(X9="","",W9&amp;" · "&amp;TEXT(X9,"ddd d mmm, hh:mm")&amp;" · "&amp;Y9&amp;IF(Z9&lt;&gt;""," · £"&amp;TEXT(Z9,"0.00")&amp;" per player"," · price TBC (cost £"&amp;TEXT(V9,"0.00")&amp;" pp)"))</f>
        <v/>
      </c>
      <c r="AD9" s="44" t="n"/>
    </row>
    <row r="10">
      <c r="A10" s="13" t="n">
        <v>8</v>
      </c>
      <c r="B10" s="13" t="inlineStr">
        <is>
          <t>1 · E2 Haggerston</t>
        </is>
      </c>
      <c r="C10" s="13" t="inlineStr">
        <is>
          <t>Education</t>
        </is>
      </c>
      <c r="D10" s="13" t="inlineStr">
        <is>
          <t>Local businesses</t>
        </is>
      </c>
      <c r="E10" s="13" t="inlineStr">
        <is>
          <t>Darul Hadis Latifiah</t>
        </is>
      </c>
      <c r="F10" s="13" t="inlineStr">
        <is>
          <t>amenity: school</t>
        </is>
      </c>
      <c r="G10" s="13" t="inlineStr">
        <is>
          <t>info@darulhadis.org.uk</t>
        </is>
      </c>
      <c r="H10" s="13" t="inlineStr">
        <is>
          <t>general</t>
        </is>
      </c>
      <c r="I10" s="13" t="inlineStr">
        <is>
          <t>+44 20 8983 3663</t>
        </is>
      </c>
      <c r="J10" s="14" t="inlineStr">
        <is>
          <t>https://www.darulhadis.org.uk/</t>
        </is>
      </c>
      <c r="K10" s="13" t="inlineStr">
        <is>
          <t>Cornwall Avenue 1, London</t>
        </is>
      </c>
      <c r="L10" s="13" t="inlineStr">
        <is>
          <t>E2 0HW</t>
        </is>
      </c>
      <c r="M10" s="13" t="inlineStr">
        <is>
          <t>Stepney 3G</t>
        </is>
      </c>
      <c r="N10" s="13" t="n">
        <v>8</v>
      </c>
      <c r="O10" s="15">
        <f>IFERROR(INDEX(Venues!$C$2:$C$10,MATCH(M10,Venues!$A$2:$A$10,0)),"Not checked")</f>
        <v/>
      </c>
      <c r="P10" s="15">
        <f>IFERROR(INDEX(Venues!$D$2:$D$10,MATCH(M10,Venues!$A$2:$A$10,0)),0)</f>
        <v/>
      </c>
      <c r="Q10" s="42">
        <f>IFERROR(INDEX(Venues!$E$2:$E$10,MATCH(M10,Venues!$A$2:$A$10,0)),"")</f>
        <v/>
      </c>
      <c r="R10" s="15">
        <f>IF(P10&gt;0,"Yes","No")</f>
        <v/>
      </c>
      <c r="S10" s="13" t="inlineStr">
        <is>
          <t>COLA Shoreditch Park</t>
        </is>
      </c>
      <c r="T10" s="42">
        <f>IFERROR(INDEX(Venues!$E$2:$E$10,MATCH(S10,Venues!$A$2:$A$10,0)),"")</f>
        <v/>
      </c>
      <c r="U10" s="15">
        <f>IFERROR(INDEX(Venues!$F$2:$F$10,MATCH(S10,Venues!$A$2:$A$10,0)),"")</f>
        <v/>
      </c>
      <c r="V10" s="43">
        <f>IFERROR(INDEX(Venues!$H$2:$H$10,MATCH(S10,Venues!$A$2:$A$10,0)),"")</f>
        <v/>
      </c>
      <c r="W10" s="15">
        <f>IF('Pilot offer'!$C$24="Yes",'Pilot offer'!$C$3,S10)</f>
        <v/>
      </c>
      <c r="X10" s="42">
        <f>IF('Pilot offer'!$C$24="Yes",'Pilot offer'!$C$5+'Pilot offer'!$C$6,T10)</f>
        <v/>
      </c>
      <c r="Y10" s="15">
        <f>IF('Pilot offer'!$C$24="Yes",'Pilot offer'!$C$8,U10)</f>
        <v/>
      </c>
      <c r="Z10" s="43">
        <f>IF('Pilot offer'!$C$24="Yes",'Pilot offer'!$C$11,"")</f>
        <v/>
      </c>
      <c r="AA10" s="15">
        <f>IF(X10="","",W10&amp;" · "&amp;TEXT(X10,"ddd d mmm, hh:mm")&amp;" · "&amp;Y10&amp;IF(Z10&lt;&gt;""," · £"&amp;TEXT(Z10,"0.00")&amp;" per player"," · price TBC (cost £"&amp;TEXT(V10,"0.00")&amp;" pp)"))</f>
        <v/>
      </c>
      <c r="AD10" s="44" t="n"/>
    </row>
    <row r="11">
      <c r="A11" s="13" t="n">
        <v>9</v>
      </c>
      <c r="B11" s="13" t="inlineStr">
        <is>
          <t>1 · E2 Haggerston</t>
        </is>
      </c>
      <c r="C11" s="13" t="inlineStr">
        <is>
          <t>Retail</t>
        </is>
      </c>
      <c r="D11" s="13" t="inlineStr">
        <is>
          <t>Local businesses</t>
        </is>
      </c>
      <c r="E11" s="13" t="inlineStr">
        <is>
          <t>Quality Dry Cleaners</t>
        </is>
      </c>
      <c r="F11" s="13" t="inlineStr">
        <is>
          <t>shop: dry cleaning</t>
        </is>
      </c>
      <c r="G11" s="13" t="inlineStr">
        <is>
          <t>info@qualitydrycleaners.org.uk</t>
        </is>
      </c>
      <c r="H11" s="13" t="inlineStr">
        <is>
          <t>openstreetmap_tag</t>
        </is>
      </c>
      <c r="I11" s="13" t="inlineStr">
        <is>
          <t>+44 20 8983 4502</t>
        </is>
      </c>
      <c r="J11" s="14" t="inlineStr">
        <is>
          <t>https://qualitydrycleaners.org.uk/</t>
        </is>
      </c>
      <c r="K11" s="13" t="inlineStr">
        <is>
          <t>Globe Road 262, London</t>
        </is>
      </c>
      <c r="L11" s="13" t="inlineStr">
        <is>
          <t>E2 0JD</t>
        </is>
      </c>
      <c r="M11" s="13" t="inlineStr">
        <is>
          <t>Stepney 3G</t>
        </is>
      </c>
      <c r="N11" s="13" t="n">
        <v>9</v>
      </c>
      <c r="O11" s="15">
        <f>IFERROR(INDEX(Venues!$C$2:$C$10,MATCH(M11,Venues!$A$2:$A$10,0)),"Not checked")</f>
        <v/>
      </c>
      <c r="P11" s="15">
        <f>IFERROR(INDEX(Venues!$D$2:$D$10,MATCH(M11,Venues!$A$2:$A$10,0)),0)</f>
        <v/>
      </c>
      <c r="Q11" s="42">
        <f>IFERROR(INDEX(Venues!$E$2:$E$10,MATCH(M11,Venues!$A$2:$A$10,0)),"")</f>
        <v/>
      </c>
      <c r="R11" s="15">
        <f>IF(P11&gt;0,"Yes","No")</f>
        <v/>
      </c>
      <c r="S11" s="13" t="inlineStr">
        <is>
          <t>COLA Shoreditch Park</t>
        </is>
      </c>
      <c r="T11" s="42">
        <f>IFERROR(INDEX(Venues!$E$2:$E$10,MATCH(S11,Venues!$A$2:$A$10,0)),"")</f>
        <v/>
      </c>
      <c r="U11" s="15">
        <f>IFERROR(INDEX(Venues!$F$2:$F$10,MATCH(S11,Venues!$A$2:$A$10,0)),"")</f>
        <v/>
      </c>
      <c r="V11" s="43">
        <f>IFERROR(INDEX(Venues!$H$2:$H$10,MATCH(S11,Venues!$A$2:$A$10,0)),"")</f>
        <v/>
      </c>
      <c r="W11" s="15">
        <f>IF('Pilot offer'!$C$24="Yes",'Pilot offer'!$C$3,S11)</f>
        <v/>
      </c>
      <c r="X11" s="42">
        <f>IF('Pilot offer'!$C$24="Yes",'Pilot offer'!$C$5+'Pilot offer'!$C$6,T11)</f>
        <v/>
      </c>
      <c r="Y11" s="15">
        <f>IF('Pilot offer'!$C$24="Yes",'Pilot offer'!$C$8,U11)</f>
        <v/>
      </c>
      <c r="Z11" s="43">
        <f>IF('Pilot offer'!$C$24="Yes",'Pilot offer'!$C$11,"")</f>
        <v/>
      </c>
      <c r="AA11" s="15">
        <f>IF(X11="","",W11&amp;" · "&amp;TEXT(X11,"ddd d mmm, hh:mm")&amp;" · "&amp;Y11&amp;IF(Z11&lt;&gt;""," · £"&amp;TEXT(Z11,"0.00")&amp;" per player"," · price TBC (cost £"&amp;TEXT(V11,"0.00")&amp;" pp)"))</f>
        <v/>
      </c>
      <c r="AD11" s="44" t="n"/>
    </row>
    <row r="12">
      <c r="A12" s="13" t="n">
        <v>10</v>
      </c>
      <c r="B12" s="13" t="inlineStr">
        <is>
          <t>1 · E2 Haggerston</t>
        </is>
      </c>
      <c r="C12" s="13" t="inlineStr">
        <is>
          <t>Education</t>
        </is>
      </c>
      <c r="D12" s="13" t="inlineStr">
        <is>
          <t>Local businesses</t>
        </is>
      </c>
      <c r="E12" s="13" t="inlineStr">
        <is>
          <t>Bangabandhu Primary School</t>
        </is>
      </c>
      <c r="F12" s="13" t="inlineStr">
        <is>
          <t>amenity: school</t>
        </is>
      </c>
      <c r="G12" s="13" t="inlineStr">
        <is>
          <t>admin@bangabandhu.towerhamlets.sch.uk</t>
        </is>
      </c>
      <c r="H12" s="13" t="inlineStr">
        <is>
          <t>general</t>
        </is>
      </c>
      <c r="I12" s="13" t="inlineStr">
        <is>
          <t>+44 20 8980 0580</t>
        </is>
      </c>
      <c r="J12" s="14" t="inlineStr">
        <is>
          <t>https://www.bangabandhu.towerhamlets.sch.uk/</t>
        </is>
      </c>
      <c r="K12" s="13" t="inlineStr">
        <is>
          <t>Wessex Street 28, London</t>
        </is>
      </c>
      <c r="L12" s="13" t="inlineStr">
        <is>
          <t>E2 0LB</t>
        </is>
      </c>
      <c r="M12" s="13" t="inlineStr">
        <is>
          <t>Stepney 3G</t>
        </is>
      </c>
      <c r="N12" s="13" t="n">
        <v>6</v>
      </c>
      <c r="O12" s="15">
        <f>IFERROR(INDEX(Venues!$C$2:$C$10,MATCH(M12,Venues!$A$2:$A$10,0)),"Not checked")</f>
        <v/>
      </c>
      <c r="P12" s="15">
        <f>IFERROR(INDEX(Venues!$D$2:$D$10,MATCH(M12,Venues!$A$2:$A$10,0)),0)</f>
        <v/>
      </c>
      <c r="Q12" s="42">
        <f>IFERROR(INDEX(Venues!$E$2:$E$10,MATCH(M12,Venues!$A$2:$A$10,0)),"")</f>
        <v/>
      </c>
      <c r="R12" s="15">
        <f>IF(P12&gt;0,"Yes","No")</f>
        <v/>
      </c>
      <c r="S12" s="13" t="inlineStr">
        <is>
          <t>COLA Shoreditch Park</t>
        </is>
      </c>
      <c r="T12" s="42">
        <f>IFERROR(INDEX(Venues!$E$2:$E$10,MATCH(S12,Venues!$A$2:$A$10,0)),"")</f>
        <v/>
      </c>
      <c r="U12" s="15">
        <f>IFERROR(INDEX(Venues!$F$2:$F$10,MATCH(S12,Venues!$A$2:$A$10,0)),"")</f>
        <v/>
      </c>
      <c r="V12" s="43">
        <f>IFERROR(INDEX(Venues!$H$2:$H$10,MATCH(S12,Venues!$A$2:$A$10,0)),"")</f>
        <v/>
      </c>
      <c r="W12" s="15">
        <f>IF('Pilot offer'!$C$24="Yes",'Pilot offer'!$C$3,S12)</f>
        <v/>
      </c>
      <c r="X12" s="42">
        <f>IF('Pilot offer'!$C$24="Yes",'Pilot offer'!$C$5+'Pilot offer'!$C$6,T12)</f>
        <v/>
      </c>
      <c r="Y12" s="15">
        <f>IF('Pilot offer'!$C$24="Yes",'Pilot offer'!$C$8,U12)</f>
        <v/>
      </c>
      <c r="Z12" s="43">
        <f>IF('Pilot offer'!$C$24="Yes",'Pilot offer'!$C$11,"")</f>
        <v/>
      </c>
      <c r="AA12" s="15">
        <f>IF(X12="","",W12&amp;" · "&amp;TEXT(X12,"ddd d mmm, hh:mm")&amp;" · "&amp;Y12&amp;IF(Z12&lt;&gt;""," · £"&amp;TEXT(Z12,"0.00")&amp;" per player"," · price TBC (cost £"&amp;TEXT(V12,"0.00")&amp;" pp)"))</f>
        <v/>
      </c>
      <c r="AD12" s="44" t="n"/>
    </row>
    <row r="13">
      <c r="A13" s="13" t="n">
        <v>11</v>
      </c>
      <c r="B13" s="13" t="inlineStr">
        <is>
          <t>1 · E2 Haggerston</t>
        </is>
      </c>
      <c r="C13" s="13" t="inlineStr">
        <is>
          <t>Education</t>
        </is>
      </c>
      <c r="D13" s="13" t="inlineStr">
        <is>
          <t>Local businesses</t>
        </is>
      </c>
      <c r="E13" s="13" t="inlineStr">
        <is>
          <t>Bonner Primary School</t>
        </is>
      </c>
      <c r="F13" s="13" t="inlineStr">
        <is>
          <t>amenity: school</t>
        </is>
      </c>
      <c r="G13" s="13" t="inlineStr">
        <is>
          <t>admin@bonner.towerhamlets.sch.uk</t>
        </is>
      </c>
      <c r="H13" s="13" t="inlineStr">
        <is>
          <t>general</t>
        </is>
      </c>
      <c r="I13" s="13" t="inlineStr">
        <is>
          <t>+44 20 8980 1004</t>
        </is>
      </c>
      <c r="J13" s="14" t="inlineStr">
        <is>
          <t>https://www.bonner.towerhamlets.sch.uk/</t>
        </is>
      </c>
      <c r="K13" s="13" t="inlineStr">
        <is>
          <t>Stainsbury Street, London</t>
        </is>
      </c>
      <c r="L13" s="13" t="inlineStr">
        <is>
          <t>E2 0NF</t>
        </is>
      </c>
      <c r="M13" s="13" t="inlineStr">
        <is>
          <t>Stepney 3G</t>
        </is>
      </c>
      <c r="N13" s="13" t="n">
        <v>9</v>
      </c>
      <c r="O13" s="15">
        <f>IFERROR(INDEX(Venues!$C$2:$C$10,MATCH(M13,Venues!$A$2:$A$10,0)),"Not checked")</f>
        <v/>
      </c>
      <c r="P13" s="15">
        <f>IFERROR(INDEX(Venues!$D$2:$D$10,MATCH(M13,Venues!$A$2:$A$10,0)),0)</f>
        <v/>
      </c>
      <c r="Q13" s="42">
        <f>IFERROR(INDEX(Venues!$E$2:$E$10,MATCH(M13,Venues!$A$2:$A$10,0)),"")</f>
        <v/>
      </c>
      <c r="R13" s="15">
        <f>IF(P13&gt;0,"Yes","No")</f>
        <v/>
      </c>
      <c r="S13" s="13" t="inlineStr">
        <is>
          <t>COLA Shoreditch Park</t>
        </is>
      </c>
      <c r="T13" s="42">
        <f>IFERROR(INDEX(Venues!$E$2:$E$10,MATCH(S13,Venues!$A$2:$A$10,0)),"")</f>
        <v/>
      </c>
      <c r="U13" s="15">
        <f>IFERROR(INDEX(Venues!$F$2:$F$10,MATCH(S13,Venues!$A$2:$A$10,0)),"")</f>
        <v/>
      </c>
      <c r="V13" s="43">
        <f>IFERROR(INDEX(Venues!$H$2:$H$10,MATCH(S13,Venues!$A$2:$A$10,0)),"")</f>
        <v/>
      </c>
      <c r="W13" s="15">
        <f>IF('Pilot offer'!$C$24="Yes",'Pilot offer'!$C$3,S13)</f>
        <v/>
      </c>
      <c r="X13" s="42">
        <f>IF('Pilot offer'!$C$24="Yes",'Pilot offer'!$C$5+'Pilot offer'!$C$6,T13)</f>
        <v/>
      </c>
      <c r="Y13" s="15">
        <f>IF('Pilot offer'!$C$24="Yes",'Pilot offer'!$C$8,U13)</f>
        <v/>
      </c>
      <c r="Z13" s="43">
        <f>IF('Pilot offer'!$C$24="Yes",'Pilot offer'!$C$11,"")</f>
        <v/>
      </c>
      <c r="AA13" s="15">
        <f>IF(X13="","",W13&amp;" · "&amp;TEXT(X13,"ddd d mmm, hh:mm")&amp;" · "&amp;Y13&amp;IF(Z13&lt;&gt;""," · £"&amp;TEXT(Z13,"0.00")&amp;" per player"," · price TBC (cost £"&amp;TEXT(V13,"0.00")&amp;" pp)"))</f>
        <v/>
      </c>
      <c r="AD13" s="44" t="n"/>
    </row>
    <row r="14">
      <c r="A14" s="13" t="n">
        <v>12</v>
      </c>
      <c r="B14" s="13" t="inlineStr">
        <is>
          <t>1 · E2 Haggerston</t>
        </is>
      </c>
      <c r="C14" s="13" t="inlineStr">
        <is>
          <t>Office &amp; professional</t>
        </is>
      </c>
      <c r="D14" s="13" t="inlineStr">
        <is>
          <t>Corporate</t>
        </is>
      </c>
      <c r="E14" s="13" t="inlineStr">
        <is>
          <t>BRS CONSULTING LTD</t>
        </is>
      </c>
      <c r="F14" s="13" t="inlineStr">
        <is>
          <t>finance</t>
        </is>
      </c>
      <c r="G14" s="13" t="inlineStr">
        <is>
          <t>info@brsconsulting.co.uk</t>
        </is>
      </c>
      <c r="H14" s="13" t="inlineStr">
        <is>
          <t>general</t>
        </is>
      </c>
      <c r="I14" s="13" t="inlineStr">
        <is>
          <t>+44 7979 781072</t>
        </is>
      </c>
      <c r="J14" s="14" t="inlineStr">
        <is>
          <t>https://www.brsconsulting.co.uk/</t>
        </is>
      </c>
      <c r="K14" s="13" t="inlineStr">
        <is>
          <t>125 Roman Rd, Globe Town, London E2 0QN, UK</t>
        </is>
      </c>
      <c r="L14" s="13" t="inlineStr">
        <is>
          <t>E2 0QN</t>
        </is>
      </c>
      <c r="M14" s="13" t="inlineStr">
        <is>
          <t>Stepney 3G</t>
        </is>
      </c>
      <c r="N14" s="13" t="n">
        <v>9</v>
      </c>
      <c r="O14" s="15">
        <f>IFERROR(INDEX(Venues!$C$2:$C$10,MATCH(M14,Venues!$A$2:$A$10,0)),"Not checked")</f>
        <v/>
      </c>
      <c r="P14" s="15">
        <f>IFERROR(INDEX(Venues!$D$2:$D$10,MATCH(M14,Venues!$A$2:$A$10,0)),0)</f>
        <v/>
      </c>
      <c r="Q14" s="42">
        <f>IFERROR(INDEX(Venues!$E$2:$E$10,MATCH(M14,Venues!$A$2:$A$10,0)),"")</f>
        <v/>
      </c>
      <c r="R14" s="15">
        <f>IF(P14&gt;0,"Yes","No")</f>
        <v/>
      </c>
      <c r="S14" s="13" t="inlineStr">
        <is>
          <t>COLA Shoreditch Park</t>
        </is>
      </c>
      <c r="T14" s="42">
        <f>IFERROR(INDEX(Venues!$E$2:$E$10,MATCH(S14,Venues!$A$2:$A$10,0)),"")</f>
        <v/>
      </c>
      <c r="U14" s="15">
        <f>IFERROR(INDEX(Venues!$F$2:$F$10,MATCH(S14,Venues!$A$2:$A$10,0)),"")</f>
        <v/>
      </c>
      <c r="V14" s="43">
        <f>IFERROR(INDEX(Venues!$H$2:$H$10,MATCH(S14,Venues!$A$2:$A$10,0)),"")</f>
        <v/>
      </c>
      <c r="W14" s="15">
        <f>IF('Pilot offer'!$C$24="Yes",'Pilot offer'!$C$3,S14)</f>
        <v/>
      </c>
      <c r="X14" s="42">
        <f>IF('Pilot offer'!$C$24="Yes",'Pilot offer'!$C$5+'Pilot offer'!$C$6,T14)</f>
        <v/>
      </c>
      <c r="Y14" s="15">
        <f>IF('Pilot offer'!$C$24="Yes",'Pilot offer'!$C$8,U14)</f>
        <v/>
      </c>
      <c r="Z14" s="43">
        <f>IF('Pilot offer'!$C$24="Yes",'Pilot offer'!$C$11,"")</f>
        <v/>
      </c>
      <c r="AA14" s="15">
        <f>IF(X14="","",W14&amp;" · "&amp;TEXT(X14,"ddd d mmm, hh:mm")&amp;" · "&amp;Y14&amp;IF(Z14&lt;&gt;""," · £"&amp;TEXT(Z14,"0.00")&amp;" per player"," · price TBC (cost £"&amp;TEXT(V14,"0.00")&amp;" pp)"))</f>
        <v/>
      </c>
      <c r="AD14" s="44" t="n"/>
    </row>
    <row r="15">
      <c r="A15" s="13" t="n">
        <v>13</v>
      </c>
      <c r="B15" s="13" t="inlineStr">
        <is>
          <t>1 · E2 Haggerston</t>
        </is>
      </c>
      <c r="C15" s="13" t="inlineStr">
        <is>
          <t>Leisure &amp; culture</t>
        </is>
      </c>
      <c r="D15" s="13" t="inlineStr">
        <is>
          <t>Local businesses</t>
        </is>
      </c>
      <c r="E15" s="13" t="inlineStr">
        <is>
          <t>Four Corners</t>
        </is>
      </c>
      <c r="F15" s="13" t="inlineStr">
        <is>
          <t>tourism: gallery</t>
        </is>
      </c>
      <c r="G15" s="13" t="inlineStr">
        <is>
          <t>info@fourcornersfilm.co.uk</t>
        </is>
      </c>
      <c r="H15" s="13" t="inlineStr">
        <is>
          <t>general</t>
        </is>
      </c>
      <c r="I15" s="13" t="inlineStr">
        <is>
          <t>+44 20 8981 6111</t>
        </is>
      </c>
      <c r="J15" s="14" t="inlineStr">
        <is>
          <t>https://www.fourcornersfilm.co.uk/</t>
        </is>
      </c>
      <c r="K15" s="13" t="inlineStr">
        <is>
          <t>Roman Road 121, London</t>
        </is>
      </c>
      <c r="L15" s="13" t="inlineStr">
        <is>
          <t>E2 0QN</t>
        </is>
      </c>
      <c r="M15" s="13" t="inlineStr">
        <is>
          <t>Stepney 3G</t>
        </is>
      </c>
      <c r="N15" s="13" t="n">
        <v>9</v>
      </c>
      <c r="O15" s="15">
        <f>IFERROR(INDEX(Venues!$C$2:$C$10,MATCH(M15,Venues!$A$2:$A$10,0)),"Not checked")</f>
        <v/>
      </c>
      <c r="P15" s="15">
        <f>IFERROR(INDEX(Venues!$D$2:$D$10,MATCH(M15,Venues!$A$2:$A$10,0)),0)</f>
        <v/>
      </c>
      <c r="Q15" s="42">
        <f>IFERROR(INDEX(Venues!$E$2:$E$10,MATCH(M15,Venues!$A$2:$A$10,0)),"")</f>
        <v/>
      </c>
      <c r="R15" s="15">
        <f>IF(P15&gt;0,"Yes","No")</f>
        <v/>
      </c>
      <c r="S15" s="13" t="inlineStr">
        <is>
          <t>COLA Shoreditch Park</t>
        </is>
      </c>
      <c r="T15" s="42">
        <f>IFERROR(INDEX(Venues!$E$2:$E$10,MATCH(S15,Venues!$A$2:$A$10,0)),"")</f>
        <v/>
      </c>
      <c r="U15" s="15">
        <f>IFERROR(INDEX(Venues!$F$2:$F$10,MATCH(S15,Venues!$A$2:$A$10,0)),"")</f>
        <v/>
      </c>
      <c r="V15" s="43">
        <f>IFERROR(INDEX(Venues!$H$2:$H$10,MATCH(S15,Venues!$A$2:$A$10,0)),"")</f>
        <v/>
      </c>
      <c r="W15" s="15">
        <f>IF('Pilot offer'!$C$24="Yes",'Pilot offer'!$C$3,S15)</f>
        <v/>
      </c>
      <c r="X15" s="42">
        <f>IF('Pilot offer'!$C$24="Yes",'Pilot offer'!$C$5+'Pilot offer'!$C$6,T15)</f>
        <v/>
      </c>
      <c r="Y15" s="15">
        <f>IF('Pilot offer'!$C$24="Yes",'Pilot offer'!$C$8,U15)</f>
        <v/>
      </c>
      <c r="Z15" s="43">
        <f>IF('Pilot offer'!$C$24="Yes",'Pilot offer'!$C$11,"")</f>
        <v/>
      </c>
      <c r="AA15" s="15">
        <f>IF(X15="","",W15&amp;" · "&amp;TEXT(X15,"ddd d mmm, hh:mm")&amp;" · "&amp;Y15&amp;IF(Z15&lt;&gt;""," · £"&amp;TEXT(Z15,"0.00")&amp;" per player"," · price TBC (cost £"&amp;TEXT(V15,"0.00")&amp;" pp)"))</f>
        <v/>
      </c>
      <c r="AD15" s="44" t="n"/>
    </row>
    <row r="16">
      <c r="A16" s="13" t="n">
        <v>14</v>
      </c>
      <c r="B16" s="13" t="inlineStr">
        <is>
          <t>1 · E2 Haggerston</t>
        </is>
      </c>
      <c r="C16" s="13" t="inlineStr">
        <is>
          <t>Retail</t>
        </is>
      </c>
      <c r="D16" s="13" t="inlineStr">
        <is>
          <t>Local businesses</t>
        </is>
      </c>
      <c r="E16" s="13" t="inlineStr">
        <is>
          <t>Paradise Cycles</t>
        </is>
      </c>
      <c r="F16" s="13" t="inlineStr">
        <is>
          <t>shop: bicycle</t>
        </is>
      </c>
      <c r="G16" s="13" t="inlineStr">
        <is>
          <t>info@paradisecycles.co.uk</t>
        </is>
      </c>
      <c r="H16" s="13" t="inlineStr">
        <is>
          <t>general</t>
        </is>
      </c>
      <c r="I16" s="13" t="inlineStr">
        <is>
          <t>+44 20 3441 9220</t>
        </is>
      </c>
      <c r="J16" s="14" t="inlineStr">
        <is>
          <t>https://www.paradisecycles.co.uk/</t>
        </is>
      </c>
      <c r="K16" s="13" t="inlineStr">
        <is>
          <t>Roman Road 63, London</t>
        </is>
      </c>
      <c r="L16" s="13" t="inlineStr">
        <is>
          <t>E2 0QN</t>
        </is>
      </c>
      <c r="M16" s="13" t="inlineStr">
        <is>
          <t>Stepney 3G</t>
        </is>
      </c>
      <c r="N16" s="13" t="n">
        <v>8</v>
      </c>
      <c r="O16" s="15">
        <f>IFERROR(INDEX(Venues!$C$2:$C$10,MATCH(M16,Venues!$A$2:$A$10,0)),"Not checked")</f>
        <v/>
      </c>
      <c r="P16" s="15">
        <f>IFERROR(INDEX(Venues!$D$2:$D$10,MATCH(M16,Venues!$A$2:$A$10,0)),0)</f>
        <v/>
      </c>
      <c r="Q16" s="42">
        <f>IFERROR(INDEX(Venues!$E$2:$E$10,MATCH(M16,Venues!$A$2:$A$10,0)),"")</f>
        <v/>
      </c>
      <c r="R16" s="15">
        <f>IF(P16&gt;0,"Yes","No")</f>
        <v/>
      </c>
      <c r="S16" s="13" t="inlineStr">
        <is>
          <t>COLA Shoreditch Park</t>
        </is>
      </c>
      <c r="T16" s="42">
        <f>IFERROR(INDEX(Venues!$E$2:$E$10,MATCH(S16,Venues!$A$2:$A$10,0)),"")</f>
        <v/>
      </c>
      <c r="U16" s="15">
        <f>IFERROR(INDEX(Venues!$F$2:$F$10,MATCH(S16,Venues!$A$2:$A$10,0)),"")</f>
        <v/>
      </c>
      <c r="V16" s="43">
        <f>IFERROR(INDEX(Venues!$H$2:$H$10,MATCH(S16,Venues!$A$2:$A$10,0)),"")</f>
        <v/>
      </c>
      <c r="W16" s="15">
        <f>IF('Pilot offer'!$C$24="Yes",'Pilot offer'!$C$3,S16)</f>
        <v/>
      </c>
      <c r="X16" s="42">
        <f>IF('Pilot offer'!$C$24="Yes",'Pilot offer'!$C$5+'Pilot offer'!$C$6,T16)</f>
        <v/>
      </c>
      <c r="Y16" s="15">
        <f>IF('Pilot offer'!$C$24="Yes",'Pilot offer'!$C$8,U16)</f>
        <v/>
      </c>
      <c r="Z16" s="43">
        <f>IF('Pilot offer'!$C$24="Yes",'Pilot offer'!$C$11,"")</f>
        <v/>
      </c>
      <c r="AA16" s="15">
        <f>IF(X16="","",W16&amp;" · "&amp;TEXT(X16,"ddd d mmm, hh:mm")&amp;" · "&amp;Y16&amp;IF(Z16&lt;&gt;""," · £"&amp;TEXT(Z16,"0.00")&amp;" per player"," · price TBC (cost £"&amp;TEXT(V16,"0.00")&amp;" pp)"))</f>
        <v/>
      </c>
      <c r="AD16" s="44" t="n"/>
    </row>
    <row r="17">
      <c r="A17" s="13" t="n">
        <v>15</v>
      </c>
      <c r="B17" s="13" t="inlineStr">
        <is>
          <t>1 · E2 Haggerston</t>
        </is>
      </c>
      <c r="C17" s="13" t="inlineStr">
        <is>
          <t>Office &amp; professional</t>
        </is>
      </c>
      <c r="D17" s="13" t="inlineStr">
        <is>
          <t>Corporate</t>
        </is>
      </c>
      <c r="E17" s="13" t="inlineStr">
        <is>
          <t>Hamletts.com</t>
        </is>
      </c>
      <c r="F17" s="13" t="inlineStr">
        <is>
          <t>estate_agent</t>
        </is>
      </c>
      <c r="G17" s="13" t="inlineStr">
        <is>
          <t>info@hamletts.com</t>
        </is>
      </c>
      <c r="H17" s="13" t="inlineStr">
        <is>
          <t>openstreetmap_tag</t>
        </is>
      </c>
      <c r="I17" s="13" t="inlineStr">
        <is>
          <t>+44 20 8980 3377</t>
        </is>
      </c>
      <c r="J17" s="13" t="n"/>
      <c r="K17" s="13" t="inlineStr">
        <is>
          <t>236 Roman Road, London</t>
        </is>
      </c>
      <c r="L17" s="13" t="inlineStr">
        <is>
          <t>E2 0RY</t>
        </is>
      </c>
      <c r="M17" s="13" t="inlineStr">
        <is>
          <t>Stepney 3G</t>
        </is>
      </c>
      <c r="N17" s="13" t="n">
        <v>12</v>
      </c>
      <c r="O17" s="15">
        <f>IFERROR(INDEX(Venues!$C$2:$C$10,MATCH(M17,Venues!$A$2:$A$10,0)),"Not checked")</f>
        <v/>
      </c>
      <c r="P17" s="15">
        <f>IFERROR(INDEX(Venues!$D$2:$D$10,MATCH(M17,Venues!$A$2:$A$10,0)),0)</f>
        <v/>
      </c>
      <c r="Q17" s="42">
        <f>IFERROR(INDEX(Venues!$E$2:$E$10,MATCH(M17,Venues!$A$2:$A$10,0)),"")</f>
        <v/>
      </c>
      <c r="R17" s="15">
        <f>IF(P17&gt;0,"Yes","No")</f>
        <v/>
      </c>
      <c r="S17" s="13" t="inlineStr">
        <is>
          <t>COLA Shoreditch Park</t>
        </is>
      </c>
      <c r="T17" s="42">
        <f>IFERROR(INDEX(Venues!$E$2:$E$10,MATCH(S17,Venues!$A$2:$A$10,0)),"")</f>
        <v/>
      </c>
      <c r="U17" s="15">
        <f>IFERROR(INDEX(Venues!$F$2:$F$10,MATCH(S17,Venues!$A$2:$A$10,0)),"")</f>
        <v/>
      </c>
      <c r="V17" s="43">
        <f>IFERROR(INDEX(Venues!$H$2:$H$10,MATCH(S17,Venues!$A$2:$A$10,0)),"")</f>
        <v/>
      </c>
      <c r="W17" s="15">
        <f>IF('Pilot offer'!$C$24="Yes",'Pilot offer'!$C$3,S17)</f>
        <v/>
      </c>
      <c r="X17" s="42">
        <f>IF('Pilot offer'!$C$24="Yes",'Pilot offer'!$C$5+'Pilot offer'!$C$6,T17)</f>
        <v/>
      </c>
      <c r="Y17" s="15">
        <f>IF('Pilot offer'!$C$24="Yes",'Pilot offer'!$C$8,U17)</f>
        <v/>
      </c>
      <c r="Z17" s="43">
        <f>IF('Pilot offer'!$C$24="Yes",'Pilot offer'!$C$11,"")</f>
        <v/>
      </c>
      <c r="AA17" s="15">
        <f>IF(X17="","",W17&amp;" · "&amp;TEXT(X17,"ddd d mmm, hh:mm")&amp;" · "&amp;Y17&amp;IF(Z17&lt;&gt;""," · £"&amp;TEXT(Z17,"0.00")&amp;" per player"," · price TBC (cost £"&amp;TEXT(V17,"0.00")&amp;" pp)"))</f>
        <v/>
      </c>
      <c r="AD17" s="44" t="n"/>
    </row>
    <row r="18">
      <c r="A18" s="13" t="n">
        <v>16</v>
      </c>
      <c r="B18" s="13" t="inlineStr">
        <is>
          <t>1 · E2 Haggerston</t>
        </is>
      </c>
      <c r="C18" s="13" t="inlineStr">
        <is>
          <t>Office &amp; professional</t>
        </is>
      </c>
      <c r="D18" s="13" t="inlineStr">
        <is>
          <t>Corporate</t>
        </is>
      </c>
      <c r="E18" s="13" t="inlineStr">
        <is>
          <t>Keystones Properties</t>
        </is>
      </c>
      <c r="F18" s="13" t="inlineStr">
        <is>
          <t>estate_agent</t>
        </is>
      </c>
      <c r="G18" s="13" t="inlineStr">
        <is>
          <t>info@keystonesltd.co.uk</t>
        </is>
      </c>
      <c r="H18" s="13" t="inlineStr">
        <is>
          <t>general</t>
        </is>
      </c>
      <c r="I18" s="13" t="inlineStr">
        <is>
          <t>+44 20 8981 9955</t>
        </is>
      </c>
      <c r="J18" s="14" t="inlineStr">
        <is>
          <t>https://www.keystonesltd.co.uk/</t>
        </is>
      </c>
      <c r="K18" s="13" t="inlineStr">
        <is>
          <t>146 Roman Road, London</t>
        </is>
      </c>
      <c r="L18" s="13" t="inlineStr">
        <is>
          <t>E2 0RY</t>
        </is>
      </c>
      <c r="M18" s="13" t="inlineStr">
        <is>
          <t>Stepney 3G</t>
        </is>
      </c>
      <c r="N18" s="13" t="n">
        <v>9</v>
      </c>
      <c r="O18" s="15">
        <f>IFERROR(INDEX(Venues!$C$2:$C$10,MATCH(M18,Venues!$A$2:$A$10,0)),"Not checked")</f>
        <v/>
      </c>
      <c r="P18" s="15">
        <f>IFERROR(INDEX(Venues!$D$2:$D$10,MATCH(M18,Venues!$A$2:$A$10,0)),0)</f>
        <v/>
      </c>
      <c r="Q18" s="42">
        <f>IFERROR(INDEX(Venues!$E$2:$E$10,MATCH(M18,Venues!$A$2:$A$10,0)),"")</f>
        <v/>
      </c>
      <c r="R18" s="15">
        <f>IF(P18&gt;0,"Yes","No")</f>
        <v/>
      </c>
      <c r="S18" s="13" t="inlineStr">
        <is>
          <t>COLA Shoreditch Park</t>
        </is>
      </c>
      <c r="T18" s="42">
        <f>IFERROR(INDEX(Venues!$E$2:$E$10,MATCH(S18,Venues!$A$2:$A$10,0)),"")</f>
        <v/>
      </c>
      <c r="U18" s="15">
        <f>IFERROR(INDEX(Venues!$F$2:$F$10,MATCH(S18,Venues!$A$2:$A$10,0)),"")</f>
        <v/>
      </c>
      <c r="V18" s="43">
        <f>IFERROR(INDEX(Venues!$H$2:$H$10,MATCH(S18,Venues!$A$2:$A$10,0)),"")</f>
        <v/>
      </c>
      <c r="W18" s="15">
        <f>IF('Pilot offer'!$C$24="Yes",'Pilot offer'!$C$3,S18)</f>
        <v/>
      </c>
      <c r="X18" s="42">
        <f>IF('Pilot offer'!$C$24="Yes",'Pilot offer'!$C$5+'Pilot offer'!$C$6,T18)</f>
        <v/>
      </c>
      <c r="Y18" s="15">
        <f>IF('Pilot offer'!$C$24="Yes",'Pilot offer'!$C$8,U18)</f>
        <v/>
      </c>
      <c r="Z18" s="43">
        <f>IF('Pilot offer'!$C$24="Yes",'Pilot offer'!$C$11,"")</f>
        <v/>
      </c>
      <c r="AA18" s="15">
        <f>IF(X18="","",W18&amp;" · "&amp;TEXT(X18,"ddd d mmm, hh:mm")&amp;" · "&amp;Y18&amp;IF(Z18&lt;&gt;""," · £"&amp;TEXT(Z18,"0.00")&amp;" per player"," · price TBC (cost £"&amp;TEXT(V18,"0.00")&amp;" pp)"))</f>
        <v/>
      </c>
      <c r="AD18" s="44" t="n"/>
    </row>
    <row r="19">
      <c r="A19" s="13" t="n">
        <v>17</v>
      </c>
      <c r="B19" s="13" t="inlineStr">
        <is>
          <t>1 · E2 Haggerston</t>
        </is>
      </c>
      <c r="C19" s="13" t="inlineStr">
        <is>
          <t>Education</t>
        </is>
      </c>
      <c r="D19" s="13" t="inlineStr">
        <is>
          <t>Local businesses</t>
        </is>
      </c>
      <c r="E19" s="13" t="inlineStr">
        <is>
          <t>William Davis Primary School</t>
        </is>
      </c>
      <c r="F19" s="13" t="inlineStr">
        <is>
          <t>amenity: school</t>
        </is>
      </c>
      <c r="G19" s="13" t="inlineStr">
        <is>
          <t>admin@williamdavis.org.uk</t>
        </is>
      </c>
      <c r="H19" s="13" t="inlineStr">
        <is>
          <t>general</t>
        </is>
      </c>
      <c r="I19" s="13" t="inlineStr">
        <is>
          <t>+44 20 7739 1511</t>
        </is>
      </c>
      <c r="J19" s="14" t="inlineStr">
        <is>
          <t>https://www.williamdavis.org.uk/</t>
        </is>
      </c>
      <c r="K19" s="13" t="inlineStr">
        <is>
          <t>Wood Close, London</t>
        </is>
      </c>
      <c r="L19" s="13" t="inlineStr">
        <is>
          <t>E2 6ET</t>
        </is>
      </c>
      <c r="M19" s="13" t="inlineStr">
        <is>
          <t>Whitechapel</t>
        </is>
      </c>
      <c r="N19" s="13" t="n">
        <v>19</v>
      </c>
      <c r="O19" s="15">
        <f>IFERROR(INDEX(Venues!$C$2:$C$10,MATCH(M19,Venues!$A$2:$A$10,0)),"Not checked")</f>
        <v/>
      </c>
      <c r="P19" s="15">
        <f>IFERROR(INDEX(Venues!$D$2:$D$10,MATCH(M19,Venues!$A$2:$A$10,0)),0)</f>
        <v/>
      </c>
      <c r="Q19" s="42">
        <f>IFERROR(INDEX(Venues!$E$2:$E$10,MATCH(M19,Venues!$A$2:$A$10,0)),"")</f>
        <v/>
      </c>
      <c r="R19" s="15">
        <f>IF(P19&gt;0,"Yes","No")</f>
        <v/>
      </c>
      <c r="S19" s="13" t="inlineStr">
        <is>
          <t>COLA Shoreditch Park</t>
        </is>
      </c>
      <c r="T19" s="42">
        <f>IFERROR(INDEX(Venues!$E$2:$E$10,MATCH(S19,Venues!$A$2:$A$10,0)),"")</f>
        <v/>
      </c>
      <c r="U19" s="15">
        <f>IFERROR(INDEX(Venues!$F$2:$F$10,MATCH(S19,Venues!$A$2:$A$10,0)),"")</f>
        <v/>
      </c>
      <c r="V19" s="43">
        <f>IFERROR(INDEX(Venues!$H$2:$H$10,MATCH(S19,Venues!$A$2:$A$10,0)),"")</f>
        <v/>
      </c>
      <c r="W19" s="15">
        <f>IF('Pilot offer'!$C$24="Yes",'Pilot offer'!$C$3,S19)</f>
        <v/>
      </c>
      <c r="X19" s="42">
        <f>IF('Pilot offer'!$C$24="Yes",'Pilot offer'!$C$5+'Pilot offer'!$C$6,T19)</f>
        <v/>
      </c>
      <c r="Y19" s="15">
        <f>IF('Pilot offer'!$C$24="Yes",'Pilot offer'!$C$8,U19)</f>
        <v/>
      </c>
      <c r="Z19" s="43">
        <f>IF('Pilot offer'!$C$24="Yes",'Pilot offer'!$C$11,"")</f>
        <v/>
      </c>
      <c r="AA19" s="15">
        <f>IF(X19="","",W19&amp;" · "&amp;TEXT(X19,"ddd d mmm, hh:mm")&amp;" · "&amp;Y19&amp;IF(Z19&lt;&gt;""," · £"&amp;TEXT(Z19,"0.00")&amp;" per player"," · price TBC (cost £"&amp;TEXT(V19,"0.00")&amp;" pp)"))</f>
        <v/>
      </c>
      <c r="AD19" s="44" t="n"/>
    </row>
    <row r="20">
      <c r="A20" s="13" t="n">
        <v>18</v>
      </c>
      <c r="B20" s="13" t="inlineStr">
        <is>
          <t>1 · E2 Haggerston</t>
        </is>
      </c>
      <c r="C20" s="13" t="inlineStr">
        <is>
          <t>Office &amp; professional</t>
        </is>
      </c>
      <c r="D20" s="13" t="inlineStr">
        <is>
          <t>Corporate</t>
        </is>
      </c>
      <c r="E20" s="13" t="inlineStr">
        <is>
          <t>Crafted</t>
        </is>
      </c>
      <c r="F20" s="13" t="inlineStr">
        <is>
          <t>company</t>
        </is>
      </c>
      <c r="G20" s="13" t="inlineStr">
        <is>
          <t>hello@crafted.co.uk</t>
        </is>
      </c>
      <c r="H20" s="13" t="inlineStr">
        <is>
          <t>general</t>
        </is>
      </c>
      <c r="I20" s="13" t="inlineStr">
        <is>
          <t>+44 20 3327 9900</t>
        </is>
      </c>
      <c r="J20" s="14" t="inlineStr">
        <is>
          <t>https://www.crafted.co.uk/</t>
        </is>
      </c>
      <c r="K20" s="13" t="inlineStr">
        <is>
          <t>115 Coventry Road, London</t>
        </is>
      </c>
      <c r="L20" s="13" t="inlineStr">
        <is>
          <t>E2 6GG</t>
        </is>
      </c>
      <c r="M20" s="13" t="inlineStr">
        <is>
          <t>Stepney 3G</t>
        </is>
      </c>
      <c r="N20" s="13" t="n">
        <v>11</v>
      </c>
      <c r="O20" s="15">
        <f>IFERROR(INDEX(Venues!$C$2:$C$10,MATCH(M20,Venues!$A$2:$A$10,0)),"Not checked")</f>
        <v/>
      </c>
      <c r="P20" s="15">
        <f>IFERROR(INDEX(Venues!$D$2:$D$10,MATCH(M20,Venues!$A$2:$A$10,0)),0)</f>
        <v/>
      </c>
      <c r="Q20" s="42">
        <f>IFERROR(INDEX(Venues!$E$2:$E$10,MATCH(M20,Venues!$A$2:$A$10,0)),"")</f>
        <v/>
      </c>
      <c r="R20" s="15">
        <f>IF(P20&gt;0,"Yes","No")</f>
        <v/>
      </c>
      <c r="S20" s="13" t="inlineStr">
        <is>
          <t>COLA Shoreditch Park</t>
        </is>
      </c>
      <c r="T20" s="42">
        <f>IFERROR(INDEX(Venues!$E$2:$E$10,MATCH(S20,Venues!$A$2:$A$10,0)),"")</f>
        <v/>
      </c>
      <c r="U20" s="15">
        <f>IFERROR(INDEX(Venues!$F$2:$F$10,MATCH(S20,Venues!$A$2:$A$10,0)),"")</f>
        <v/>
      </c>
      <c r="V20" s="43">
        <f>IFERROR(INDEX(Venues!$H$2:$H$10,MATCH(S20,Venues!$A$2:$A$10,0)),"")</f>
        <v/>
      </c>
      <c r="W20" s="15">
        <f>IF('Pilot offer'!$C$24="Yes",'Pilot offer'!$C$3,S20)</f>
        <v/>
      </c>
      <c r="X20" s="42">
        <f>IF('Pilot offer'!$C$24="Yes",'Pilot offer'!$C$5+'Pilot offer'!$C$6,T20)</f>
        <v/>
      </c>
      <c r="Y20" s="15">
        <f>IF('Pilot offer'!$C$24="Yes",'Pilot offer'!$C$8,U20)</f>
        <v/>
      </c>
      <c r="Z20" s="43">
        <f>IF('Pilot offer'!$C$24="Yes",'Pilot offer'!$C$11,"")</f>
        <v/>
      </c>
      <c r="AA20" s="15">
        <f>IF(X20="","",W20&amp;" · "&amp;TEXT(X20,"ddd d mmm, hh:mm")&amp;" · "&amp;Y20&amp;IF(Z20&lt;&gt;""," · £"&amp;TEXT(Z20,"0.00")&amp;" per player"," · price TBC (cost £"&amp;TEXT(V20,"0.00")&amp;" pp)"))</f>
        <v/>
      </c>
      <c r="AD20" s="44" t="n"/>
    </row>
    <row r="21">
      <c r="A21" s="13" t="n">
        <v>19</v>
      </c>
      <c r="B21" s="13" t="inlineStr">
        <is>
          <t>1 · E2 Haggerston</t>
        </is>
      </c>
      <c r="C21" s="13" t="inlineStr">
        <is>
          <t>Office &amp; professional</t>
        </is>
      </c>
      <c r="D21" s="13" t="inlineStr">
        <is>
          <t>Corporate</t>
        </is>
      </c>
      <c r="E21" s="13" t="inlineStr">
        <is>
          <t>Transparent Digital Services</t>
        </is>
      </c>
      <c r="F21" s="13" t="inlineStr">
        <is>
          <t>advertising_agency</t>
        </is>
      </c>
      <c r="G21" s="13" t="inlineStr">
        <is>
          <t>contact@transparentdigitalservices.com</t>
        </is>
      </c>
      <c r="H21" s="13" t="inlineStr">
        <is>
          <t>openstreetmap_tag</t>
        </is>
      </c>
      <c r="I21" s="13" t="inlineStr">
        <is>
          <t>+44 7540 388706</t>
        </is>
      </c>
      <c r="J21" s="14" t="inlineStr">
        <is>
          <t>https://transparentdigitalservices.com/</t>
        </is>
      </c>
      <c r="K21" s="13" t="inlineStr">
        <is>
          <t>115 Coventry Road, London</t>
        </is>
      </c>
      <c r="L21" s="13" t="inlineStr">
        <is>
          <t>E2 6GH</t>
        </is>
      </c>
      <c r="M21" s="13" t="inlineStr">
        <is>
          <t>Stepney 3G</t>
        </is>
      </c>
      <c r="N21" s="13" t="n">
        <v>11</v>
      </c>
      <c r="O21" s="15">
        <f>IFERROR(INDEX(Venues!$C$2:$C$10,MATCH(M21,Venues!$A$2:$A$10,0)),"Not checked")</f>
        <v/>
      </c>
      <c r="P21" s="15">
        <f>IFERROR(INDEX(Venues!$D$2:$D$10,MATCH(M21,Venues!$A$2:$A$10,0)),0)</f>
        <v/>
      </c>
      <c r="Q21" s="42">
        <f>IFERROR(INDEX(Venues!$E$2:$E$10,MATCH(M21,Venues!$A$2:$A$10,0)),"")</f>
        <v/>
      </c>
      <c r="R21" s="15">
        <f>IF(P21&gt;0,"Yes","No")</f>
        <v/>
      </c>
      <c r="S21" s="13" t="inlineStr">
        <is>
          <t>COLA Shoreditch Park</t>
        </is>
      </c>
      <c r="T21" s="42">
        <f>IFERROR(INDEX(Venues!$E$2:$E$10,MATCH(S21,Venues!$A$2:$A$10,0)),"")</f>
        <v/>
      </c>
      <c r="U21" s="15">
        <f>IFERROR(INDEX(Venues!$F$2:$F$10,MATCH(S21,Venues!$A$2:$A$10,0)),"")</f>
        <v/>
      </c>
      <c r="V21" s="43">
        <f>IFERROR(INDEX(Venues!$H$2:$H$10,MATCH(S21,Venues!$A$2:$A$10,0)),"")</f>
        <v/>
      </c>
      <c r="W21" s="15">
        <f>IF('Pilot offer'!$C$24="Yes",'Pilot offer'!$C$3,S21)</f>
        <v/>
      </c>
      <c r="X21" s="42">
        <f>IF('Pilot offer'!$C$24="Yes",'Pilot offer'!$C$5+'Pilot offer'!$C$6,T21)</f>
        <v/>
      </c>
      <c r="Y21" s="15">
        <f>IF('Pilot offer'!$C$24="Yes",'Pilot offer'!$C$8,U21)</f>
        <v/>
      </c>
      <c r="Z21" s="43">
        <f>IF('Pilot offer'!$C$24="Yes",'Pilot offer'!$C$11,"")</f>
        <v/>
      </c>
      <c r="AA21" s="15">
        <f>IF(X21="","",W21&amp;" · "&amp;TEXT(X21,"ddd d mmm, hh:mm")&amp;" · "&amp;Y21&amp;IF(Z21&lt;&gt;""," · £"&amp;TEXT(Z21,"0.00")&amp;" per player"," · price TBC (cost £"&amp;TEXT(V21,"0.00")&amp;" pp)"))</f>
        <v/>
      </c>
      <c r="AD21" s="44" t="n"/>
    </row>
    <row r="22">
      <c r="A22" s="13" t="n">
        <v>20</v>
      </c>
      <c r="B22" s="13" t="inlineStr">
        <is>
          <t>1 · E2 Haggerston</t>
        </is>
      </c>
      <c r="C22" s="13" t="inlineStr">
        <is>
          <t>Coworking / shared office</t>
        </is>
      </c>
      <c r="D22" s="13" t="inlineStr">
        <is>
          <t>Corporate</t>
        </is>
      </c>
      <c r="E22" s="13" t="inlineStr">
        <is>
          <t>Oxford House</t>
        </is>
      </c>
      <c r="F22" s="13" t="inlineStr">
        <is>
          <t>coworking_space</t>
        </is>
      </c>
      <c r="G22" s="13" t="inlineStr">
        <is>
          <t>info@oxfordhouse.org.uk</t>
        </is>
      </c>
      <c r="H22" s="13" t="inlineStr">
        <is>
          <t>general</t>
        </is>
      </c>
      <c r="I22" s="13" t="inlineStr">
        <is>
          <t>+44 20 7739 9001</t>
        </is>
      </c>
      <c r="J22" s="14" t="inlineStr">
        <is>
          <t>http://www.oxfordhouse.org.uk/</t>
        </is>
      </c>
      <c r="K22" s="13" t="inlineStr">
        <is>
          <t>Oxford House, Derbyshire St, Bethnal Green, London E2 6HG, UK</t>
        </is>
      </c>
      <c r="L22" s="13" t="inlineStr">
        <is>
          <t>E2 6HG</t>
        </is>
      </c>
      <c r="M22" s="13" t="inlineStr">
        <is>
          <t>Stepney 3G</t>
        </is>
      </c>
      <c r="N22" s="13" t="n">
        <v>15</v>
      </c>
      <c r="O22" s="15">
        <f>IFERROR(INDEX(Venues!$C$2:$C$10,MATCH(M22,Venues!$A$2:$A$10,0)),"Not checked")</f>
        <v/>
      </c>
      <c r="P22" s="15">
        <f>IFERROR(INDEX(Venues!$D$2:$D$10,MATCH(M22,Venues!$A$2:$A$10,0)),0)</f>
        <v/>
      </c>
      <c r="Q22" s="42">
        <f>IFERROR(INDEX(Venues!$E$2:$E$10,MATCH(M22,Venues!$A$2:$A$10,0)),"")</f>
        <v/>
      </c>
      <c r="R22" s="15">
        <f>IF(P22&gt;0,"Yes","No")</f>
        <v/>
      </c>
      <c r="S22" s="13" t="inlineStr">
        <is>
          <t>COLA Shoreditch Park</t>
        </is>
      </c>
      <c r="T22" s="42">
        <f>IFERROR(INDEX(Venues!$E$2:$E$10,MATCH(S22,Venues!$A$2:$A$10,0)),"")</f>
        <v/>
      </c>
      <c r="U22" s="15">
        <f>IFERROR(INDEX(Venues!$F$2:$F$10,MATCH(S22,Venues!$A$2:$A$10,0)),"")</f>
        <v/>
      </c>
      <c r="V22" s="43">
        <f>IFERROR(INDEX(Venues!$H$2:$H$10,MATCH(S22,Venues!$A$2:$A$10,0)),"")</f>
        <v/>
      </c>
      <c r="W22" s="15">
        <f>IF('Pilot offer'!$C$24="Yes",'Pilot offer'!$C$3,S22)</f>
        <v/>
      </c>
      <c r="X22" s="42">
        <f>IF('Pilot offer'!$C$24="Yes",'Pilot offer'!$C$5+'Pilot offer'!$C$6,T22)</f>
        <v/>
      </c>
      <c r="Y22" s="15">
        <f>IF('Pilot offer'!$C$24="Yes",'Pilot offer'!$C$8,U22)</f>
        <v/>
      </c>
      <c r="Z22" s="43">
        <f>IF('Pilot offer'!$C$24="Yes",'Pilot offer'!$C$11,"")</f>
        <v/>
      </c>
      <c r="AA22" s="15">
        <f>IF(X22="","",W22&amp;" · "&amp;TEXT(X22,"ddd d mmm, hh:mm")&amp;" · "&amp;Y22&amp;IF(Z22&lt;&gt;""," · £"&amp;TEXT(Z22,"0.00")&amp;" per player"," · price TBC (cost £"&amp;TEXT(V22,"0.00")&amp;" pp)"))</f>
        <v/>
      </c>
      <c r="AD22" s="44" t="n"/>
    </row>
    <row r="23">
      <c r="A23" s="13" t="n">
        <v>21</v>
      </c>
      <c r="B23" s="13" t="inlineStr">
        <is>
          <t>1 · E2 Haggerston</t>
        </is>
      </c>
      <c r="C23" s="13" t="inlineStr">
        <is>
          <t>Retail</t>
        </is>
      </c>
      <c r="D23" s="13" t="inlineStr">
        <is>
          <t>Local businesses</t>
        </is>
      </c>
      <c r="E23" s="13" t="inlineStr">
        <is>
          <t>Eastend Printers</t>
        </is>
      </c>
      <c r="F23" s="13" t="inlineStr">
        <is>
          <t>shop: copyshop</t>
        </is>
      </c>
      <c r="G23" s="13" t="inlineStr">
        <is>
          <t>info@eastendprinters.co.uk</t>
        </is>
      </c>
      <c r="H23" s="13" t="inlineStr">
        <is>
          <t>general</t>
        </is>
      </c>
      <c r="I23" s="13" t="n"/>
      <c r="J23" s="14" t="inlineStr">
        <is>
          <t>https://eastendprinters.co.uk/</t>
        </is>
      </c>
      <c r="K23" s="13" t="inlineStr">
        <is>
          <t>Dunbridge Street 71, London</t>
        </is>
      </c>
      <c r="L23" s="13" t="inlineStr">
        <is>
          <t>E2 6JG</t>
        </is>
      </c>
      <c r="M23" s="13" t="inlineStr">
        <is>
          <t>Stepney 3G</t>
        </is>
      </c>
      <c r="N23" s="13" t="n">
        <v>17</v>
      </c>
      <c r="O23" s="15">
        <f>IFERROR(INDEX(Venues!$C$2:$C$10,MATCH(M23,Venues!$A$2:$A$10,0)),"Not checked")</f>
        <v/>
      </c>
      <c r="P23" s="15">
        <f>IFERROR(INDEX(Venues!$D$2:$D$10,MATCH(M23,Venues!$A$2:$A$10,0)),0)</f>
        <v/>
      </c>
      <c r="Q23" s="42">
        <f>IFERROR(INDEX(Venues!$E$2:$E$10,MATCH(M23,Venues!$A$2:$A$10,0)),"")</f>
        <v/>
      </c>
      <c r="R23" s="15">
        <f>IF(P23&gt;0,"Yes","No")</f>
        <v/>
      </c>
      <c r="S23" s="13" t="inlineStr">
        <is>
          <t>COLA Shoreditch Park</t>
        </is>
      </c>
      <c r="T23" s="42">
        <f>IFERROR(INDEX(Venues!$E$2:$E$10,MATCH(S23,Venues!$A$2:$A$10,0)),"")</f>
        <v/>
      </c>
      <c r="U23" s="15">
        <f>IFERROR(INDEX(Venues!$F$2:$F$10,MATCH(S23,Venues!$A$2:$A$10,0)),"")</f>
        <v/>
      </c>
      <c r="V23" s="43">
        <f>IFERROR(INDEX(Venues!$H$2:$H$10,MATCH(S23,Venues!$A$2:$A$10,0)),"")</f>
        <v/>
      </c>
      <c r="W23" s="15">
        <f>IF('Pilot offer'!$C$24="Yes",'Pilot offer'!$C$3,S23)</f>
        <v/>
      </c>
      <c r="X23" s="42">
        <f>IF('Pilot offer'!$C$24="Yes",'Pilot offer'!$C$5+'Pilot offer'!$C$6,T23)</f>
        <v/>
      </c>
      <c r="Y23" s="15">
        <f>IF('Pilot offer'!$C$24="Yes",'Pilot offer'!$C$8,U23)</f>
        <v/>
      </c>
      <c r="Z23" s="43">
        <f>IF('Pilot offer'!$C$24="Yes",'Pilot offer'!$C$11,"")</f>
        <v/>
      </c>
      <c r="AA23" s="15">
        <f>IF(X23="","",W23&amp;" · "&amp;TEXT(X23,"ddd d mmm, hh:mm")&amp;" · "&amp;Y23&amp;IF(Z23&lt;&gt;""," · £"&amp;TEXT(Z23,"0.00")&amp;" per player"," · price TBC (cost £"&amp;TEXT(V23,"0.00")&amp;" pp)"))</f>
        <v/>
      </c>
      <c r="AD23" s="44" t="n"/>
    </row>
    <row r="24">
      <c r="A24" s="13" t="n">
        <v>22</v>
      </c>
      <c r="B24" s="13" t="inlineStr">
        <is>
          <t>1 · E2 Haggerston</t>
        </is>
      </c>
      <c r="C24" s="13" t="inlineStr">
        <is>
          <t>Leisure &amp; culture</t>
        </is>
      </c>
      <c r="D24" s="13" t="inlineStr">
        <is>
          <t>Local businesses</t>
        </is>
      </c>
      <c r="E24" s="13" t="inlineStr">
        <is>
          <t>Bethnal Green Working Men's Club</t>
        </is>
      </c>
      <c r="F24" s="13" t="inlineStr">
        <is>
          <t>amenity: community centre</t>
        </is>
      </c>
      <c r="G24" s="13" t="inlineStr">
        <is>
          <t>info@workersplaytime.net</t>
        </is>
      </c>
      <c r="H24" s="13" t="inlineStr">
        <is>
          <t>general</t>
        </is>
      </c>
      <c r="I24" s="13" t="n"/>
      <c r="J24" s="14" t="inlineStr">
        <is>
          <t>https://workersplaytime.net/</t>
        </is>
      </c>
      <c r="K24" s="13" t="inlineStr">
        <is>
          <t>Pollard Row 42, London</t>
        </is>
      </c>
      <c r="L24" s="13" t="inlineStr">
        <is>
          <t>E2 6NB</t>
        </is>
      </c>
      <c r="M24" s="13" t="inlineStr">
        <is>
          <t>Stepney 3G</t>
        </is>
      </c>
      <c r="N24" s="13" t="n">
        <v>19</v>
      </c>
      <c r="O24" s="15">
        <f>IFERROR(INDEX(Venues!$C$2:$C$10,MATCH(M24,Venues!$A$2:$A$10,0)),"Not checked")</f>
        <v/>
      </c>
      <c r="P24" s="15">
        <f>IFERROR(INDEX(Venues!$D$2:$D$10,MATCH(M24,Venues!$A$2:$A$10,0)),0)</f>
        <v/>
      </c>
      <c r="Q24" s="42">
        <f>IFERROR(INDEX(Venues!$E$2:$E$10,MATCH(M24,Venues!$A$2:$A$10,0)),"")</f>
        <v/>
      </c>
      <c r="R24" s="15">
        <f>IF(P24&gt;0,"Yes","No")</f>
        <v/>
      </c>
      <c r="S24" s="13" t="inlineStr">
        <is>
          <t>COLA Shoreditch Park</t>
        </is>
      </c>
      <c r="T24" s="42">
        <f>IFERROR(INDEX(Venues!$E$2:$E$10,MATCH(S24,Venues!$A$2:$A$10,0)),"")</f>
        <v/>
      </c>
      <c r="U24" s="15">
        <f>IFERROR(INDEX(Venues!$F$2:$F$10,MATCH(S24,Venues!$A$2:$A$10,0)),"")</f>
        <v/>
      </c>
      <c r="V24" s="43">
        <f>IFERROR(INDEX(Venues!$H$2:$H$10,MATCH(S24,Venues!$A$2:$A$10,0)),"")</f>
        <v/>
      </c>
      <c r="W24" s="15">
        <f>IF('Pilot offer'!$C$24="Yes",'Pilot offer'!$C$3,S24)</f>
        <v/>
      </c>
      <c r="X24" s="42">
        <f>IF('Pilot offer'!$C$24="Yes",'Pilot offer'!$C$5+'Pilot offer'!$C$6,T24)</f>
        <v/>
      </c>
      <c r="Y24" s="15">
        <f>IF('Pilot offer'!$C$24="Yes",'Pilot offer'!$C$8,U24)</f>
        <v/>
      </c>
      <c r="Z24" s="43">
        <f>IF('Pilot offer'!$C$24="Yes",'Pilot offer'!$C$11,"")</f>
        <v/>
      </c>
      <c r="AA24" s="15">
        <f>IF(X24="","",W24&amp;" · "&amp;TEXT(X24,"ddd d mmm, hh:mm")&amp;" · "&amp;Y24&amp;IF(Z24&lt;&gt;""," · £"&amp;TEXT(Z24,"0.00")&amp;" per player"," · price TBC (cost £"&amp;TEXT(V24,"0.00")&amp;" pp)"))</f>
        <v/>
      </c>
      <c r="AD24" s="44" t="n"/>
    </row>
    <row r="25">
      <c r="A25" s="13" t="n">
        <v>23</v>
      </c>
      <c r="B25" s="13" t="inlineStr">
        <is>
          <t>1 · E2 Haggerston</t>
        </is>
      </c>
      <c r="C25" s="13" t="inlineStr">
        <is>
          <t>Education</t>
        </is>
      </c>
      <c r="D25" s="13" t="inlineStr">
        <is>
          <t>Local businesses</t>
        </is>
      </c>
      <c r="E25" s="13" t="inlineStr">
        <is>
          <t>Oaklands School</t>
        </is>
      </c>
      <c r="F25" s="13" t="inlineStr">
        <is>
          <t>amenity: school</t>
        </is>
      </c>
      <c r="G25" s="13" t="inlineStr">
        <is>
          <t>reception@oaklands.towerhamlets.sch.uk</t>
        </is>
      </c>
      <c r="H25" s="13" t="inlineStr">
        <is>
          <t>general</t>
        </is>
      </c>
      <c r="I25" s="13" t="n"/>
      <c r="J25" s="14" t="inlineStr">
        <is>
          <t>https://oaklands.towerhamlets.sch.uk/</t>
        </is>
      </c>
      <c r="K25" s="13" t="inlineStr">
        <is>
          <t>Old Bethnal Green Road, London</t>
        </is>
      </c>
      <c r="L25" s="13" t="inlineStr">
        <is>
          <t>E2 6PR</t>
        </is>
      </c>
      <c r="M25" s="13" t="inlineStr">
        <is>
          <t>Stepney 3G</t>
        </is>
      </c>
      <c r="N25" s="13" t="n">
        <v>17</v>
      </c>
      <c r="O25" s="15">
        <f>IFERROR(INDEX(Venues!$C$2:$C$10,MATCH(M25,Venues!$A$2:$A$10,0)),"Not checked")</f>
        <v/>
      </c>
      <c r="P25" s="15">
        <f>IFERROR(INDEX(Venues!$D$2:$D$10,MATCH(M25,Venues!$A$2:$A$10,0)),0)</f>
        <v/>
      </c>
      <c r="Q25" s="42">
        <f>IFERROR(INDEX(Venues!$E$2:$E$10,MATCH(M25,Venues!$A$2:$A$10,0)),"")</f>
        <v/>
      </c>
      <c r="R25" s="15">
        <f>IF(P25&gt;0,"Yes","No")</f>
        <v/>
      </c>
      <c r="S25" s="13" t="inlineStr">
        <is>
          <t>COLA Shoreditch Park</t>
        </is>
      </c>
      <c r="T25" s="42">
        <f>IFERROR(INDEX(Venues!$E$2:$E$10,MATCH(S25,Venues!$A$2:$A$10,0)),"")</f>
        <v/>
      </c>
      <c r="U25" s="15">
        <f>IFERROR(INDEX(Venues!$F$2:$F$10,MATCH(S25,Venues!$A$2:$A$10,0)),"")</f>
        <v/>
      </c>
      <c r="V25" s="43">
        <f>IFERROR(INDEX(Venues!$H$2:$H$10,MATCH(S25,Venues!$A$2:$A$10,0)),"")</f>
        <v/>
      </c>
      <c r="W25" s="15">
        <f>IF('Pilot offer'!$C$24="Yes",'Pilot offer'!$C$3,S25)</f>
        <v/>
      </c>
      <c r="X25" s="42">
        <f>IF('Pilot offer'!$C$24="Yes",'Pilot offer'!$C$5+'Pilot offer'!$C$6,T25)</f>
        <v/>
      </c>
      <c r="Y25" s="15">
        <f>IF('Pilot offer'!$C$24="Yes",'Pilot offer'!$C$8,U25)</f>
        <v/>
      </c>
      <c r="Z25" s="43">
        <f>IF('Pilot offer'!$C$24="Yes",'Pilot offer'!$C$11,"")</f>
        <v/>
      </c>
      <c r="AA25" s="15">
        <f>IF(X25="","",W25&amp;" · "&amp;TEXT(X25,"ddd d mmm, hh:mm")&amp;" · "&amp;Y25&amp;IF(Z25&lt;&gt;""," · £"&amp;TEXT(Z25,"0.00")&amp;" per player"," · price TBC (cost £"&amp;TEXT(V25,"0.00")&amp;" pp)"))</f>
        <v/>
      </c>
      <c r="AD25" s="44" t="n"/>
    </row>
    <row r="26">
      <c r="A26" s="13" t="n">
        <v>24</v>
      </c>
      <c r="B26" s="13" t="inlineStr">
        <is>
          <t>1 · E2 Haggerston</t>
        </is>
      </c>
      <c r="C26" s="13" t="inlineStr">
        <is>
          <t>Hospitality</t>
        </is>
      </c>
      <c r="D26" s="13" t="inlineStr">
        <is>
          <t>Local businesses</t>
        </is>
      </c>
      <c r="E26" s="13" t="inlineStr">
        <is>
          <t>The Common E2</t>
        </is>
      </c>
      <c r="F26" s="13" t="inlineStr">
        <is>
          <t>amenity: cafe</t>
        </is>
      </c>
      <c r="G26" s="13" t="inlineStr">
        <is>
          <t>info@thecommone2.com</t>
        </is>
      </c>
      <c r="H26" s="13" t="inlineStr">
        <is>
          <t>general</t>
        </is>
      </c>
      <c r="I26" s="13" t="n"/>
      <c r="J26" s="14" t="inlineStr">
        <is>
          <t>http://www.thecommone2.com</t>
        </is>
      </c>
      <c r="K26" s="13" t="inlineStr">
        <is>
          <t>Old Bethnal Green Road 53, London</t>
        </is>
      </c>
      <c r="L26" s="13" t="inlineStr">
        <is>
          <t>E2 6QA</t>
        </is>
      </c>
      <c r="M26" s="13" t="inlineStr">
        <is>
          <t>Stepney 3G</t>
        </is>
      </c>
      <c r="N26" s="13" t="n">
        <v>17</v>
      </c>
      <c r="O26" s="15">
        <f>IFERROR(INDEX(Venues!$C$2:$C$10,MATCH(M26,Venues!$A$2:$A$10,0)),"Not checked")</f>
        <v/>
      </c>
      <c r="P26" s="15">
        <f>IFERROR(INDEX(Venues!$D$2:$D$10,MATCH(M26,Venues!$A$2:$A$10,0)),0)</f>
        <v/>
      </c>
      <c r="Q26" s="42">
        <f>IFERROR(INDEX(Venues!$E$2:$E$10,MATCH(M26,Venues!$A$2:$A$10,0)),"")</f>
        <v/>
      </c>
      <c r="R26" s="15">
        <f>IF(P26&gt;0,"Yes","No")</f>
        <v/>
      </c>
      <c r="S26" s="13" t="inlineStr">
        <is>
          <t>COLA Shoreditch Park</t>
        </is>
      </c>
      <c r="T26" s="42">
        <f>IFERROR(INDEX(Venues!$E$2:$E$10,MATCH(S26,Venues!$A$2:$A$10,0)),"")</f>
        <v/>
      </c>
      <c r="U26" s="15">
        <f>IFERROR(INDEX(Venues!$F$2:$F$10,MATCH(S26,Venues!$A$2:$A$10,0)),"")</f>
        <v/>
      </c>
      <c r="V26" s="43">
        <f>IFERROR(INDEX(Venues!$H$2:$H$10,MATCH(S26,Venues!$A$2:$A$10,0)),"")</f>
        <v/>
      </c>
      <c r="W26" s="15">
        <f>IF('Pilot offer'!$C$24="Yes",'Pilot offer'!$C$3,S26)</f>
        <v/>
      </c>
      <c r="X26" s="42">
        <f>IF('Pilot offer'!$C$24="Yes",'Pilot offer'!$C$5+'Pilot offer'!$C$6,T26)</f>
        <v/>
      </c>
      <c r="Y26" s="15">
        <f>IF('Pilot offer'!$C$24="Yes",'Pilot offer'!$C$8,U26)</f>
        <v/>
      </c>
      <c r="Z26" s="43">
        <f>IF('Pilot offer'!$C$24="Yes",'Pilot offer'!$C$11,"")</f>
        <v/>
      </c>
      <c r="AA26" s="15">
        <f>IF(X26="","",W26&amp;" · "&amp;TEXT(X26,"ddd d mmm, hh:mm")&amp;" · "&amp;Y26&amp;IF(Z26&lt;&gt;""," · £"&amp;TEXT(Z26,"0.00")&amp;" per player"," · price TBC (cost £"&amp;TEXT(V26,"0.00")&amp;" pp)"))</f>
        <v/>
      </c>
      <c r="AD26" s="44" t="n"/>
    </row>
    <row r="27">
      <c r="A27" s="13" t="n">
        <v>25</v>
      </c>
      <c r="B27" s="13" t="inlineStr">
        <is>
          <t>1 · E2 Haggerston</t>
        </is>
      </c>
      <c r="C27" s="13" t="inlineStr">
        <is>
          <t>Hospitality</t>
        </is>
      </c>
      <c r="D27" s="13" t="inlineStr">
        <is>
          <t>Local businesses</t>
        </is>
      </c>
      <c r="E27" s="13" t="inlineStr">
        <is>
          <t>A Portuguese Love Affair</t>
        </is>
      </c>
      <c r="F27" s="13" t="inlineStr">
        <is>
          <t>amenity: cafe</t>
        </is>
      </c>
      <c r="G27" s="13" t="inlineStr">
        <is>
          <t>info@aportugueseloveaffair.co.uk</t>
        </is>
      </c>
      <c r="H27" s="13" t="inlineStr">
        <is>
          <t>general</t>
        </is>
      </c>
      <c r="I27" s="13" t="inlineStr">
        <is>
          <t>+44 20 3490 2662</t>
        </is>
      </c>
      <c r="J27" s="14" t="inlineStr">
        <is>
          <t>https://www.aportugueseloveaffair.co.uk/</t>
        </is>
      </c>
      <c r="K27" s="13" t="inlineStr">
        <is>
          <t>Hackney Road 326, London</t>
        </is>
      </c>
      <c r="L27" s="13" t="inlineStr">
        <is>
          <t>E2 7AX</t>
        </is>
      </c>
      <c r="M27" s="13" t="inlineStr">
        <is>
          <t>Shoreditch Rooftop</t>
        </is>
      </c>
      <c r="N27" s="13" t="n">
        <v>20</v>
      </c>
      <c r="O27" s="15">
        <f>IFERROR(INDEX(Venues!$C$2:$C$10,MATCH(M27,Venues!$A$2:$A$10,0)),"Not checked")</f>
        <v/>
      </c>
      <c r="P27" s="15">
        <f>IFERROR(INDEX(Venues!$D$2:$D$10,MATCH(M27,Venues!$A$2:$A$10,0)),0)</f>
        <v/>
      </c>
      <c r="Q27" s="42">
        <f>IFERROR(INDEX(Venues!$E$2:$E$10,MATCH(M27,Venues!$A$2:$A$10,0)),"")</f>
        <v/>
      </c>
      <c r="R27" s="15">
        <f>IF(P27&gt;0,"Yes","No")</f>
        <v/>
      </c>
      <c r="S27" s="13" t="inlineStr">
        <is>
          <t>Shoreditch Rooftop</t>
        </is>
      </c>
      <c r="T27" s="42">
        <f>IFERROR(INDEX(Venues!$E$2:$E$10,MATCH(S27,Venues!$A$2:$A$10,0)),"")</f>
        <v/>
      </c>
      <c r="U27" s="15">
        <f>IFERROR(INDEX(Venues!$F$2:$F$10,MATCH(S27,Venues!$A$2:$A$10,0)),"")</f>
        <v/>
      </c>
      <c r="V27" s="43">
        <f>IFERROR(INDEX(Venues!$H$2:$H$10,MATCH(S27,Venues!$A$2:$A$10,0)),"")</f>
        <v/>
      </c>
      <c r="W27" s="15">
        <f>IF('Pilot offer'!$C$24="Yes",'Pilot offer'!$C$3,S27)</f>
        <v/>
      </c>
      <c r="X27" s="42">
        <f>IF('Pilot offer'!$C$24="Yes",'Pilot offer'!$C$5+'Pilot offer'!$C$6,T27)</f>
        <v/>
      </c>
      <c r="Y27" s="15">
        <f>IF('Pilot offer'!$C$24="Yes",'Pilot offer'!$C$8,U27)</f>
        <v/>
      </c>
      <c r="Z27" s="43">
        <f>IF('Pilot offer'!$C$24="Yes",'Pilot offer'!$C$11,"")</f>
        <v/>
      </c>
      <c r="AA27" s="15">
        <f>IF(X27="","",W27&amp;" · "&amp;TEXT(X27,"ddd d mmm, hh:mm")&amp;" · "&amp;Y27&amp;IF(Z27&lt;&gt;""," · £"&amp;TEXT(Z27,"0.00")&amp;" per player"," · price TBC (cost £"&amp;TEXT(V27,"0.00")&amp;" pp)"))</f>
        <v/>
      </c>
      <c r="AD27" s="44" t="n"/>
    </row>
    <row r="28">
      <c r="A28" s="13" t="n">
        <v>26</v>
      </c>
      <c r="B28" s="13" t="inlineStr">
        <is>
          <t>1 · E2 Haggerston</t>
        </is>
      </c>
      <c r="C28" s="13" t="inlineStr">
        <is>
          <t>Office &amp; professional</t>
        </is>
      </c>
      <c r="D28" s="13" t="inlineStr">
        <is>
          <t>Corporate</t>
        </is>
      </c>
      <c r="E28" s="13" t="inlineStr">
        <is>
          <t>Small World</t>
        </is>
      </c>
      <c r="F28" s="13" t="inlineStr">
        <is>
          <t>consultant</t>
        </is>
      </c>
      <c r="G28" s="13" t="inlineStr">
        <is>
          <t>hello@meetsmallworld.com</t>
        </is>
      </c>
      <c r="H28" s="13" t="inlineStr">
        <is>
          <t>general</t>
        </is>
      </c>
      <c r="I28" s="13" t="n"/>
      <c r="J28" s="14" t="inlineStr">
        <is>
          <t>http://www.meetsmallworld.com/</t>
        </is>
      </c>
      <c r="K28" s="13" t="inlineStr">
        <is>
          <t>10 Redchurch St, London E2 7DD, UK</t>
        </is>
      </c>
      <c r="L28" s="13" t="inlineStr">
        <is>
          <t>E2 7DD</t>
        </is>
      </c>
      <c r="M28" s="13" t="inlineStr">
        <is>
          <t>Shoreditch Rooftop</t>
        </is>
      </c>
      <c r="N28" s="13" t="n">
        <v>21</v>
      </c>
      <c r="O28" s="15">
        <f>IFERROR(INDEX(Venues!$C$2:$C$10,MATCH(M28,Venues!$A$2:$A$10,0)),"Not checked")</f>
        <v/>
      </c>
      <c r="P28" s="15">
        <f>IFERROR(INDEX(Venues!$D$2:$D$10,MATCH(M28,Venues!$A$2:$A$10,0)),0)</f>
        <v/>
      </c>
      <c r="Q28" s="42">
        <f>IFERROR(INDEX(Venues!$E$2:$E$10,MATCH(M28,Venues!$A$2:$A$10,0)),"")</f>
        <v/>
      </c>
      <c r="R28" s="15">
        <f>IF(P28&gt;0,"Yes","No")</f>
        <v/>
      </c>
      <c r="S28" s="13" t="inlineStr">
        <is>
          <t>Shoreditch Rooftop</t>
        </is>
      </c>
      <c r="T28" s="42">
        <f>IFERROR(INDEX(Venues!$E$2:$E$10,MATCH(S28,Venues!$A$2:$A$10,0)),"")</f>
        <v/>
      </c>
      <c r="U28" s="15">
        <f>IFERROR(INDEX(Venues!$F$2:$F$10,MATCH(S28,Venues!$A$2:$A$10,0)),"")</f>
        <v/>
      </c>
      <c r="V28" s="43">
        <f>IFERROR(INDEX(Venues!$H$2:$H$10,MATCH(S28,Venues!$A$2:$A$10,0)),"")</f>
        <v/>
      </c>
      <c r="W28" s="15">
        <f>IF('Pilot offer'!$C$24="Yes",'Pilot offer'!$C$3,S28)</f>
        <v/>
      </c>
      <c r="X28" s="42">
        <f>IF('Pilot offer'!$C$24="Yes",'Pilot offer'!$C$5+'Pilot offer'!$C$6,T28)</f>
        <v/>
      </c>
      <c r="Y28" s="15">
        <f>IF('Pilot offer'!$C$24="Yes",'Pilot offer'!$C$8,U28)</f>
        <v/>
      </c>
      <c r="Z28" s="43">
        <f>IF('Pilot offer'!$C$24="Yes",'Pilot offer'!$C$11,"")</f>
        <v/>
      </c>
      <c r="AA28" s="15">
        <f>IF(X28="","",W28&amp;" · "&amp;TEXT(X28,"ddd d mmm, hh:mm")&amp;" · "&amp;Y28&amp;IF(Z28&lt;&gt;""," · £"&amp;TEXT(Z28,"0.00")&amp;" per player"," · price TBC (cost £"&amp;TEXT(V28,"0.00")&amp;" pp)"))</f>
        <v/>
      </c>
      <c r="AD28" s="44" t="n"/>
    </row>
    <row r="29">
      <c r="A29" s="13" t="n">
        <v>27</v>
      </c>
      <c r="B29" s="13" t="inlineStr">
        <is>
          <t>1 · E2 Haggerston</t>
        </is>
      </c>
      <c r="C29" s="13" t="inlineStr">
        <is>
          <t>Hospitality</t>
        </is>
      </c>
      <c r="D29" s="13" t="inlineStr">
        <is>
          <t>Local businesses</t>
        </is>
      </c>
      <c r="E29" s="13" t="inlineStr">
        <is>
          <t>BAO Noodle Shop</t>
        </is>
      </c>
      <c r="F29" s="13" t="inlineStr">
        <is>
          <t>amenity: restaurant</t>
        </is>
      </c>
      <c r="G29" s="13" t="inlineStr">
        <is>
          <t>info@baolondon.com</t>
        </is>
      </c>
      <c r="H29" s="13" t="inlineStr">
        <is>
          <t>general</t>
        </is>
      </c>
      <c r="I29" s="13" t="n"/>
      <c r="J29" s="14" t="inlineStr">
        <is>
          <t>https://baolondon.com/</t>
        </is>
      </c>
      <c r="K29" s="13" t="inlineStr">
        <is>
          <t>Redchurch Street 1, London</t>
        </is>
      </c>
      <c r="L29" s="13" t="inlineStr">
        <is>
          <t>E2 7DJ</t>
        </is>
      </c>
      <c r="M29" s="13" t="inlineStr">
        <is>
          <t>Shoreditch Rooftop</t>
        </is>
      </c>
      <c r="N29" s="13" t="n">
        <v>20</v>
      </c>
      <c r="O29" s="15">
        <f>IFERROR(INDEX(Venues!$C$2:$C$10,MATCH(M29,Venues!$A$2:$A$10,0)),"Not checked")</f>
        <v/>
      </c>
      <c r="P29" s="15">
        <f>IFERROR(INDEX(Venues!$D$2:$D$10,MATCH(M29,Venues!$A$2:$A$10,0)),0)</f>
        <v/>
      </c>
      <c r="Q29" s="42">
        <f>IFERROR(INDEX(Venues!$E$2:$E$10,MATCH(M29,Venues!$A$2:$A$10,0)),"")</f>
        <v/>
      </c>
      <c r="R29" s="15">
        <f>IF(P29&gt;0,"Yes","No")</f>
        <v/>
      </c>
      <c r="S29" s="13" t="inlineStr">
        <is>
          <t>Shoreditch Rooftop</t>
        </is>
      </c>
      <c r="T29" s="42">
        <f>IFERROR(INDEX(Venues!$E$2:$E$10,MATCH(S29,Venues!$A$2:$A$10,0)),"")</f>
        <v/>
      </c>
      <c r="U29" s="15">
        <f>IFERROR(INDEX(Venues!$F$2:$F$10,MATCH(S29,Venues!$A$2:$A$10,0)),"")</f>
        <v/>
      </c>
      <c r="V29" s="43">
        <f>IFERROR(INDEX(Venues!$H$2:$H$10,MATCH(S29,Venues!$A$2:$A$10,0)),"")</f>
        <v/>
      </c>
      <c r="W29" s="15">
        <f>IF('Pilot offer'!$C$24="Yes",'Pilot offer'!$C$3,S29)</f>
        <v/>
      </c>
      <c r="X29" s="42">
        <f>IF('Pilot offer'!$C$24="Yes",'Pilot offer'!$C$5+'Pilot offer'!$C$6,T29)</f>
        <v/>
      </c>
      <c r="Y29" s="15">
        <f>IF('Pilot offer'!$C$24="Yes",'Pilot offer'!$C$8,U29)</f>
        <v/>
      </c>
      <c r="Z29" s="43">
        <f>IF('Pilot offer'!$C$24="Yes",'Pilot offer'!$C$11,"")</f>
        <v/>
      </c>
      <c r="AA29" s="15">
        <f>IF(X29="","",W29&amp;" · "&amp;TEXT(X29,"ddd d mmm, hh:mm")&amp;" · "&amp;Y29&amp;IF(Z29&lt;&gt;""," · £"&amp;TEXT(Z29,"0.00")&amp;" per player"," · price TBC (cost £"&amp;TEXT(V29,"0.00")&amp;" pp)"))</f>
        <v/>
      </c>
      <c r="AD29" s="44" t="n"/>
    </row>
    <row r="30">
      <c r="A30" s="13" t="n">
        <v>28</v>
      </c>
      <c r="B30" s="13" t="inlineStr">
        <is>
          <t>1 · E2 Haggerston</t>
        </is>
      </c>
      <c r="C30" s="13" t="inlineStr">
        <is>
          <t>Health</t>
        </is>
      </c>
      <c r="D30" s="13" t="inlineStr">
        <is>
          <t>Local businesses</t>
        </is>
      </c>
      <c r="E30" s="13" t="inlineStr">
        <is>
          <t>Mildmay Mission Hospital</t>
        </is>
      </c>
      <c r="F30" s="13" t="inlineStr">
        <is>
          <t>amenity: hospital</t>
        </is>
      </c>
      <c r="G30" s="13" t="inlineStr">
        <is>
          <t>info@mildmay.org</t>
        </is>
      </c>
      <c r="H30" s="13" t="inlineStr">
        <is>
          <t>general</t>
        </is>
      </c>
      <c r="I30" s="13" t="inlineStr">
        <is>
          <t>+44 20 7613 6300</t>
        </is>
      </c>
      <c r="J30" s="14" t="inlineStr">
        <is>
          <t>https://www.mildmay.org/</t>
        </is>
      </c>
      <c r="K30" s="13" t="inlineStr">
        <is>
          <t>Tabernacle Gardens 19, London</t>
        </is>
      </c>
      <c r="L30" s="13" t="inlineStr">
        <is>
          <t>E2 7DZ</t>
        </is>
      </c>
      <c r="M30" s="13" t="inlineStr">
        <is>
          <t>Shoreditch Rooftop</t>
        </is>
      </c>
      <c r="N30" s="13" t="n">
        <v>15</v>
      </c>
      <c r="O30" s="15">
        <f>IFERROR(INDEX(Venues!$C$2:$C$10,MATCH(M30,Venues!$A$2:$A$10,0)),"Not checked")</f>
        <v/>
      </c>
      <c r="P30" s="15">
        <f>IFERROR(INDEX(Venues!$D$2:$D$10,MATCH(M30,Venues!$A$2:$A$10,0)),0)</f>
        <v/>
      </c>
      <c r="Q30" s="42">
        <f>IFERROR(INDEX(Venues!$E$2:$E$10,MATCH(M30,Venues!$A$2:$A$10,0)),"")</f>
        <v/>
      </c>
      <c r="R30" s="15">
        <f>IF(P30&gt;0,"Yes","No")</f>
        <v/>
      </c>
      <c r="S30" s="13" t="inlineStr">
        <is>
          <t>Shoreditch Rooftop</t>
        </is>
      </c>
      <c r="T30" s="42">
        <f>IFERROR(INDEX(Venues!$E$2:$E$10,MATCH(S30,Venues!$A$2:$A$10,0)),"")</f>
        <v/>
      </c>
      <c r="U30" s="15">
        <f>IFERROR(INDEX(Venues!$F$2:$F$10,MATCH(S30,Venues!$A$2:$A$10,0)),"")</f>
        <v/>
      </c>
      <c r="V30" s="43">
        <f>IFERROR(INDEX(Venues!$H$2:$H$10,MATCH(S30,Venues!$A$2:$A$10,0)),"")</f>
        <v/>
      </c>
      <c r="W30" s="15">
        <f>IF('Pilot offer'!$C$24="Yes",'Pilot offer'!$C$3,S30)</f>
        <v/>
      </c>
      <c r="X30" s="42">
        <f>IF('Pilot offer'!$C$24="Yes",'Pilot offer'!$C$5+'Pilot offer'!$C$6,T30)</f>
        <v/>
      </c>
      <c r="Y30" s="15">
        <f>IF('Pilot offer'!$C$24="Yes",'Pilot offer'!$C$8,U30)</f>
        <v/>
      </c>
      <c r="Z30" s="43">
        <f>IF('Pilot offer'!$C$24="Yes",'Pilot offer'!$C$11,"")</f>
        <v/>
      </c>
      <c r="AA30" s="15">
        <f>IF(X30="","",W30&amp;" · "&amp;TEXT(X30,"ddd d mmm, hh:mm")&amp;" · "&amp;Y30&amp;IF(Z30&lt;&gt;""," · £"&amp;TEXT(Z30,"0.00")&amp;" per player"," · price TBC (cost £"&amp;TEXT(V30,"0.00")&amp;" pp)"))</f>
        <v/>
      </c>
      <c r="AD30" s="44" t="n"/>
    </row>
    <row r="31">
      <c r="A31" s="13" t="n">
        <v>29</v>
      </c>
      <c r="B31" s="13" t="inlineStr">
        <is>
          <t>1 · E2 Haggerston</t>
        </is>
      </c>
      <c r="C31" s="13" t="inlineStr">
        <is>
          <t>Hospitality</t>
        </is>
      </c>
      <c r="D31" s="13" t="inlineStr">
        <is>
          <t>Local businesses</t>
        </is>
      </c>
      <c r="E31" s="13" t="inlineStr">
        <is>
          <t>The Umbrella Workshop</t>
        </is>
      </c>
      <c r="F31" s="13" t="inlineStr">
        <is>
          <t>amenity: bar</t>
        </is>
      </c>
      <c r="G31" s="13" t="inlineStr">
        <is>
          <t>info@theumbrellaproject.co.uk</t>
        </is>
      </c>
      <c r="H31" s="13" t="inlineStr">
        <is>
          <t>general</t>
        </is>
      </c>
      <c r="I31" s="13" t="inlineStr">
        <is>
          <t>+44 20 7739 4951</t>
        </is>
      </c>
      <c r="J31" s="14" t="inlineStr">
        <is>
          <t>https://theumbrellaproject.co.uk/</t>
        </is>
      </c>
      <c r="K31" s="13" t="inlineStr">
        <is>
          <t>Boundary Street, London</t>
        </is>
      </c>
      <c r="L31" s="13" t="inlineStr">
        <is>
          <t>E2 7JD</t>
        </is>
      </c>
      <c r="M31" s="13" t="inlineStr">
        <is>
          <t>Shoreditch Rooftop</t>
        </is>
      </c>
      <c r="N31" s="13" t="n">
        <v>17</v>
      </c>
      <c r="O31" s="15">
        <f>IFERROR(INDEX(Venues!$C$2:$C$10,MATCH(M31,Venues!$A$2:$A$10,0)),"Not checked")</f>
        <v/>
      </c>
      <c r="P31" s="15">
        <f>IFERROR(INDEX(Venues!$D$2:$D$10,MATCH(M31,Venues!$A$2:$A$10,0)),0)</f>
        <v/>
      </c>
      <c r="Q31" s="42">
        <f>IFERROR(INDEX(Venues!$E$2:$E$10,MATCH(M31,Venues!$A$2:$A$10,0)),"")</f>
        <v/>
      </c>
      <c r="R31" s="15">
        <f>IF(P31&gt;0,"Yes","No")</f>
        <v/>
      </c>
      <c r="S31" s="13" t="inlineStr">
        <is>
          <t>Shoreditch Rooftop</t>
        </is>
      </c>
      <c r="T31" s="42">
        <f>IFERROR(INDEX(Venues!$E$2:$E$10,MATCH(S31,Venues!$A$2:$A$10,0)),"")</f>
        <v/>
      </c>
      <c r="U31" s="15">
        <f>IFERROR(INDEX(Venues!$F$2:$F$10,MATCH(S31,Venues!$A$2:$A$10,0)),"")</f>
        <v/>
      </c>
      <c r="V31" s="43">
        <f>IFERROR(INDEX(Venues!$H$2:$H$10,MATCH(S31,Venues!$A$2:$A$10,0)),"")</f>
        <v/>
      </c>
      <c r="W31" s="15">
        <f>IF('Pilot offer'!$C$24="Yes",'Pilot offer'!$C$3,S31)</f>
        <v/>
      </c>
      <c r="X31" s="42">
        <f>IF('Pilot offer'!$C$24="Yes",'Pilot offer'!$C$5+'Pilot offer'!$C$6,T31)</f>
        <v/>
      </c>
      <c r="Y31" s="15">
        <f>IF('Pilot offer'!$C$24="Yes",'Pilot offer'!$C$8,U31)</f>
        <v/>
      </c>
      <c r="Z31" s="43">
        <f>IF('Pilot offer'!$C$24="Yes",'Pilot offer'!$C$11,"")</f>
        <v/>
      </c>
      <c r="AA31" s="15">
        <f>IF(X31="","",W31&amp;" · "&amp;TEXT(X31,"ddd d mmm, hh:mm")&amp;" · "&amp;Y31&amp;IF(Z31&lt;&gt;""," · £"&amp;TEXT(Z31,"0.00")&amp;" per player"," · price TBC (cost £"&amp;TEXT(V31,"0.00")&amp;" pp)"))</f>
        <v/>
      </c>
      <c r="AD31" s="44" t="n"/>
    </row>
    <row r="32">
      <c r="A32" s="13" t="n">
        <v>30</v>
      </c>
      <c r="B32" s="13" t="inlineStr">
        <is>
          <t>1 · E2 Haggerston</t>
        </is>
      </c>
      <c r="C32" s="13" t="inlineStr">
        <is>
          <t>Retail</t>
        </is>
      </c>
      <c r="D32" s="13" t="inlineStr">
        <is>
          <t>Local businesses</t>
        </is>
      </c>
      <c r="E32" s="13" t="inlineStr">
        <is>
          <t>facebar</t>
        </is>
      </c>
      <c r="F32" s="13" t="inlineStr">
        <is>
          <t>shop: beauty</t>
        </is>
      </c>
      <c r="G32" s="13" t="inlineStr">
        <is>
          <t>hello@facebarlondon.com</t>
        </is>
      </c>
      <c r="H32" s="13" t="inlineStr">
        <is>
          <t>general</t>
        </is>
      </c>
      <c r="I32" s="13" t="inlineStr">
        <is>
          <t>+44 7789 618125</t>
        </is>
      </c>
      <c r="J32" s="14" t="inlineStr">
        <is>
          <t>https://facebarlondon.com/</t>
        </is>
      </c>
      <c r="K32" s="13" t="inlineStr">
        <is>
          <t>Boundary Street, London</t>
        </is>
      </c>
      <c r="L32" s="13" t="inlineStr">
        <is>
          <t>E2 7JD</t>
        </is>
      </c>
      <c r="M32" s="13" t="inlineStr">
        <is>
          <t>Shoreditch Rooftop</t>
        </is>
      </c>
      <c r="N32" s="13" t="n">
        <v>17</v>
      </c>
      <c r="O32" s="15">
        <f>IFERROR(INDEX(Venues!$C$2:$C$10,MATCH(M32,Venues!$A$2:$A$10,0)),"Not checked")</f>
        <v/>
      </c>
      <c r="P32" s="15">
        <f>IFERROR(INDEX(Venues!$D$2:$D$10,MATCH(M32,Venues!$A$2:$A$10,0)),0)</f>
        <v/>
      </c>
      <c r="Q32" s="42">
        <f>IFERROR(INDEX(Venues!$E$2:$E$10,MATCH(M32,Venues!$A$2:$A$10,0)),"")</f>
        <v/>
      </c>
      <c r="R32" s="15">
        <f>IF(P32&gt;0,"Yes","No")</f>
        <v/>
      </c>
      <c r="S32" s="13" t="inlineStr">
        <is>
          <t>Shoreditch Rooftop</t>
        </is>
      </c>
      <c r="T32" s="42">
        <f>IFERROR(INDEX(Venues!$E$2:$E$10,MATCH(S32,Venues!$A$2:$A$10,0)),"")</f>
        <v/>
      </c>
      <c r="U32" s="15">
        <f>IFERROR(INDEX(Venues!$F$2:$F$10,MATCH(S32,Venues!$A$2:$A$10,0)),"")</f>
        <v/>
      </c>
      <c r="V32" s="43">
        <f>IFERROR(INDEX(Venues!$H$2:$H$10,MATCH(S32,Venues!$A$2:$A$10,0)),"")</f>
        <v/>
      </c>
      <c r="W32" s="15">
        <f>IF('Pilot offer'!$C$24="Yes",'Pilot offer'!$C$3,S32)</f>
        <v/>
      </c>
      <c r="X32" s="42">
        <f>IF('Pilot offer'!$C$24="Yes",'Pilot offer'!$C$5+'Pilot offer'!$C$6,T32)</f>
        <v/>
      </c>
      <c r="Y32" s="15">
        <f>IF('Pilot offer'!$C$24="Yes",'Pilot offer'!$C$8,U32)</f>
        <v/>
      </c>
      <c r="Z32" s="43">
        <f>IF('Pilot offer'!$C$24="Yes",'Pilot offer'!$C$11,"")</f>
        <v/>
      </c>
      <c r="AA32" s="15">
        <f>IF(X32="","",W32&amp;" · "&amp;TEXT(X32,"ddd d mmm, hh:mm")&amp;" · "&amp;Y32&amp;IF(Z32&lt;&gt;""," · £"&amp;TEXT(Z32,"0.00")&amp;" per player"," · price TBC (cost £"&amp;TEXT(V32,"0.00")&amp;" pp)"))</f>
        <v/>
      </c>
      <c r="AD32" s="44" t="n"/>
    </row>
    <row r="33">
      <c r="A33" s="13" t="n">
        <v>31</v>
      </c>
      <c r="B33" s="13" t="inlineStr">
        <is>
          <t>1 · E2 Haggerston</t>
        </is>
      </c>
      <c r="C33" s="13" t="inlineStr">
        <is>
          <t>Hospitality</t>
        </is>
      </c>
      <c r="D33" s="13" t="inlineStr">
        <is>
          <t>Local businesses</t>
        </is>
      </c>
      <c r="E33" s="13" t="inlineStr">
        <is>
          <t>Paper &amp; Cup</t>
        </is>
      </c>
      <c r="F33" s="13" t="inlineStr">
        <is>
          <t>amenity: cafe</t>
        </is>
      </c>
      <c r="G33" s="13" t="inlineStr">
        <is>
          <t>paperandcup@sct.org.uk</t>
        </is>
      </c>
      <c r="H33" s="13" t="inlineStr">
        <is>
          <t>openstreetmap_tag</t>
        </is>
      </c>
      <c r="I33" s="13" t="inlineStr">
        <is>
          <t>+44 7732 691013</t>
        </is>
      </c>
      <c r="J33" s="14" t="inlineStr">
        <is>
          <t>https://sct.org.uk/social-enterprises/paper-cup/</t>
        </is>
      </c>
      <c r="K33" s="13" t="inlineStr">
        <is>
          <t>Calvert Avenue 18, London</t>
        </is>
      </c>
      <c r="L33" s="13" t="inlineStr">
        <is>
          <t>E2 7JP</t>
        </is>
      </c>
      <c r="M33" s="13" t="inlineStr">
        <is>
          <t>Shoreditch Rooftop</t>
        </is>
      </c>
      <c r="N33" s="13" t="n">
        <v>17</v>
      </c>
      <c r="O33" s="15">
        <f>IFERROR(INDEX(Venues!$C$2:$C$10,MATCH(M33,Venues!$A$2:$A$10,0)),"Not checked")</f>
        <v/>
      </c>
      <c r="P33" s="15">
        <f>IFERROR(INDEX(Venues!$D$2:$D$10,MATCH(M33,Venues!$A$2:$A$10,0)),0)</f>
        <v/>
      </c>
      <c r="Q33" s="42">
        <f>IFERROR(INDEX(Venues!$E$2:$E$10,MATCH(M33,Venues!$A$2:$A$10,0)),"")</f>
        <v/>
      </c>
      <c r="R33" s="15">
        <f>IF(P33&gt;0,"Yes","No")</f>
        <v/>
      </c>
      <c r="S33" s="13" t="inlineStr">
        <is>
          <t>Shoreditch Rooftop</t>
        </is>
      </c>
      <c r="T33" s="42">
        <f>IFERROR(INDEX(Venues!$E$2:$E$10,MATCH(S33,Venues!$A$2:$A$10,0)),"")</f>
        <v/>
      </c>
      <c r="U33" s="15">
        <f>IFERROR(INDEX(Venues!$F$2:$F$10,MATCH(S33,Venues!$A$2:$A$10,0)),"")</f>
        <v/>
      </c>
      <c r="V33" s="43">
        <f>IFERROR(INDEX(Venues!$H$2:$H$10,MATCH(S33,Venues!$A$2:$A$10,0)),"")</f>
        <v/>
      </c>
      <c r="W33" s="15">
        <f>IF('Pilot offer'!$C$24="Yes",'Pilot offer'!$C$3,S33)</f>
        <v/>
      </c>
      <c r="X33" s="42">
        <f>IF('Pilot offer'!$C$24="Yes",'Pilot offer'!$C$5+'Pilot offer'!$C$6,T33)</f>
        <v/>
      </c>
      <c r="Y33" s="15">
        <f>IF('Pilot offer'!$C$24="Yes",'Pilot offer'!$C$8,U33)</f>
        <v/>
      </c>
      <c r="Z33" s="43">
        <f>IF('Pilot offer'!$C$24="Yes",'Pilot offer'!$C$11,"")</f>
        <v/>
      </c>
      <c r="AA33" s="15">
        <f>IF(X33="","",W33&amp;" · "&amp;TEXT(X33,"ddd d mmm, hh:mm")&amp;" · "&amp;Y33&amp;IF(Z33&lt;&gt;""," · £"&amp;TEXT(Z33,"0.00")&amp;" per player"," · price TBC (cost £"&amp;TEXT(V33,"0.00")&amp;" pp)"))</f>
        <v/>
      </c>
      <c r="AD33" s="44" t="n"/>
    </row>
    <row r="34">
      <c r="A34" s="13" t="n">
        <v>32</v>
      </c>
      <c r="B34" s="13" t="inlineStr">
        <is>
          <t>1 · E2 Haggerston</t>
        </is>
      </c>
      <c r="C34" s="13" t="inlineStr">
        <is>
          <t>Retail</t>
        </is>
      </c>
      <c r="D34" s="13" t="inlineStr">
        <is>
          <t>Local businesses</t>
        </is>
      </c>
      <c r="E34" s="13" t="inlineStr">
        <is>
          <t>Odyssey Male Grooming</t>
        </is>
      </c>
      <c r="F34" s="13" t="inlineStr">
        <is>
          <t>shop: hairdresser</t>
        </is>
      </c>
      <c r="G34" s="13" t="inlineStr">
        <is>
          <t>hello@odysseymalegrooming.com</t>
        </is>
      </c>
      <c r="H34" s="13" t="inlineStr">
        <is>
          <t>openstreetmap_tag</t>
        </is>
      </c>
      <c r="I34" s="13" t="inlineStr">
        <is>
          <t>+44 20 3911 8144</t>
        </is>
      </c>
      <c r="J34" s="14" t="inlineStr">
        <is>
          <t>https://www.odysseymalegrooming.com/</t>
        </is>
      </c>
      <c r="K34" s="13" t="inlineStr">
        <is>
          <t>Hackney Road 63, London</t>
        </is>
      </c>
      <c r="L34" s="13" t="inlineStr">
        <is>
          <t>E2 7NX</t>
        </is>
      </c>
      <c r="M34" s="13" t="inlineStr">
        <is>
          <t>Shoreditch Rooftop</t>
        </is>
      </c>
      <c r="N34" s="13" t="n">
        <v>14</v>
      </c>
      <c r="O34" s="15">
        <f>IFERROR(INDEX(Venues!$C$2:$C$10,MATCH(M34,Venues!$A$2:$A$10,0)),"Not checked")</f>
        <v/>
      </c>
      <c r="P34" s="15">
        <f>IFERROR(INDEX(Venues!$D$2:$D$10,MATCH(M34,Venues!$A$2:$A$10,0)),0)</f>
        <v/>
      </c>
      <c r="Q34" s="42">
        <f>IFERROR(INDEX(Venues!$E$2:$E$10,MATCH(M34,Venues!$A$2:$A$10,0)),"")</f>
        <v/>
      </c>
      <c r="R34" s="15">
        <f>IF(P34&gt;0,"Yes","No")</f>
        <v/>
      </c>
      <c r="S34" s="13" t="inlineStr">
        <is>
          <t>Shoreditch Rooftop</t>
        </is>
      </c>
      <c r="T34" s="42">
        <f>IFERROR(INDEX(Venues!$E$2:$E$10,MATCH(S34,Venues!$A$2:$A$10,0)),"")</f>
        <v/>
      </c>
      <c r="U34" s="15">
        <f>IFERROR(INDEX(Venues!$F$2:$F$10,MATCH(S34,Venues!$A$2:$A$10,0)),"")</f>
        <v/>
      </c>
      <c r="V34" s="43">
        <f>IFERROR(INDEX(Venues!$H$2:$H$10,MATCH(S34,Venues!$A$2:$A$10,0)),"")</f>
        <v/>
      </c>
      <c r="W34" s="15">
        <f>IF('Pilot offer'!$C$24="Yes",'Pilot offer'!$C$3,S34)</f>
        <v/>
      </c>
      <c r="X34" s="42">
        <f>IF('Pilot offer'!$C$24="Yes",'Pilot offer'!$C$5+'Pilot offer'!$C$6,T34)</f>
        <v/>
      </c>
      <c r="Y34" s="15">
        <f>IF('Pilot offer'!$C$24="Yes",'Pilot offer'!$C$8,U34)</f>
        <v/>
      </c>
      <c r="Z34" s="43">
        <f>IF('Pilot offer'!$C$24="Yes",'Pilot offer'!$C$11,"")</f>
        <v/>
      </c>
      <c r="AA34" s="15">
        <f>IF(X34="","",W34&amp;" · "&amp;TEXT(X34,"ddd d mmm, hh:mm")&amp;" · "&amp;Y34&amp;IF(Z34&lt;&gt;""," · £"&amp;TEXT(Z34,"0.00")&amp;" per player"," · price TBC (cost £"&amp;TEXT(V34,"0.00")&amp;" pp)"))</f>
        <v/>
      </c>
      <c r="AD34" s="44" t="n"/>
    </row>
    <row r="35">
      <c r="A35" s="13" t="n">
        <v>33</v>
      </c>
      <c r="B35" s="13" t="inlineStr">
        <is>
          <t>1 · E2 Haggerston</t>
        </is>
      </c>
      <c r="C35" s="13" t="inlineStr">
        <is>
          <t>Retail</t>
        </is>
      </c>
      <c r="D35" s="13" t="inlineStr">
        <is>
          <t>Local businesses</t>
        </is>
      </c>
      <c r="E35" s="13" t="inlineStr">
        <is>
          <t>Idle Moments</t>
        </is>
      </c>
      <c r="F35" s="13" t="inlineStr">
        <is>
          <t>shop: wine</t>
        </is>
      </c>
      <c r="G35" s="13" t="inlineStr">
        <is>
          <t>info@idle-moments.com</t>
        </is>
      </c>
      <c r="H35" s="13" t="inlineStr">
        <is>
          <t>general</t>
        </is>
      </c>
      <c r="I35" s="13" t="inlineStr">
        <is>
          <t>+44 20 7646 3762</t>
        </is>
      </c>
      <c r="J35" s="14" t="inlineStr">
        <is>
          <t>https://idle-moments.com/</t>
        </is>
      </c>
      <c r="K35" s="13" t="inlineStr">
        <is>
          <t>Columbia Road 86, London</t>
        </is>
      </c>
      <c r="L35" s="13" t="inlineStr">
        <is>
          <t>E2 7QB</t>
        </is>
      </c>
      <c r="M35" s="13" t="inlineStr">
        <is>
          <t>Shoreditch Rooftop</t>
        </is>
      </c>
      <c r="N35" s="13" t="n">
        <v>18</v>
      </c>
      <c r="O35" s="15">
        <f>IFERROR(INDEX(Venues!$C$2:$C$10,MATCH(M35,Venues!$A$2:$A$10,0)),"Not checked")</f>
        <v/>
      </c>
      <c r="P35" s="15">
        <f>IFERROR(INDEX(Venues!$D$2:$D$10,MATCH(M35,Venues!$A$2:$A$10,0)),0)</f>
        <v/>
      </c>
      <c r="Q35" s="42">
        <f>IFERROR(INDEX(Venues!$E$2:$E$10,MATCH(M35,Venues!$A$2:$A$10,0)),"")</f>
        <v/>
      </c>
      <c r="R35" s="15">
        <f>IF(P35&gt;0,"Yes","No")</f>
        <v/>
      </c>
      <c r="S35" s="13" t="inlineStr">
        <is>
          <t>Shoreditch Rooftop</t>
        </is>
      </c>
      <c r="T35" s="42">
        <f>IFERROR(INDEX(Venues!$E$2:$E$10,MATCH(S35,Venues!$A$2:$A$10,0)),"")</f>
        <v/>
      </c>
      <c r="U35" s="15">
        <f>IFERROR(INDEX(Venues!$F$2:$F$10,MATCH(S35,Venues!$A$2:$A$10,0)),"")</f>
        <v/>
      </c>
      <c r="V35" s="43">
        <f>IFERROR(INDEX(Venues!$H$2:$H$10,MATCH(S35,Venues!$A$2:$A$10,0)),"")</f>
        <v/>
      </c>
      <c r="W35" s="15">
        <f>IF('Pilot offer'!$C$24="Yes",'Pilot offer'!$C$3,S35)</f>
        <v/>
      </c>
      <c r="X35" s="42">
        <f>IF('Pilot offer'!$C$24="Yes",'Pilot offer'!$C$5+'Pilot offer'!$C$6,T35)</f>
        <v/>
      </c>
      <c r="Y35" s="15">
        <f>IF('Pilot offer'!$C$24="Yes",'Pilot offer'!$C$8,U35)</f>
        <v/>
      </c>
      <c r="Z35" s="43">
        <f>IF('Pilot offer'!$C$24="Yes",'Pilot offer'!$C$11,"")</f>
        <v/>
      </c>
      <c r="AA35" s="15">
        <f>IF(X35="","",W35&amp;" · "&amp;TEXT(X35,"ddd d mmm, hh:mm")&amp;" · "&amp;Y35&amp;IF(Z35&lt;&gt;""," · £"&amp;TEXT(Z35,"0.00")&amp;" per player"," · price TBC (cost £"&amp;TEXT(V35,"0.00")&amp;" pp)"))</f>
        <v/>
      </c>
      <c r="AD35" s="44" t="n"/>
    </row>
    <row r="36">
      <c r="A36" s="13" t="n">
        <v>34</v>
      </c>
      <c r="B36" s="13" t="inlineStr">
        <is>
          <t>1 · E2 Haggerston</t>
        </is>
      </c>
      <c r="C36" s="13" t="inlineStr">
        <is>
          <t>Hospitality</t>
        </is>
      </c>
      <c r="D36" s="13" t="inlineStr">
        <is>
          <t>Local businesses</t>
        </is>
      </c>
      <c r="E36" s="13" t="inlineStr">
        <is>
          <t>Brawn</t>
        </is>
      </c>
      <c r="F36" s="13" t="inlineStr">
        <is>
          <t>amenity: restaurant</t>
        </is>
      </c>
      <c r="G36" s="13" t="inlineStr">
        <is>
          <t>enquiries@brawn.co</t>
        </is>
      </c>
      <c r="H36" s="13" t="inlineStr">
        <is>
          <t>general</t>
        </is>
      </c>
      <c r="I36" s="13" t="n"/>
      <c r="J36" s="14" t="inlineStr">
        <is>
          <t>https://www.brawn.co/</t>
        </is>
      </c>
      <c r="K36" s="13" t="inlineStr">
        <is>
          <t>Columbia Road 49, London</t>
        </is>
      </c>
      <c r="L36" s="13" t="inlineStr">
        <is>
          <t>E2 7RG</t>
        </is>
      </c>
      <c r="M36" s="13" t="inlineStr">
        <is>
          <t>Shoreditch Rooftop</t>
        </is>
      </c>
      <c r="N36" s="13" t="n">
        <v>18</v>
      </c>
      <c r="O36" s="15">
        <f>IFERROR(INDEX(Venues!$C$2:$C$10,MATCH(M36,Venues!$A$2:$A$10,0)),"Not checked")</f>
        <v/>
      </c>
      <c r="P36" s="15">
        <f>IFERROR(INDEX(Venues!$D$2:$D$10,MATCH(M36,Venues!$A$2:$A$10,0)),0)</f>
        <v/>
      </c>
      <c r="Q36" s="42">
        <f>IFERROR(INDEX(Venues!$E$2:$E$10,MATCH(M36,Venues!$A$2:$A$10,0)),"")</f>
        <v/>
      </c>
      <c r="R36" s="15">
        <f>IF(P36&gt;0,"Yes","No")</f>
        <v/>
      </c>
      <c r="S36" s="13" t="inlineStr">
        <is>
          <t>Shoreditch Rooftop</t>
        </is>
      </c>
      <c r="T36" s="42">
        <f>IFERROR(INDEX(Venues!$E$2:$E$10,MATCH(S36,Venues!$A$2:$A$10,0)),"")</f>
        <v/>
      </c>
      <c r="U36" s="15">
        <f>IFERROR(INDEX(Venues!$F$2:$F$10,MATCH(S36,Venues!$A$2:$A$10,0)),"")</f>
        <v/>
      </c>
      <c r="V36" s="43">
        <f>IFERROR(INDEX(Venues!$H$2:$H$10,MATCH(S36,Venues!$A$2:$A$10,0)),"")</f>
        <v/>
      </c>
      <c r="W36" s="15">
        <f>IF('Pilot offer'!$C$24="Yes",'Pilot offer'!$C$3,S36)</f>
        <v/>
      </c>
      <c r="X36" s="42">
        <f>IF('Pilot offer'!$C$24="Yes",'Pilot offer'!$C$5+'Pilot offer'!$C$6,T36)</f>
        <v/>
      </c>
      <c r="Y36" s="15">
        <f>IF('Pilot offer'!$C$24="Yes",'Pilot offer'!$C$8,U36)</f>
        <v/>
      </c>
      <c r="Z36" s="43">
        <f>IF('Pilot offer'!$C$24="Yes",'Pilot offer'!$C$11,"")</f>
        <v/>
      </c>
      <c r="AA36" s="15">
        <f>IF(X36="","",W36&amp;" · "&amp;TEXT(X36,"ddd d mmm, hh:mm")&amp;" · "&amp;Y36&amp;IF(Z36&lt;&gt;""," · £"&amp;TEXT(Z36,"0.00")&amp;" per player"," · price TBC (cost £"&amp;TEXT(V36,"0.00")&amp;" pp)"))</f>
        <v/>
      </c>
      <c r="AD36" s="44" t="n"/>
    </row>
    <row r="37">
      <c r="A37" s="13" t="n">
        <v>35</v>
      </c>
      <c r="B37" s="13" t="inlineStr">
        <is>
          <t>1 · E2 Haggerston</t>
        </is>
      </c>
      <c r="C37" s="13" t="inlineStr">
        <is>
          <t>Retail</t>
        </is>
      </c>
      <c r="D37" s="13" t="inlineStr">
        <is>
          <t>Local businesses</t>
        </is>
      </c>
      <c r="E37" s="13" t="inlineStr">
        <is>
          <t>Mosaic Factory</t>
        </is>
      </c>
      <c r="F37" s="13" t="inlineStr">
        <is>
          <t>shop: tiles</t>
        </is>
      </c>
      <c r="G37" s="13" t="inlineStr">
        <is>
          <t>info-uk@mosaicdelsur.com</t>
        </is>
      </c>
      <c r="H37" s="13" t="inlineStr">
        <is>
          <t>openstreetmap_tag</t>
        </is>
      </c>
      <c r="I37" s="13" t="inlineStr">
        <is>
          <t>+44 20 3514 0483</t>
        </is>
      </c>
      <c r="J37" s="14" t="inlineStr">
        <is>
          <t>https://www.cement-tiles.com/</t>
        </is>
      </c>
      <c r="K37" s="13" t="inlineStr">
        <is>
          <t>Columbia Road 106, London</t>
        </is>
      </c>
      <c r="L37" s="13" t="inlineStr">
        <is>
          <t>E2 7RG</t>
        </is>
      </c>
      <c r="M37" s="13" t="inlineStr">
        <is>
          <t>Shoreditch Rooftop</t>
        </is>
      </c>
      <c r="N37" s="13" t="n">
        <v>18</v>
      </c>
      <c r="O37" s="15">
        <f>IFERROR(INDEX(Venues!$C$2:$C$10,MATCH(M37,Venues!$A$2:$A$10,0)),"Not checked")</f>
        <v/>
      </c>
      <c r="P37" s="15">
        <f>IFERROR(INDEX(Venues!$D$2:$D$10,MATCH(M37,Venues!$A$2:$A$10,0)),0)</f>
        <v/>
      </c>
      <c r="Q37" s="42">
        <f>IFERROR(INDEX(Venues!$E$2:$E$10,MATCH(M37,Venues!$A$2:$A$10,0)),"")</f>
        <v/>
      </c>
      <c r="R37" s="15">
        <f>IF(P37&gt;0,"Yes","No")</f>
        <v/>
      </c>
      <c r="S37" s="13" t="inlineStr">
        <is>
          <t>Shoreditch Rooftop</t>
        </is>
      </c>
      <c r="T37" s="42">
        <f>IFERROR(INDEX(Venues!$E$2:$E$10,MATCH(S37,Venues!$A$2:$A$10,0)),"")</f>
        <v/>
      </c>
      <c r="U37" s="15">
        <f>IFERROR(INDEX(Venues!$F$2:$F$10,MATCH(S37,Venues!$A$2:$A$10,0)),"")</f>
        <v/>
      </c>
      <c r="V37" s="43">
        <f>IFERROR(INDEX(Venues!$H$2:$H$10,MATCH(S37,Venues!$A$2:$A$10,0)),"")</f>
        <v/>
      </c>
      <c r="W37" s="15">
        <f>IF('Pilot offer'!$C$24="Yes",'Pilot offer'!$C$3,S37)</f>
        <v/>
      </c>
      <c r="X37" s="42">
        <f>IF('Pilot offer'!$C$24="Yes",'Pilot offer'!$C$5+'Pilot offer'!$C$6,T37)</f>
        <v/>
      </c>
      <c r="Y37" s="15">
        <f>IF('Pilot offer'!$C$24="Yes",'Pilot offer'!$C$8,U37)</f>
        <v/>
      </c>
      <c r="Z37" s="43">
        <f>IF('Pilot offer'!$C$24="Yes",'Pilot offer'!$C$11,"")</f>
        <v/>
      </c>
      <c r="AA37" s="15">
        <f>IF(X37="","",W37&amp;" · "&amp;TEXT(X37,"ddd d mmm, hh:mm")&amp;" · "&amp;Y37&amp;IF(Z37&lt;&gt;""," · £"&amp;TEXT(Z37,"0.00")&amp;" per player"," · price TBC (cost £"&amp;TEXT(V37,"0.00")&amp;" pp)"))</f>
        <v/>
      </c>
      <c r="AD37" s="44" t="n"/>
    </row>
    <row r="38">
      <c r="A38" s="13" t="n">
        <v>36</v>
      </c>
      <c r="B38" s="13" t="inlineStr">
        <is>
          <t>1 · E2 Haggerston</t>
        </is>
      </c>
      <c r="C38" s="13" t="inlineStr">
        <is>
          <t>Retail</t>
        </is>
      </c>
      <c r="D38" s="13" t="inlineStr">
        <is>
          <t>Local businesses</t>
        </is>
      </c>
      <c r="E38" s="13" t="inlineStr">
        <is>
          <t>Play Vinyl</t>
        </is>
      </c>
      <c r="F38" s="13" t="inlineStr">
        <is>
          <t>shop: music</t>
        </is>
      </c>
      <c r="G38" s="13" t="inlineStr">
        <is>
          <t>info@playvinyl.london</t>
        </is>
      </c>
      <c r="H38" s="13" t="inlineStr">
        <is>
          <t>openstreetmap_tag</t>
        </is>
      </c>
      <c r="I38" s="13" t="inlineStr">
        <is>
          <t>+44 7480 651744</t>
        </is>
      </c>
      <c r="J38" s="14" t="inlineStr">
        <is>
          <t>https://playvinyl.london/</t>
        </is>
      </c>
      <c r="K38" s="13" t="inlineStr">
        <is>
          <t>Ezra Street 14, London</t>
        </is>
      </c>
      <c r="L38" s="13" t="inlineStr">
        <is>
          <t>E2 7RH</t>
        </is>
      </c>
      <c r="M38" s="13" t="inlineStr">
        <is>
          <t>Shoreditch Rooftop</t>
        </is>
      </c>
      <c r="N38" s="13" t="n">
        <v>18</v>
      </c>
      <c r="O38" s="15">
        <f>IFERROR(INDEX(Venues!$C$2:$C$10,MATCH(M38,Venues!$A$2:$A$10,0)),"Not checked")</f>
        <v/>
      </c>
      <c r="P38" s="15">
        <f>IFERROR(INDEX(Venues!$D$2:$D$10,MATCH(M38,Venues!$A$2:$A$10,0)),0)</f>
        <v/>
      </c>
      <c r="Q38" s="42">
        <f>IFERROR(INDEX(Venues!$E$2:$E$10,MATCH(M38,Venues!$A$2:$A$10,0)),"")</f>
        <v/>
      </c>
      <c r="R38" s="15">
        <f>IF(P38&gt;0,"Yes","No")</f>
        <v/>
      </c>
      <c r="S38" s="13" t="inlineStr">
        <is>
          <t>Shoreditch Rooftop</t>
        </is>
      </c>
      <c r="T38" s="42">
        <f>IFERROR(INDEX(Venues!$E$2:$E$10,MATCH(S38,Venues!$A$2:$A$10,0)),"")</f>
        <v/>
      </c>
      <c r="U38" s="15">
        <f>IFERROR(INDEX(Venues!$F$2:$F$10,MATCH(S38,Venues!$A$2:$A$10,0)),"")</f>
        <v/>
      </c>
      <c r="V38" s="43">
        <f>IFERROR(INDEX(Venues!$H$2:$H$10,MATCH(S38,Venues!$A$2:$A$10,0)),"")</f>
        <v/>
      </c>
      <c r="W38" s="15">
        <f>IF('Pilot offer'!$C$24="Yes",'Pilot offer'!$C$3,S38)</f>
        <v/>
      </c>
      <c r="X38" s="42">
        <f>IF('Pilot offer'!$C$24="Yes",'Pilot offer'!$C$5+'Pilot offer'!$C$6,T38)</f>
        <v/>
      </c>
      <c r="Y38" s="15">
        <f>IF('Pilot offer'!$C$24="Yes",'Pilot offer'!$C$8,U38)</f>
        <v/>
      </c>
      <c r="Z38" s="43">
        <f>IF('Pilot offer'!$C$24="Yes",'Pilot offer'!$C$11,"")</f>
        <v/>
      </c>
      <c r="AA38" s="15">
        <f>IF(X38="","",W38&amp;" · "&amp;TEXT(X38,"ddd d mmm, hh:mm")&amp;" · "&amp;Y38&amp;IF(Z38&lt;&gt;""," · £"&amp;TEXT(Z38,"0.00")&amp;" per player"," · price TBC (cost £"&amp;TEXT(V38,"0.00")&amp;" pp)"))</f>
        <v/>
      </c>
      <c r="AD38" s="44" t="n"/>
    </row>
    <row r="39">
      <c r="A39" s="13" t="n">
        <v>37</v>
      </c>
      <c r="B39" s="13" t="inlineStr">
        <is>
          <t>1 · E2 Haggerston</t>
        </is>
      </c>
      <c r="C39" s="13" t="inlineStr">
        <is>
          <t>Hospitality</t>
        </is>
      </c>
      <c r="D39" s="13" t="inlineStr">
        <is>
          <t>Local businesses</t>
        </is>
      </c>
      <c r="E39" s="13" t="inlineStr">
        <is>
          <t>The Nelson's</t>
        </is>
      </c>
      <c r="F39" s="13" t="inlineStr">
        <is>
          <t>amenity: pub</t>
        </is>
      </c>
      <c r="G39" s="13" t="inlineStr">
        <is>
          <t>ben@thenelsonspub.com</t>
        </is>
      </c>
      <c r="H39" s="13" t="inlineStr">
        <is>
          <t>person_or_other</t>
        </is>
      </c>
      <c r="I39" s="13" t="inlineStr">
        <is>
          <t>+44 7427 012091</t>
        </is>
      </c>
      <c r="J39" s="14" t="inlineStr">
        <is>
          <t>https://www.thenelsonspub.com/</t>
        </is>
      </c>
      <c r="K39" s="13" t="inlineStr">
        <is>
          <t>Horatio Street 32, London</t>
        </is>
      </c>
      <c r="L39" s="13" t="inlineStr">
        <is>
          <t>E2 7SB</t>
        </is>
      </c>
      <c r="M39" s="13" t="inlineStr">
        <is>
          <t>Shoreditch Rooftop</t>
        </is>
      </c>
      <c r="N39" s="13" t="n">
        <v>17</v>
      </c>
      <c r="O39" s="15">
        <f>IFERROR(INDEX(Venues!$C$2:$C$10,MATCH(M39,Venues!$A$2:$A$10,0)),"Not checked")</f>
        <v/>
      </c>
      <c r="P39" s="15">
        <f>IFERROR(INDEX(Venues!$D$2:$D$10,MATCH(M39,Venues!$A$2:$A$10,0)),0)</f>
        <v/>
      </c>
      <c r="Q39" s="42">
        <f>IFERROR(INDEX(Venues!$E$2:$E$10,MATCH(M39,Venues!$A$2:$A$10,0)),"")</f>
        <v/>
      </c>
      <c r="R39" s="15">
        <f>IF(P39&gt;0,"Yes","No")</f>
        <v/>
      </c>
      <c r="S39" s="13" t="inlineStr">
        <is>
          <t>Shoreditch Rooftop</t>
        </is>
      </c>
      <c r="T39" s="42">
        <f>IFERROR(INDEX(Venues!$E$2:$E$10,MATCH(S39,Venues!$A$2:$A$10,0)),"")</f>
        <v/>
      </c>
      <c r="U39" s="15">
        <f>IFERROR(INDEX(Venues!$F$2:$F$10,MATCH(S39,Venues!$A$2:$A$10,0)),"")</f>
        <v/>
      </c>
      <c r="V39" s="43">
        <f>IFERROR(INDEX(Venues!$H$2:$H$10,MATCH(S39,Venues!$A$2:$A$10,0)),"")</f>
        <v/>
      </c>
      <c r="W39" s="15">
        <f>IF('Pilot offer'!$C$24="Yes",'Pilot offer'!$C$3,S39)</f>
        <v/>
      </c>
      <c r="X39" s="42">
        <f>IF('Pilot offer'!$C$24="Yes",'Pilot offer'!$C$5+'Pilot offer'!$C$6,T39)</f>
        <v/>
      </c>
      <c r="Y39" s="15">
        <f>IF('Pilot offer'!$C$24="Yes",'Pilot offer'!$C$8,U39)</f>
        <v/>
      </c>
      <c r="Z39" s="43">
        <f>IF('Pilot offer'!$C$24="Yes",'Pilot offer'!$C$11,"")</f>
        <v/>
      </c>
      <c r="AA39" s="15">
        <f>IF(X39="","",W39&amp;" · "&amp;TEXT(X39,"ddd d mmm, hh:mm")&amp;" · "&amp;Y39&amp;IF(Z39&lt;&gt;""," · £"&amp;TEXT(Z39,"0.00")&amp;" per player"," · price TBC (cost £"&amp;TEXT(V39,"0.00")&amp;" pp)"))</f>
        <v/>
      </c>
      <c r="AD39" s="44" t="n"/>
    </row>
    <row r="40">
      <c r="A40" s="13" t="n">
        <v>38</v>
      </c>
      <c r="B40" s="13" t="inlineStr">
        <is>
          <t>1 · E2 Haggerston</t>
        </is>
      </c>
      <c r="C40" s="13" t="inlineStr">
        <is>
          <t>Hospitality</t>
        </is>
      </c>
      <c r="D40" s="13" t="inlineStr">
        <is>
          <t>Local businesses</t>
        </is>
      </c>
      <c r="E40" s="13" t="inlineStr">
        <is>
          <t>Indian Greedy Cow</t>
        </is>
      </c>
      <c r="F40" s="13" t="inlineStr">
        <is>
          <t>amenity: fast food</t>
        </is>
      </c>
      <c r="G40" s="13" t="inlineStr">
        <is>
          <t>info@indiangreedycow.co.uk</t>
        </is>
      </c>
      <c r="H40" s="13" t="inlineStr">
        <is>
          <t>general</t>
        </is>
      </c>
      <c r="I40" s="13" t="inlineStr">
        <is>
          <t>+44 20 7739 4884</t>
        </is>
      </c>
      <c r="J40" s="14" t="inlineStr">
        <is>
          <t>https://www.indiangreedycow.co.uk/</t>
        </is>
      </c>
      <c r="K40" s="13" t="inlineStr">
        <is>
          <t>Hackney Road 310, London</t>
        </is>
      </c>
      <c r="L40" s="13" t="inlineStr">
        <is>
          <t>E2 7SJ</t>
        </is>
      </c>
      <c r="M40" s="13" t="inlineStr">
        <is>
          <t>Shoreditch Rooftop</t>
        </is>
      </c>
      <c r="N40" s="13" t="n">
        <v>19</v>
      </c>
      <c r="O40" s="15">
        <f>IFERROR(INDEX(Venues!$C$2:$C$10,MATCH(M40,Venues!$A$2:$A$10,0)),"Not checked")</f>
        <v/>
      </c>
      <c r="P40" s="15">
        <f>IFERROR(INDEX(Venues!$D$2:$D$10,MATCH(M40,Venues!$A$2:$A$10,0)),0)</f>
        <v/>
      </c>
      <c r="Q40" s="42">
        <f>IFERROR(INDEX(Venues!$E$2:$E$10,MATCH(M40,Venues!$A$2:$A$10,0)),"")</f>
        <v/>
      </c>
      <c r="R40" s="15">
        <f>IF(P40&gt;0,"Yes","No")</f>
        <v/>
      </c>
      <c r="S40" s="13" t="inlineStr">
        <is>
          <t>Shoreditch Rooftop</t>
        </is>
      </c>
      <c r="T40" s="42">
        <f>IFERROR(INDEX(Venues!$E$2:$E$10,MATCH(S40,Venues!$A$2:$A$10,0)),"")</f>
        <v/>
      </c>
      <c r="U40" s="15">
        <f>IFERROR(INDEX(Venues!$F$2:$F$10,MATCH(S40,Venues!$A$2:$A$10,0)),"")</f>
        <v/>
      </c>
      <c r="V40" s="43">
        <f>IFERROR(INDEX(Venues!$H$2:$H$10,MATCH(S40,Venues!$A$2:$A$10,0)),"")</f>
        <v/>
      </c>
      <c r="W40" s="15">
        <f>IF('Pilot offer'!$C$24="Yes",'Pilot offer'!$C$3,S40)</f>
        <v/>
      </c>
      <c r="X40" s="42">
        <f>IF('Pilot offer'!$C$24="Yes",'Pilot offer'!$C$5+'Pilot offer'!$C$6,T40)</f>
        <v/>
      </c>
      <c r="Y40" s="15">
        <f>IF('Pilot offer'!$C$24="Yes",'Pilot offer'!$C$8,U40)</f>
        <v/>
      </c>
      <c r="Z40" s="43">
        <f>IF('Pilot offer'!$C$24="Yes",'Pilot offer'!$C$11,"")</f>
        <v/>
      </c>
      <c r="AA40" s="15">
        <f>IF(X40="","",W40&amp;" · "&amp;TEXT(X40,"ddd d mmm, hh:mm")&amp;" · "&amp;Y40&amp;IF(Z40&lt;&gt;""," · £"&amp;TEXT(Z40,"0.00")&amp;" per player"," · price TBC (cost £"&amp;TEXT(V40,"0.00")&amp;" pp)"))</f>
        <v/>
      </c>
      <c r="AD40" s="44" t="n"/>
    </row>
    <row r="41">
      <c r="A41" s="13" t="n">
        <v>39</v>
      </c>
      <c r="B41" s="13" t="inlineStr">
        <is>
          <t>1 · E2 Haggerston</t>
        </is>
      </c>
      <c r="C41" s="13" t="inlineStr">
        <is>
          <t>Retail</t>
        </is>
      </c>
      <c r="D41" s="13" t="inlineStr">
        <is>
          <t>Local businesses</t>
        </is>
      </c>
      <c r="E41" s="13" t="inlineStr">
        <is>
          <t>Provisions</t>
        </is>
      </c>
      <c r="F41" s="13" t="inlineStr">
        <is>
          <t>shop: deli</t>
        </is>
      </c>
      <c r="G41" s="13" t="inlineStr">
        <is>
          <t>info@provisionslondon.co.uk</t>
        </is>
      </c>
      <c r="H41" s="13" t="inlineStr">
        <is>
          <t>general</t>
        </is>
      </c>
      <c r="I41" s="13" t="n"/>
      <c r="J41" s="14" t="inlineStr">
        <is>
          <t>https://provisionslondon.co.uk/</t>
        </is>
      </c>
      <c r="K41" s="13" t="inlineStr">
        <is>
          <t>Hackney Road 308, London</t>
        </is>
      </c>
      <c r="L41" s="13" t="inlineStr">
        <is>
          <t>E2 7SJ</t>
        </is>
      </c>
      <c r="M41" s="13" t="inlineStr">
        <is>
          <t>Shoreditch Rooftop</t>
        </is>
      </c>
      <c r="N41" s="13" t="n">
        <v>19</v>
      </c>
      <c r="O41" s="15">
        <f>IFERROR(INDEX(Venues!$C$2:$C$10,MATCH(M41,Venues!$A$2:$A$10,0)),"Not checked")</f>
        <v/>
      </c>
      <c r="P41" s="15">
        <f>IFERROR(INDEX(Venues!$D$2:$D$10,MATCH(M41,Venues!$A$2:$A$10,0)),0)</f>
        <v/>
      </c>
      <c r="Q41" s="42">
        <f>IFERROR(INDEX(Venues!$E$2:$E$10,MATCH(M41,Venues!$A$2:$A$10,0)),"")</f>
        <v/>
      </c>
      <c r="R41" s="15">
        <f>IF(P41&gt;0,"Yes","No")</f>
        <v/>
      </c>
      <c r="S41" s="13" t="inlineStr">
        <is>
          <t>Shoreditch Rooftop</t>
        </is>
      </c>
      <c r="T41" s="42">
        <f>IFERROR(INDEX(Venues!$E$2:$E$10,MATCH(S41,Venues!$A$2:$A$10,0)),"")</f>
        <v/>
      </c>
      <c r="U41" s="15">
        <f>IFERROR(INDEX(Venues!$F$2:$F$10,MATCH(S41,Venues!$A$2:$A$10,0)),"")</f>
        <v/>
      </c>
      <c r="V41" s="43">
        <f>IFERROR(INDEX(Venues!$H$2:$H$10,MATCH(S41,Venues!$A$2:$A$10,0)),"")</f>
        <v/>
      </c>
      <c r="W41" s="15">
        <f>IF('Pilot offer'!$C$24="Yes",'Pilot offer'!$C$3,S41)</f>
        <v/>
      </c>
      <c r="X41" s="42">
        <f>IF('Pilot offer'!$C$24="Yes",'Pilot offer'!$C$5+'Pilot offer'!$C$6,T41)</f>
        <v/>
      </c>
      <c r="Y41" s="15">
        <f>IF('Pilot offer'!$C$24="Yes",'Pilot offer'!$C$8,U41)</f>
        <v/>
      </c>
      <c r="Z41" s="43">
        <f>IF('Pilot offer'!$C$24="Yes",'Pilot offer'!$C$11,"")</f>
        <v/>
      </c>
      <c r="AA41" s="15">
        <f>IF(X41="","",W41&amp;" · "&amp;TEXT(X41,"ddd d mmm, hh:mm")&amp;" · "&amp;Y41&amp;IF(Z41&lt;&gt;""," · £"&amp;TEXT(Z41,"0.00")&amp;" per player"," · price TBC (cost £"&amp;TEXT(V41,"0.00")&amp;" pp)"))</f>
        <v/>
      </c>
      <c r="AD41" s="44" t="n"/>
    </row>
    <row r="42">
      <c r="A42" s="13" t="n">
        <v>40</v>
      </c>
      <c r="B42" s="13" t="inlineStr">
        <is>
          <t>1 · E2 Haggerston</t>
        </is>
      </c>
      <c r="C42" s="13" t="inlineStr">
        <is>
          <t>Hospitality</t>
        </is>
      </c>
      <c r="D42" s="13" t="inlineStr">
        <is>
          <t>Local businesses</t>
        </is>
      </c>
      <c r="E42" s="13" t="inlineStr">
        <is>
          <t>Mixology Events</t>
        </is>
      </c>
      <c r="F42" s="13" t="inlineStr">
        <is>
          <t>amenity: bar</t>
        </is>
      </c>
      <c r="G42" s="13" t="inlineStr">
        <is>
          <t>info@mixologyevents.co.uk</t>
        </is>
      </c>
      <c r="H42" s="13" t="inlineStr">
        <is>
          <t>general</t>
        </is>
      </c>
      <c r="I42" s="13" t="inlineStr">
        <is>
          <t>+44 333 344 7765</t>
        </is>
      </c>
      <c r="J42" s="14" t="inlineStr">
        <is>
          <t>https://mixologyevents.co.uk/classes/cocktail-making-classes-london/</t>
        </is>
      </c>
      <c r="K42" s="13" t="inlineStr">
        <is>
          <t>Kingsland Road 17B, London</t>
        </is>
      </c>
      <c r="L42" s="13" t="inlineStr">
        <is>
          <t>E2 8AA</t>
        </is>
      </c>
      <c r="M42" s="13" t="inlineStr">
        <is>
          <t>Shoreditch Rooftop</t>
        </is>
      </c>
      <c r="N42" s="13" t="n">
        <v>12</v>
      </c>
      <c r="O42" s="15">
        <f>IFERROR(INDEX(Venues!$C$2:$C$10,MATCH(M42,Venues!$A$2:$A$10,0)),"Not checked")</f>
        <v/>
      </c>
      <c r="P42" s="15">
        <f>IFERROR(INDEX(Venues!$D$2:$D$10,MATCH(M42,Venues!$A$2:$A$10,0)),0)</f>
        <v/>
      </c>
      <c r="Q42" s="42">
        <f>IFERROR(INDEX(Venues!$E$2:$E$10,MATCH(M42,Venues!$A$2:$A$10,0)),"")</f>
        <v/>
      </c>
      <c r="R42" s="15">
        <f>IF(P42&gt;0,"Yes","No")</f>
        <v/>
      </c>
      <c r="S42" s="13" t="inlineStr">
        <is>
          <t>Shoreditch Rooftop</t>
        </is>
      </c>
      <c r="T42" s="42">
        <f>IFERROR(INDEX(Venues!$E$2:$E$10,MATCH(S42,Venues!$A$2:$A$10,0)),"")</f>
        <v/>
      </c>
      <c r="U42" s="15">
        <f>IFERROR(INDEX(Venues!$F$2:$F$10,MATCH(S42,Venues!$A$2:$A$10,0)),"")</f>
        <v/>
      </c>
      <c r="V42" s="43">
        <f>IFERROR(INDEX(Venues!$H$2:$H$10,MATCH(S42,Venues!$A$2:$A$10,0)),"")</f>
        <v/>
      </c>
      <c r="W42" s="15">
        <f>IF('Pilot offer'!$C$24="Yes",'Pilot offer'!$C$3,S42)</f>
        <v/>
      </c>
      <c r="X42" s="42">
        <f>IF('Pilot offer'!$C$24="Yes",'Pilot offer'!$C$5+'Pilot offer'!$C$6,T42)</f>
        <v/>
      </c>
      <c r="Y42" s="15">
        <f>IF('Pilot offer'!$C$24="Yes",'Pilot offer'!$C$8,U42)</f>
        <v/>
      </c>
      <c r="Z42" s="43">
        <f>IF('Pilot offer'!$C$24="Yes",'Pilot offer'!$C$11,"")</f>
        <v/>
      </c>
      <c r="AA42" s="15">
        <f>IF(X42="","",W42&amp;" · "&amp;TEXT(X42,"ddd d mmm, hh:mm")&amp;" · "&amp;Y42&amp;IF(Z42&lt;&gt;""," · £"&amp;TEXT(Z42,"0.00")&amp;" per player"," · price TBC (cost £"&amp;TEXT(V42,"0.00")&amp;" pp)"))</f>
        <v/>
      </c>
      <c r="AD42" s="44" t="n"/>
    </row>
    <row r="43">
      <c r="A43" s="13" t="n">
        <v>41</v>
      </c>
      <c r="B43" s="13" t="inlineStr">
        <is>
          <t>1 · E2 Haggerston</t>
        </is>
      </c>
      <c r="C43" s="13" t="inlineStr">
        <is>
          <t>Office &amp; professional</t>
        </is>
      </c>
      <c r="D43" s="13" t="inlineStr">
        <is>
          <t>Corporate</t>
        </is>
      </c>
      <c r="E43" s="13" t="inlineStr">
        <is>
          <t>Shoreditch Platform</t>
        </is>
      </c>
      <c r="F43" s="13" t="inlineStr">
        <is>
          <t>rentable</t>
        </is>
      </c>
      <c r="G43" s="13" t="inlineStr">
        <is>
          <t>info@shoreditchplatform.com</t>
        </is>
      </c>
      <c r="H43" s="13" t="inlineStr">
        <is>
          <t>openstreetmap_tag</t>
        </is>
      </c>
      <c r="I43" s="13" t="inlineStr">
        <is>
          <t>+44 20 3319 9640</t>
        </is>
      </c>
      <c r="J43" s="13" t="n"/>
      <c r="K43" s="13" t="inlineStr">
        <is>
          <t>1 Kingsland Road, London</t>
        </is>
      </c>
      <c r="L43" s="13" t="inlineStr">
        <is>
          <t>E2 8AA</t>
        </is>
      </c>
      <c r="M43" s="13" t="inlineStr">
        <is>
          <t>Shoreditch Rooftop</t>
        </is>
      </c>
      <c r="N43" s="13" t="n">
        <v>14</v>
      </c>
      <c r="O43" s="15">
        <f>IFERROR(INDEX(Venues!$C$2:$C$10,MATCH(M43,Venues!$A$2:$A$10,0)),"Not checked")</f>
        <v/>
      </c>
      <c r="P43" s="15">
        <f>IFERROR(INDEX(Venues!$D$2:$D$10,MATCH(M43,Venues!$A$2:$A$10,0)),0)</f>
        <v/>
      </c>
      <c r="Q43" s="42">
        <f>IFERROR(INDEX(Venues!$E$2:$E$10,MATCH(M43,Venues!$A$2:$A$10,0)),"")</f>
        <v/>
      </c>
      <c r="R43" s="15">
        <f>IF(P43&gt;0,"Yes","No")</f>
        <v/>
      </c>
      <c r="S43" s="13" t="inlineStr">
        <is>
          <t>Shoreditch Rooftop</t>
        </is>
      </c>
      <c r="T43" s="42">
        <f>IFERROR(INDEX(Venues!$E$2:$E$10,MATCH(S43,Venues!$A$2:$A$10,0)),"")</f>
        <v/>
      </c>
      <c r="U43" s="15">
        <f>IFERROR(INDEX(Venues!$F$2:$F$10,MATCH(S43,Venues!$A$2:$A$10,0)),"")</f>
        <v/>
      </c>
      <c r="V43" s="43">
        <f>IFERROR(INDEX(Venues!$H$2:$H$10,MATCH(S43,Venues!$A$2:$A$10,0)),"")</f>
        <v/>
      </c>
      <c r="W43" s="15">
        <f>IF('Pilot offer'!$C$24="Yes",'Pilot offer'!$C$3,S43)</f>
        <v/>
      </c>
      <c r="X43" s="42">
        <f>IF('Pilot offer'!$C$24="Yes",'Pilot offer'!$C$5+'Pilot offer'!$C$6,T43)</f>
        <v/>
      </c>
      <c r="Y43" s="15">
        <f>IF('Pilot offer'!$C$24="Yes",'Pilot offer'!$C$8,U43)</f>
        <v/>
      </c>
      <c r="Z43" s="43">
        <f>IF('Pilot offer'!$C$24="Yes",'Pilot offer'!$C$11,"")</f>
        <v/>
      </c>
      <c r="AA43" s="15">
        <f>IF(X43="","",W43&amp;" · "&amp;TEXT(X43,"ddd d mmm, hh:mm")&amp;" · "&amp;Y43&amp;IF(Z43&lt;&gt;""," · £"&amp;TEXT(Z43,"0.00")&amp;" per player"," · price TBC (cost £"&amp;TEXT(V43,"0.00")&amp;" pp)"))</f>
        <v/>
      </c>
      <c r="AD43" s="44" t="n"/>
    </row>
    <row r="44">
      <c r="A44" s="13" t="n">
        <v>42</v>
      </c>
      <c r="B44" s="13" t="inlineStr">
        <is>
          <t>1 · E2 Haggerston</t>
        </is>
      </c>
      <c r="C44" s="13" t="inlineStr">
        <is>
          <t>Hospitality</t>
        </is>
      </c>
      <c r="D44" s="13" t="inlineStr">
        <is>
          <t>Local businesses</t>
        </is>
      </c>
      <c r="E44" s="13" t="inlineStr">
        <is>
          <t>Gramndegrees</t>
        </is>
      </c>
      <c r="F44" s="13" t="inlineStr">
        <is>
          <t>amenity: cafe</t>
        </is>
      </c>
      <c r="G44" s="13" t="inlineStr">
        <is>
          <t>hello@gramndegrees.co.uk</t>
        </is>
      </c>
      <c r="H44" s="13" t="inlineStr">
        <is>
          <t>general</t>
        </is>
      </c>
      <c r="I44" s="13" t="n"/>
      <c r="J44" s="14" t="inlineStr">
        <is>
          <t>https://www.gramndegrees.co.uk/</t>
        </is>
      </c>
      <c r="K44" s="13" t="inlineStr">
        <is>
          <t>Kingsland Road 93, London</t>
        </is>
      </c>
      <c r="L44" s="13" t="inlineStr">
        <is>
          <t>E2 8AG</t>
        </is>
      </c>
      <c r="M44" s="13" t="inlineStr">
        <is>
          <t>Shoreditch Rooftop</t>
        </is>
      </c>
      <c r="N44" s="13" t="n">
        <v>10</v>
      </c>
      <c r="O44" s="15">
        <f>IFERROR(INDEX(Venues!$C$2:$C$10,MATCH(M44,Venues!$A$2:$A$10,0)),"Not checked")</f>
        <v/>
      </c>
      <c r="P44" s="15">
        <f>IFERROR(INDEX(Venues!$D$2:$D$10,MATCH(M44,Venues!$A$2:$A$10,0)),0)</f>
        <v/>
      </c>
      <c r="Q44" s="42">
        <f>IFERROR(INDEX(Venues!$E$2:$E$10,MATCH(M44,Venues!$A$2:$A$10,0)),"")</f>
        <v/>
      </c>
      <c r="R44" s="15">
        <f>IF(P44&gt;0,"Yes","No")</f>
        <v/>
      </c>
      <c r="S44" s="13" t="inlineStr">
        <is>
          <t>Shoreditch Rooftop</t>
        </is>
      </c>
      <c r="T44" s="42">
        <f>IFERROR(INDEX(Venues!$E$2:$E$10,MATCH(S44,Venues!$A$2:$A$10,0)),"")</f>
        <v/>
      </c>
      <c r="U44" s="15">
        <f>IFERROR(INDEX(Venues!$F$2:$F$10,MATCH(S44,Venues!$A$2:$A$10,0)),"")</f>
        <v/>
      </c>
      <c r="V44" s="43">
        <f>IFERROR(INDEX(Venues!$H$2:$H$10,MATCH(S44,Venues!$A$2:$A$10,0)),"")</f>
        <v/>
      </c>
      <c r="W44" s="15">
        <f>IF('Pilot offer'!$C$24="Yes",'Pilot offer'!$C$3,S44)</f>
        <v/>
      </c>
      <c r="X44" s="42">
        <f>IF('Pilot offer'!$C$24="Yes",'Pilot offer'!$C$5+'Pilot offer'!$C$6,T44)</f>
        <v/>
      </c>
      <c r="Y44" s="15">
        <f>IF('Pilot offer'!$C$24="Yes",'Pilot offer'!$C$8,U44)</f>
        <v/>
      </c>
      <c r="Z44" s="43">
        <f>IF('Pilot offer'!$C$24="Yes",'Pilot offer'!$C$11,"")</f>
        <v/>
      </c>
      <c r="AA44" s="15">
        <f>IF(X44="","",W44&amp;" · "&amp;TEXT(X44,"ddd d mmm, hh:mm")&amp;" · "&amp;Y44&amp;IF(Z44&lt;&gt;""," · £"&amp;TEXT(Z44,"0.00")&amp;" per player"," · price TBC (cost £"&amp;TEXT(V44,"0.00")&amp;" pp)"))</f>
        <v/>
      </c>
      <c r="AD44" s="44" t="n"/>
    </row>
    <row r="45">
      <c r="A45" s="13" t="n">
        <v>43</v>
      </c>
      <c r="B45" s="13" t="inlineStr">
        <is>
          <t>1 · E2 Haggerston</t>
        </is>
      </c>
      <c r="C45" s="13" t="inlineStr">
        <is>
          <t>Retail</t>
        </is>
      </c>
      <c r="D45" s="13" t="inlineStr">
        <is>
          <t>Local businesses</t>
        </is>
      </c>
      <c r="E45" s="13" t="inlineStr">
        <is>
          <t>Longdan</t>
        </is>
      </c>
      <c r="F45" s="13" t="inlineStr">
        <is>
          <t>shop: supermarket</t>
        </is>
      </c>
      <c r="G45" s="13" t="inlineStr">
        <is>
          <t>longdan@longdan.co.uk</t>
        </is>
      </c>
      <c r="H45" s="13" t="inlineStr">
        <is>
          <t>person_or_other</t>
        </is>
      </c>
      <c r="I45" s="13" t="inlineStr">
        <is>
          <t>+44 20 7739 3968</t>
        </is>
      </c>
      <c r="J45" s="14" t="inlineStr">
        <is>
          <t>https://longdan.co.uk/</t>
        </is>
      </c>
      <c r="K45" s="13" t="inlineStr">
        <is>
          <t>Kingsland Road 57-59, London</t>
        </is>
      </c>
      <c r="L45" s="13" t="inlineStr">
        <is>
          <t>E2 8AG</t>
        </is>
      </c>
      <c r="M45" s="13" t="inlineStr">
        <is>
          <t>Shoreditch Rooftop</t>
        </is>
      </c>
      <c r="N45" s="13" t="n">
        <v>11</v>
      </c>
      <c r="O45" s="15">
        <f>IFERROR(INDEX(Venues!$C$2:$C$10,MATCH(M45,Venues!$A$2:$A$10,0)),"Not checked")</f>
        <v/>
      </c>
      <c r="P45" s="15">
        <f>IFERROR(INDEX(Venues!$D$2:$D$10,MATCH(M45,Venues!$A$2:$A$10,0)),0)</f>
        <v/>
      </c>
      <c r="Q45" s="42">
        <f>IFERROR(INDEX(Venues!$E$2:$E$10,MATCH(M45,Venues!$A$2:$A$10,0)),"")</f>
        <v/>
      </c>
      <c r="R45" s="15">
        <f>IF(P45&gt;0,"Yes","No")</f>
        <v/>
      </c>
      <c r="S45" s="13" t="inlineStr">
        <is>
          <t>Shoreditch Rooftop</t>
        </is>
      </c>
      <c r="T45" s="42">
        <f>IFERROR(INDEX(Venues!$E$2:$E$10,MATCH(S45,Venues!$A$2:$A$10,0)),"")</f>
        <v/>
      </c>
      <c r="U45" s="15">
        <f>IFERROR(INDEX(Venues!$F$2:$F$10,MATCH(S45,Venues!$A$2:$A$10,0)),"")</f>
        <v/>
      </c>
      <c r="V45" s="43">
        <f>IFERROR(INDEX(Venues!$H$2:$H$10,MATCH(S45,Venues!$A$2:$A$10,0)),"")</f>
        <v/>
      </c>
      <c r="W45" s="15">
        <f>IF('Pilot offer'!$C$24="Yes",'Pilot offer'!$C$3,S45)</f>
        <v/>
      </c>
      <c r="X45" s="42">
        <f>IF('Pilot offer'!$C$24="Yes",'Pilot offer'!$C$5+'Pilot offer'!$C$6,T45)</f>
        <v/>
      </c>
      <c r="Y45" s="15">
        <f>IF('Pilot offer'!$C$24="Yes",'Pilot offer'!$C$8,U45)</f>
        <v/>
      </c>
      <c r="Z45" s="43">
        <f>IF('Pilot offer'!$C$24="Yes",'Pilot offer'!$C$11,"")</f>
        <v/>
      </c>
      <c r="AA45" s="15">
        <f>IF(X45="","",W45&amp;" · "&amp;TEXT(X45,"ddd d mmm, hh:mm")&amp;" · "&amp;Y45&amp;IF(Z45&lt;&gt;""," · £"&amp;TEXT(Z45,"0.00")&amp;" per player"," · price TBC (cost £"&amp;TEXT(V45,"0.00")&amp;" pp)"))</f>
        <v/>
      </c>
      <c r="AD45" s="44" t="n"/>
    </row>
    <row r="46">
      <c r="A46" s="13" t="n">
        <v>44</v>
      </c>
      <c r="B46" s="13" t="inlineStr">
        <is>
          <t>1 · E2 Haggerston</t>
        </is>
      </c>
      <c r="C46" s="13" t="inlineStr">
        <is>
          <t>Coworking / shared office</t>
        </is>
      </c>
      <c r="D46" s="13" t="inlineStr">
        <is>
          <t>Corporate</t>
        </is>
      </c>
      <c r="E46" s="13" t="inlineStr">
        <is>
          <t>UMA Workspace</t>
        </is>
      </c>
      <c r="F46" s="13" t="inlineStr">
        <is>
          <t>coworking_space</t>
        </is>
      </c>
      <c r="G46" s="13" t="inlineStr">
        <is>
          <t>info@umaworkspace.co.uk</t>
        </is>
      </c>
      <c r="H46" s="13" t="inlineStr">
        <is>
          <t>general</t>
        </is>
      </c>
      <c r="I46" s="13" t="n"/>
      <c r="J46" s="14" t="inlineStr">
        <is>
          <t>http://www.umaworkspace.co.uk/</t>
        </is>
      </c>
      <c r="K46" s="13" t="inlineStr">
        <is>
          <t>Unit 1, 83-85 Kingsland Rd, London E2 8AG, UK</t>
        </is>
      </c>
      <c r="L46" s="13" t="inlineStr">
        <is>
          <t>E2 8AG</t>
        </is>
      </c>
      <c r="M46" s="13" t="inlineStr">
        <is>
          <t>Shoreditch Rooftop</t>
        </is>
      </c>
      <c r="N46" s="13" t="n">
        <v>11</v>
      </c>
      <c r="O46" s="15">
        <f>IFERROR(INDEX(Venues!$C$2:$C$10,MATCH(M46,Venues!$A$2:$A$10,0)),"Not checked")</f>
        <v/>
      </c>
      <c r="P46" s="15">
        <f>IFERROR(INDEX(Venues!$D$2:$D$10,MATCH(M46,Venues!$A$2:$A$10,0)),0)</f>
        <v/>
      </c>
      <c r="Q46" s="42">
        <f>IFERROR(INDEX(Venues!$E$2:$E$10,MATCH(M46,Venues!$A$2:$A$10,0)),"")</f>
        <v/>
      </c>
      <c r="R46" s="15">
        <f>IF(P46&gt;0,"Yes","No")</f>
        <v/>
      </c>
      <c r="S46" s="13" t="inlineStr">
        <is>
          <t>Shoreditch Rooftop</t>
        </is>
      </c>
      <c r="T46" s="42">
        <f>IFERROR(INDEX(Venues!$E$2:$E$10,MATCH(S46,Venues!$A$2:$A$10,0)),"")</f>
        <v/>
      </c>
      <c r="U46" s="15">
        <f>IFERROR(INDEX(Venues!$F$2:$F$10,MATCH(S46,Venues!$A$2:$A$10,0)),"")</f>
        <v/>
      </c>
      <c r="V46" s="43">
        <f>IFERROR(INDEX(Venues!$H$2:$H$10,MATCH(S46,Venues!$A$2:$A$10,0)),"")</f>
        <v/>
      </c>
      <c r="W46" s="15">
        <f>IF('Pilot offer'!$C$24="Yes",'Pilot offer'!$C$3,S46)</f>
        <v/>
      </c>
      <c r="X46" s="42">
        <f>IF('Pilot offer'!$C$24="Yes",'Pilot offer'!$C$5+'Pilot offer'!$C$6,T46)</f>
        <v/>
      </c>
      <c r="Y46" s="15">
        <f>IF('Pilot offer'!$C$24="Yes",'Pilot offer'!$C$8,U46)</f>
        <v/>
      </c>
      <c r="Z46" s="43">
        <f>IF('Pilot offer'!$C$24="Yes",'Pilot offer'!$C$11,"")</f>
        <v/>
      </c>
      <c r="AA46" s="15">
        <f>IF(X46="","",W46&amp;" · "&amp;TEXT(X46,"ddd d mmm, hh:mm")&amp;" · "&amp;Y46&amp;IF(Z46&lt;&gt;""," · £"&amp;TEXT(Z46,"0.00")&amp;" per player"," · price TBC (cost £"&amp;TEXT(V46,"0.00")&amp;" pp)"))</f>
        <v/>
      </c>
      <c r="AD46" s="44" t="n"/>
    </row>
    <row r="47">
      <c r="A47" s="13" t="n">
        <v>45</v>
      </c>
      <c r="B47" s="13" t="inlineStr">
        <is>
          <t>1 · E2 Haggerston</t>
        </is>
      </c>
      <c r="C47" s="13" t="inlineStr">
        <is>
          <t>Retail</t>
        </is>
      </c>
      <c r="D47" s="13" t="inlineStr">
        <is>
          <t>Local businesses</t>
        </is>
      </c>
      <c r="E47" s="13" t="inlineStr">
        <is>
          <t>The Steam Room</t>
        </is>
      </c>
      <c r="F47" s="13" t="inlineStr">
        <is>
          <t>shop: dry cleaning</t>
        </is>
      </c>
      <c r="G47" s="13" t="inlineStr">
        <is>
          <t>hello@thesteamroom.cleaning</t>
        </is>
      </c>
      <c r="H47" s="13" t="inlineStr">
        <is>
          <t>general</t>
        </is>
      </c>
      <c r="I47" s="13" t="n"/>
      <c r="J47" s="14" t="inlineStr">
        <is>
          <t>https://www.thesteamroom.cleaning/our-story</t>
        </is>
      </c>
      <c r="K47" s="13" t="inlineStr">
        <is>
          <t>Kingsland Road 230, London</t>
        </is>
      </c>
      <c r="L47" s="13" t="inlineStr">
        <is>
          <t>E2 8AX</t>
        </is>
      </c>
      <c r="M47" s="13" t="inlineStr">
        <is>
          <t>COLA Shoreditch Park</t>
        </is>
      </c>
      <c r="N47" s="13" t="n">
        <v>8</v>
      </c>
      <c r="O47" s="15">
        <f>IFERROR(INDEX(Venues!$C$2:$C$10,MATCH(M47,Venues!$A$2:$A$10,0)),"Not checked")</f>
        <v/>
      </c>
      <c r="P47" s="15">
        <f>IFERROR(INDEX(Venues!$D$2:$D$10,MATCH(M47,Venues!$A$2:$A$10,0)),0)</f>
        <v/>
      </c>
      <c r="Q47" s="42">
        <f>IFERROR(INDEX(Venues!$E$2:$E$10,MATCH(M47,Venues!$A$2:$A$10,0)),"")</f>
        <v/>
      </c>
      <c r="R47" s="15">
        <f>IF(P47&gt;0,"Yes","No")</f>
        <v/>
      </c>
      <c r="S47" s="13" t="inlineStr">
        <is>
          <t>COLA Shoreditch Park</t>
        </is>
      </c>
      <c r="T47" s="42">
        <f>IFERROR(INDEX(Venues!$E$2:$E$10,MATCH(S47,Venues!$A$2:$A$10,0)),"")</f>
        <v/>
      </c>
      <c r="U47" s="15">
        <f>IFERROR(INDEX(Venues!$F$2:$F$10,MATCH(S47,Venues!$A$2:$A$10,0)),"")</f>
        <v/>
      </c>
      <c r="V47" s="43">
        <f>IFERROR(INDEX(Venues!$H$2:$H$10,MATCH(S47,Venues!$A$2:$A$10,0)),"")</f>
        <v/>
      </c>
      <c r="W47" s="15">
        <f>IF('Pilot offer'!$C$24="Yes",'Pilot offer'!$C$3,S47)</f>
        <v/>
      </c>
      <c r="X47" s="42">
        <f>IF('Pilot offer'!$C$24="Yes",'Pilot offer'!$C$5+'Pilot offer'!$C$6,T47)</f>
        <v/>
      </c>
      <c r="Y47" s="15">
        <f>IF('Pilot offer'!$C$24="Yes",'Pilot offer'!$C$8,U47)</f>
        <v/>
      </c>
      <c r="Z47" s="43">
        <f>IF('Pilot offer'!$C$24="Yes",'Pilot offer'!$C$11,"")</f>
        <v/>
      </c>
      <c r="AA47" s="15">
        <f>IF(X47="","",W47&amp;" · "&amp;TEXT(X47,"ddd d mmm, hh:mm")&amp;" · "&amp;Y47&amp;IF(Z47&lt;&gt;""," · £"&amp;TEXT(Z47,"0.00")&amp;" per player"," · price TBC (cost £"&amp;TEXT(V47,"0.00")&amp;" pp)"))</f>
        <v/>
      </c>
      <c r="AD47" s="44" t="n"/>
    </row>
    <row r="48">
      <c r="A48" s="13" t="n">
        <v>46</v>
      </c>
      <c r="B48" s="13" t="inlineStr">
        <is>
          <t>1 · E2 Haggerston</t>
        </is>
      </c>
      <c r="C48" s="13" t="inlineStr">
        <is>
          <t>Education</t>
        </is>
      </c>
      <c r="D48" s="13" t="inlineStr">
        <is>
          <t>Local businesses</t>
        </is>
      </c>
      <c r="E48" s="13" t="inlineStr">
        <is>
          <t>The Bridge Academy</t>
        </is>
      </c>
      <c r="F48" s="13" t="inlineStr">
        <is>
          <t>amenity: school</t>
        </is>
      </c>
      <c r="G48" s="13" t="inlineStr">
        <is>
          <t>wgourley@tbah.uk</t>
        </is>
      </c>
      <c r="H48" s="13" t="inlineStr">
        <is>
          <t>person_or_other</t>
        </is>
      </c>
      <c r="I48" s="13" t="inlineStr">
        <is>
          <t>+44 20 7749 5240</t>
        </is>
      </c>
      <c r="J48" s="14" t="inlineStr">
        <is>
          <t>https://www.tbah.uk/</t>
        </is>
      </c>
      <c r="K48" s="13" t="inlineStr">
        <is>
          <t>Laburnum Street, London</t>
        </is>
      </c>
      <c r="L48" s="13" t="inlineStr">
        <is>
          <t>E2 8BA</t>
        </is>
      </c>
      <c r="M48" s="13" t="inlineStr">
        <is>
          <t>COLA Shoreditch Park</t>
        </is>
      </c>
      <c r="N48" s="13" t="n">
        <v>12</v>
      </c>
      <c r="O48" s="15">
        <f>IFERROR(INDEX(Venues!$C$2:$C$10,MATCH(M48,Venues!$A$2:$A$10,0)),"Not checked")</f>
        <v/>
      </c>
      <c r="P48" s="15">
        <f>IFERROR(INDEX(Venues!$D$2:$D$10,MATCH(M48,Venues!$A$2:$A$10,0)),0)</f>
        <v/>
      </c>
      <c r="Q48" s="42">
        <f>IFERROR(INDEX(Venues!$E$2:$E$10,MATCH(M48,Venues!$A$2:$A$10,0)),"")</f>
        <v/>
      </c>
      <c r="R48" s="15">
        <f>IF(P48&gt;0,"Yes","No")</f>
        <v/>
      </c>
      <c r="S48" s="13" t="inlineStr">
        <is>
          <t>COLA Shoreditch Park</t>
        </is>
      </c>
      <c r="T48" s="42">
        <f>IFERROR(INDEX(Venues!$E$2:$E$10,MATCH(S48,Venues!$A$2:$A$10,0)),"")</f>
        <v/>
      </c>
      <c r="U48" s="15">
        <f>IFERROR(INDEX(Venues!$F$2:$F$10,MATCH(S48,Venues!$A$2:$A$10,0)),"")</f>
        <v/>
      </c>
      <c r="V48" s="43">
        <f>IFERROR(INDEX(Venues!$H$2:$H$10,MATCH(S48,Venues!$A$2:$A$10,0)),"")</f>
        <v/>
      </c>
      <c r="W48" s="15">
        <f>IF('Pilot offer'!$C$24="Yes",'Pilot offer'!$C$3,S48)</f>
        <v/>
      </c>
      <c r="X48" s="42">
        <f>IF('Pilot offer'!$C$24="Yes",'Pilot offer'!$C$5+'Pilot offer'!$C$6,T48)</f>
        <v/>
      </c>
      <c r="Y48" s="15">
        <f>IF('Pilot offer'!$C$24="Yes",'Pilot offer'!$C$8,U48)</f>
        <v/>
      </c>
      <c r="Z48" s="43">
        <f>IF('Pilot offer'!$C$24="Yes",'Pilot offer'!$C$11,"")</f>
        <v/>
      </c>
      <c r="AA48" s="15">
        <f>IF(X48="","",W48&amp;" · "&amp;TEXT(X48,"ddd d mmm, hh:mm")&amp;" · "&amp;Y48&amp;IF(Z48&lt;&gt;""," · £"&amp;TEXT(Z48,"0.00")&amp;" per player"," · price TBC (cost £"&amp;TEXT(V48,"0.00")&amp;" pp)"))</f>
        <v/>
      </c>
      <c r="AD48" s="44" t="n"/>
    </row>
    <row r="49">
      <c r="A49" s="13" t="n">
        <v>47</v>
      </c>
      <c r="B49" s="13" t="inlineStr">
        <is>
          <t>1 · E2 Haggerston</t>
        </is>
      </c>
      <c r="C49" s="13" t="inlineStr">
        <is>
          <t>Leisure &amp; culture</t>
        </is>
      </c>
      <c r="D49" s="13" t="inlineStr">
        <is>
          <t>Local businesses</t>
        </is>
      </c>
      <c r="E49" s="13" t="inlineStr">
        <is>
          <t>Laburnum Boat Club</t>
        </is>
      </c>
      <c r="F49" s="13" t="inlineStr">
        <is>
          <t>club: sport</t>
        </is>
      </c>
      <c r="G49" s="13" t="inlineStr">
        <is>
          <t>info@laburnumboatclub.com</t>
        </is>
      </c>
      <c r="H49" s="13" t="inlineStr">
        <is>
          <t>openstreetmap_tag</t>
        </is>
      </c>
      <c r="I49" s="13" t="inlineStr">
        <is>
          <t>+44 20 7729 2915</t>
        </is>
      </c>
      <c r="J49" s="14" t="inlineStr">
        <is>
          <t>https://www.laburnumboatclub.com/</t>
        </is>
      </c>
      <c r="K49" s="13" t="inlineStr">
        <is>
          <t>Laburnum Street, London</t>
        </is>
      </c>
      <c r="L49" s="13" t="inlineStr">
        <is>
          <t>E2 8BH</t>
        </is>
      </c>
      <c r="M49" s="13" t="inlineStr">
        <is>
          <t>COLA Shoreditch Park</t>
        </is>
      </c>
      <c r="N49" s="13" t="n">
        <v>11</v>
      </c>
      <c r="O49" s="15">
        <f>IFERROR(INDEX(Venues!$C$2:$C$10,MATCH(M49,Venues!$A$2:$A$10,0)),"Not checked")</f>
        <v/>
      </c>
      <c r="P49" s="15">
        <f>IFERROR(INDEX(Venues!$D$2:$D$10,MATCH(M49,Venues!$A$2:$A$10,0)),0)</f>
        <v/>
      </c>
      <c r="Q49" s="42">
        <f>IFERROR(INDEX(Venues!$E$2:$E$10,MATCH(M49,Venues!$A$2:$A$10,0)),"")</f>
        <v/>
      </c>
      <c r="R49" s="15">
        <f>IF(P49&gt;0,"Yes","No")</f>
        <v/>
      </c>
      <c r="S49" s="13" t="inlineStr">
        <is>
          <t>COLA Shoreditch Park</t>
        </is>
      </c>
      <c r="T49" s="42">
        <f>IFERROR(INDEX(Venues!$E$2:$E$10,MATCH(S49,Venues!$A$2:$A$10,0)),"")</f>
        <v/>
      </c>
      <c r="U49" s="15">
        <f>IFERROR(INDEX(Venues!$F$2:$F$10,MATCH(S49,Venues!$A$2:$A$10,0)),"")</f>
        <v/>
      </c>
      <c r="V49" s="43">
        <f>IFERROR(INDEX(Venues!$H$2:$H$10,MATCH(S49,Venues!$A$2:$A$10,0)),"")</f>
        <v/>
      </c>
      <c r="W49" s="15">
        <f>IF('Pilot offer'!$C$24="Yes",'Pilot offer'!$C$3,S49)</f>
        <v/>
      </c>
      <c r="X49" s="42">
        <f>IF('Pilot offer'!$C$24="Yes",'Pilot offer'!$C$5+'Pilot offer'!$C$6,T49)</f>
        <v/>
      </c>
      <c r="Y49" s="15">
        <f>IF('Pilot offer'!$C$24="Yes",'Pilot offer'!$C$8,U49)</f>
        <v/>
      </c>
      <c r="Z49" s="43">
        <f>IF('Pilot offer'!$C$24="Yes",'Pilot offer'!$C$11,"")</f>
        <v/>
      </c>
      <c r="AA49" s="15">
        <f>IF(X49="","",W49&amp;" · "&amp;TEXT(X49,"ddd d mmm, hh:mm")&amp;" · "&amp;Y49&amp;IF(Z49&lt;&gt;""," · £"&amp;TEXT(Z49,"0.00")&amp;" per player"," · price TBC (cost £"&amp;TEXT(V49,"0.00")&amp;" pp)"))</f>
        <v/>
      </c>
      <c r="AD49" s="44" t="n"/>
    </row>
    <row r="50">
      <c r="A50" s="13" t="n">
        <v>48</v>
      </c>
      <c r="B50" s="13" t="inlineStr">
        <is>
          <t>1 · E2 Haggerston</t>
        </is>
      </c>
      <c r="C50" s="13" t="inlineStr">
        <is>
          <t>Hospitality</t>
        </is>
      </c>
      <c r="D50" s="13" t="inlineStr">
        <is>
          <t>Local businesses</t>
        </is>
      </c>
      <c r="E50" s="13" t="inlineStr">
        <is>
          <t>East West Pizza</t>
        </is>
      </c>
      <c r="F50" s="13" t="inlineStr">
        <is>
          <t>amenity: restaurant</t>
        </is>
      </c>
      <c r="G50" s="13" t="inlineStr">
        <is>
          <t>hello@eastwestlondon.com</t>
        </is>
      </c>
      <c r="H50" s="13" t="inlineStr">
        <is>
          <t>general</t>
        </is>
      </c>
      <c r="I50" s="13" t="inlineStr">
        <is>
          <t>+44 20 7916 6698</t>
        </is>
      </c>
      <c r="J50" s="14" t="inlineStr">
        <is>
          <t>https://www.eastwestlondon.com</t>
        </is>
      </c>
      <c r="K50" s="13" t="inlineStr">
        <is>
          <t>Kingsland Road 42-44, London</t>
        </is>
      </c>
      <c r="L50" s="13" t="inlineStr">
        <is>
          <t>E2 8DA</t>
        </is>
      </c>
      <c r="M50" s="13" t="inlineStr">
        <is>
          <t>Shoreditch Rooftop</t>
        </is>
      </c>
      <c r="N50" s="13" t="n">
        <v>13</v>
      </c>
      <c r="O50" s="15">
        <f>IFERROR(INDEX(Venues!$C$2:$C$10,MATCH(M50,Venues!$A$2:$A$10,0)),"Not checked")</f>
        <v/>
      </c>
      <c r="P50" s="15">
        <f>IFERROR(INDEX(Venues!$D$2:$D$10,MATCH(M50,Venues!$A$2:$A$10,0)),0)</f>
        <v/>
      </c>
      <c r="Q50" s="42">
        <f>IFERROR(INDEX(Venues!$E$2:$E$10,MATCH(M50,Venues!$A$2:$A$10,0)),"")</f>
        <v/>
      </c>
      <c r="R50" s="15">
        <f>IF(P50&gt;0,"Yes","No")</f>
        <v/>
      </c>
      <c r="S50" s="13" t="inlineStr">
        <is>
          <t>Shoreditch Rooftop</t>
        </is>
      </c>
      <c r="T50" s="42">
        <f>IFERROR(INDEX(Venues!$E$2:$E$10,MATCH(S50,Venues!$A$2:$A$10,0)),"")</f>
        <v/>
      </c>
      <c r="U50" s="15">
        <f>IFERROR(INDEX(Venues!$F$2:$F$10,MATCH(S50,Venues!$A$2:$A$10,0)),"")</f>
        <v/>
      </c>
      <c r="V50" s="43">
        <f>IFERROR(INDEX(Venues!$H$2:$H$10,MATCH(S50,Venues!$A$2:$A$10,0)),"")</f>
        <v/>
      </c>
      <c r="W50" s="15">
        <f>IF('Pilot offer'!$C$24="Yes",'Pilot offer'!$C$3,S50)</f>
        <v/>
      </c>
      <c r="X50" s="42">
        <f>IF('Pilot offer'!$C$24="Yes",'Pilot offer'!$C$5+'Pilot offer'!$C$6,T50)</f>
        <v/>
      </c>
      <c r="Y50" s="15">
        <f>IF('Pilot offer'!$C$24="Yes",'Pilot offer'!$C$8,U50)</f>
        <v/>
      </c>
      <c r="Z50" s="43">
        <f>IF('Pilot offer'!$C$24="Yes",'Pilot offer'!$C$11,"")</f>
        <v/>
      </c>
      <c r="AA50" s="15">
        <f>IF(X50="","",W50&amp;" · "&amp;TEXT(X50,"ddd d mmm, hh:mm")&amp;" · "&amp;Y50&amp;IF(Z50&lt;&gt;""," · £"&amp;TEXT(Z50,"0.00")&amp;" per player"," · price TBC (cost £"&amp;TEXT(V50,"0.00")&amp;" pp)"))</f>
        <v/>
      </c>
      <c r="AD50" s="44" t="n"/>
    </row>
    <row r="51">
      <c r="A51" s="13" t="n">
        <v>49</v>
      </c>
      <c r="B51" s="13" t="inlineStr">
        <is>
          <t>1 · E2 Haggerston</t>
        </is>
      </c>
      <c r="C51" s="13" t="inlineStr">
        <is>
          <t>Hospitality</t>
        </is>
      </c>
      <c r="D51" s="13" t="inlineStr">
        <is>
          <t>Local businesses</t>
        </is>
      </c>
      <c r="E51" s="13" t="inlineStr">
        <is>
          <t>Gyros Lab</t>
        </is>
      </c>
      <c r="F51" s="13" t="inlineStr">
        <is>
          <t>amenity: fast food</t>
        </is>
      </c>
      <c r="G51" s="13" t="inlineStr">
        <is>
          <t>info@gyroslab.com</t>
        </is>
      </c>
      <c r="H51" s="13" t="inlineStr">
        <is>
          <t>general</t>
        </is>
      </c>
      <c r="I51" s="13" t="inlineStr">
        <is>
          <t>+44 20 3337 5856</t>
        </is>
      </c>
      <c r="J51" s="14" t="inlineStr">
        <is>
          <t>https://www.gyroslab.com/</t>
        </is>
      </c>
      <c r="K51" s="13" t="inlineStr">
        <is>
          <t>Kingsland Road 2, London</t>
        </is>
      </c>
      <c r="L51" s="13" t="inlineStr">
        <is>
          <t>E2 8DA</t>
        </is>
      </c>
      <c r="M51" s="13" t="inlineStr">
        <is>
          <t>Shoreditch Rooftop</t>
        </is>
      </c>
      <c r="N51" s="13" t="n">
        <v>15</v>
      </c>
      <c r="O51" s="15">
        <f>IFERROR(INDEX(Venues!$C$2:$C$10,MATCH(M51,Venues!$A$2:$A$10,0)),"Not checked")</f>
        <v/>
      </c>
      <c r="P51" s="15">
        <f>IFERROR(INDEX(Venues!$D$2:$D$10,MATCH(M51,Venues!$A$2:$A$10,0)),0)</f>
        <v/>
      </c>
      <c r="Q51" s="42">
        <f>IFERROR(INDEX(Venues!$E$2:$E$10,MATCH(M51,Venues!$A$2:$A$10,0)),"")</f>
        <v/>
      </c>
      <c r="R51" s="15">
        <f>IF(P51&gt;0,"Yes","No")</f>
        <v/>
      </c>
      <c r="S51" s="13" t="inlineStr">
        <is>
          <t>Shoreditch Rooftop</t>
        </is>
      </c>
      <c r="T51" s="42">
        <f>IFERROR(INDEX(Venues!$E$2:$E$10,MATCH(S51,Venues!$A$2:$A$10,0)),"")</f>
        <v/>
      </c>
      <c r="U51" s="15">
        <f>IFERROR(INDEX(Venues!$F$2:$F$10,MATCH(S51,Venues!$A$2:$A$10,0)),"")</f>
        <v/>
      </c>
      <c r="V51" s="43">
        <f>IFERROR(INDEX(Venues!$H$2:$H$10,MATCH(S51,Venues!$A$2:$A$10,0)),"")</f>
        <v/>
      </c>
      <c r="W51" s="15">
        <f>IF('Pilot offer'!$C$24="Yes",'Pilot offer'!$C$3,S51)</f>
        <v/>
      </c>
      <c r="X51" s="42">
        <f>IF('Pilot offer'!$C$24="Yes",'Pilot offer'!$C$5+'Pilot offer'!$C$6,T51)</f>
        <v/>
      </c>
      <c r="Y51" s="15">
        <f>IF('Pilot offer'!$C$24="Yes",'Pilot offer'!$C$8,U51)</f>
        <v/>
      </c>
      <c r="Z51" s="43">
        <f>IF('Pilot offer'!$C$24="Yes",'Pilot offer'!$C$11,"")</f>
        <v/>
      </c>
      <c r="AA51" s="15">
        <f>IF(X51="","",W51&amp;" · "&amp;TEXT(X51,"ddd d mmm, hh:mm")&amp;" · "&amp;Y51&amp;IF(Z51&lt;&gt;""," · £"&amp;TEXT(Z51,"0.00")&amp;" per player"," · price TBC (cost £"&amp;TEXT(V51,"0.00")&amp;" pp)"))</f>
        <v/>
      </c>
      <c r="AD51" s="44" t="n"/>
    </row>
    <row r="52">
      <c r="A52" s="13" t="n">
        <v>50</v>
      </c>
      <c r="B52" s="13" t="inlineStr">
        <is>
          <t>1 · E2 Haggerston</t>
        </is>
      </c>
      <c r="C52" s="13" t="inlineStr">
        <is>
          <t>Office &amp; professional</t>
        </is>
      </c>
      <c r="D52" s="13" t="inlineStr">
        <is>
          <t>Corporate</t>
        </is>
      </c>
      <c r="E52" s="13" t="inlineStr">
        <is>
          <t>TOWER London - Head Office</t>
        </is>
      </c>
      <c r="F52" s="13" t="inlineStr">
        <is>
          <t>corporate_office</t>
        </is>
      </c>
      <c r="G52" s="13" t="inlineStr">
        <is>
          <t>customer-services@tower-london.com</t>
        </is>
      </c>
      <c r="H52" s="13" t="inlineStr">
        <is>
          <t>person_or_other</t>
        </is>
      </c>
      <c r="I52" s="13" t="inlineStr">
        <is>
          <t>+44 20 7781 8500</t>
        </is>
      </c>
      <c r="J52" s="14" t="inlineStr">
        <is>
          <t>https://www.tower-london.com/</t>
        </is>
      </c>
      <c r="K52" s="13" t="inlineStr">
        <is>
          <t>16g, Hope House, 38 Kingsland Rd, London E2 8DD, UK</t>
        </is>
      </c>
      <c r="L52" s="13" t="inlineStr">
        <is>
          <t>E2 8DD</t>
        </is>
      </c>
      <c r="M52" s="13" t="inlineStr">
        <is>
          <t>Shoreditch Rooftop</t>
        </is>
      </c>
      <c r="N52" s="13" t="n">
        <v>14</v>
      </c>
      <c r="O52" s="15">
        <f>IFERROR(INDEX(Venues!$C$2:$C$10,MATCH(M52,Venues!$A$2:$A$10,0)),"Not checked")</f>
        <v/>
      </c>
      <c r="P52" s="15">
        <f>IFERROR(INDEX(Venues!$D$2:$D$10,MATCH(M52,Venues!$A$2:$A$10,0)),0)</f>
        <v/>
      </c>
      <c r="Q52" s="42">
        <f>IFERROR(INDEX(Venues!$E$2:$E$10,MATCH(M52,Venues!$A$2:$A$10,0)),"")</f>
        <v/>
      </c>
      <c r="R52" s="15">
        <f>IF(P52&gt;0,"Yes","No")</f>
        <v/>
      </c>
      <c r="S52" s="13" t="inlineStr">
        <is>
          <t>Shoreditch Rooftop</t>
        </is>
      </c>
      <c r="T52" s="42">
        <f>IFERROR(INDEX(Venues!$E$2:$E$10,MATCH(S52,Venues!$A$2:$A$10,0)),"")</f>
        <v/>
      </c>
      <c r="U52" s="15">
        <f>IFERROR(INDEX(Venues!$F$2:$F$10,MATCH(S52,Venues!$A$2:$A$10,0)),"")</f>
        <v/>
      </c>
      <c r="V52" s="43">
        <f>IFERROR(INDEX(Venues!$H$2:$H$10,MATCH(S52,Venues!$A$2:$A$10,0)),"")</f>
        <v/>
      </c>
      <c r="W52" s="15">
        <f>IF('Pilot offer'!$C$24="Yes",'Pilot offer'!$C$3,S52)</f>
        <v/>
      </c>
      <c r="X52" s="42">
        <f>IF('Pilot offer'!$C$24="Yes",'Pilot offer'!$C$5+'Pilot offer'!$C$6,T52)</f>
        <v/>
      </c>
      <c r="Y52" s="15">
        <f>IF('Pilot offer'!$C$24="Yes",'Pilot offer'!$C$8,U52)</f>
        <v/>
      </c>
      <c r="Z52" s="43">
        <f>IF('Pilot offer'!$C$24="Yes",'Pilot offer'!$C$11,"")</f>
        <v/>
      </c>
      <c r="AA52" s="15">
        <f>IF(X52="","",W52&amp;" · "&amp;TEXT(X52,"ddd d mmm, hh:mm")&amp;" · "&amp;Y52&amp;IF(Z52&lt;&gt;""," · £"&amp;TEXT(Z52,"0.00")&amp;" per player"," · price TBC (cost £"&amp;TEXT(V52,"0.00")&amp;" pp)"))</f>
        <v/>
      </c>
      <c r="AD52" s="44" t="n"/>
    </row>
    <row r="53">
      <c r="A53" s="13" t="n">
        <v>51</v>
      </c>
      <c r="B53" s="13" t="inlineStr">
        <is>
          <t>1 · E2 Haggerston</t>
        </is>
      </c>
      <c r="C53" s="13" t="inlineStr">
        <is>
          <t>Hospitality</t>
        </is>
      </c>
      <c r="D53" s="13" t="inlineStr">
        <is>
          <t>Local businesses</t>
        </is>
      </c>
      <c r="E53" s="13" t="inlineStr">
        <is>
          <t>Central Hoxton</t>
        </is>
      </c>
      <c r="F53" s="13" t="inlineStr">
        <is>
          <t>tourism: hotel</t>
        </is>
      </c>
      <c r="G53" s="13" t="inlineStr">
        <is>
          <t>hello@centralhoxton.com</t>
        </is>
      </c>
      <c r="H53" s="13" t="inlineStr">
        <is>
          <t>openstreetmap_tag</t>
        </is>
      </c>
      <c r="I53" s="13" t="inlineStr">
        <is>
          <t>+44 20 7739 0846</t>
        </is>
      </c>
      <c r="J53" s="14" t="inlineStr">
        <is>
          <t>https://www.centralhoxton.com/</t>
        </is>
      </c>
      <c r="K53" s="13" t="inlineStr">
        <is>
          <t>Kingsland Road 100, London</t>
        </is>
      </c>
      <c r="L53" s="13" t="inlineStr">
        <is>
          <t>E2 8DP</t>
        </is>
      </c>
      <c r="M53" s="13" t="inlineStr">
        <is>
          <t>Shoreditch Rooftop</t>
        </is>
      </c>
      <c r="N53" s="13" t="n">
        <v>11</v>
      </c>
      <c r="O53" s="15">
        <f>IFERROR(INDEX(Venues!$C$2:$C$10,MATCH(M53,Venues!$A$2:$A$10,0)),"Not checked")</f>
        <v/>
      </c>
      <c r="P53" s="15">
        <f>IFERROR(INDEX(Venues!$D$2:$D$10,MATCH(M53,Venues!$A$2:$A$10,0)),0)</f>
        <v/>
      </c>
      <c r="Q53" s="42">
        <f>IFERROR(INDEX(Venues!$E$2:$E$10,MATCH(M53,Venues!$A$2:$A$10,0)),"")</f>
        <v/>
      </c>
      <c r="R53" s="15">
        <f>IF(P53&gt;0,"Yes","No")</f>
        <v/>
      </c>
      <c r="S53" s="13" t="inlineStr">
        <is>
          <t>Shoreditch Rooftop</t>
        </is>
      </c>
      <c r="T53" s="42">
        <f>IFERROR(INDEX(Venues!$E$2:$E$10,MATCH(S53,Venues!$A$2:$A$10,0)),"")</f>
        <v/>
      </c>
      <c r="U53" s="15">
        <f>IFERROR(INDEX(Venues!$F$2:$F$10,MATCH(S53,Venues!$A$2:$A$10,0)),"")</f>
        <v/>
      </c>
      <c r="V53" s="43">
        <f>IFERROR(INDEX(Venues!$H$2:$H$10,MATCH(S53,Venues!$A$2:$A$10,0)),"")</f>
        <v/>
      </c>
      <c r="W53" s="15">
        <f>IF('Pilot offer'!$C$24="Yes",'Pilot offer'!$C$3,S53)</f>
        <v/>
      </c>
      <c r="X53" s="42">
        <f>IF('Pilot offer'!$C$24="Yes",'Pilot offer'!$C$5+'Pilot offer'!$C$6,T53)</f>
        <v/>
      </c>
      <c r="Y53" s="15">
        <f>IF('Pilot offer'!$C$24="Yes",'Pilot offer'!$C$8,U53)</f>
        <v/>
      </c>
      <c r="Z53" s="43">
        <f>IF('Pilot offer'!$C$24="Yes",'Pilot offer'!$C$11,"")</f>
        <v/>
      </c>
      <c r="AA53" s="15">
        <f>IF(X53="","",W53&amp;" · "&amp;TEXT(X53,"ddd d mmm, hh:mm")&amp;" · "&amp;Y53&amp;IF(Z53&lt;&gt;""," · £"&amp;TEXT(Z53,"0.00")&amp;" per player"," · price TBC (cost £"&amp;TEXT(V53,"0.00")&amp;" pp)"))</f>
        <v/>
      </c>
      <c r="AD53" s="44" t="n"/>
    </row>
    <row r="54">
      <c r="A54" s="13" t="n">
        <v>52</v>
      </c>
      <c r="B54" s="13" t="inlineStr">
        <is>
          <t>1 · E2 Haggerston</t>
        </is>
      </c>
      <c r="C54" s="13" t="inlineStr">
        <is>
          <t>Retail</t>
        </is>
      </c>
      <c r="D54" s="13" t="inlineStr">
        <is>
          <t>Local businesses</t>
        </is>
      </c>
      <c r="E54" s="13" t="inlineStr">
        <is>
          <t>The Grocery</t>
        </is>
      </c>
      <c r="F54" s="13" t="inlineStr">
        <is>
          <t>shop: supermarket</t>
        </is>
      </c>
      <c r="G54" s="13" t="inlineStr">
        <is>
          <t>info@thegroceryshop.co.uk</t>
        </is>
      </c>
      <c r="H54" s="13" t="inlineStr">
        <is>
          <t>openstreetmap_tag</t>
        </is>
      </c>
      <c r="I54" s="13" t="inlineStr">
        <is>
          <t>+44 20 7729 6855</t>
        </is>
      </c>
      <c r="J54" s="14" t="inlineStr">
        <is>
          <t>https://www.thegroceryshop.co.uk/</t>
        </is>
      </c>
      <c r="K54" s="13" t="inlineStr">
        <is>
          <t>Kingsland Road 52-56, London</t>
        </is>
      </c>
      <c r="L54" s="13" t="inlineStr">
        <is>
          <t>E2 8DP</t>
        </is>
      </c>
      <c r="M54" s="13" t="inlineStr">
        <is>
          <t>Shoreditch Rooftop</t>
        </is>
      </c>
      <c r="N54" s="13" t="n">
        <v>12</v>
      </c>
      <c r="O54" s="15">
        <f>IFERROR(INDEX(Venues!$C$2:$C$10,MATCH(M54,Venues!$A$2:$A$10,0)),"Not checked")</f>
        <v/>
      </c>
      <c r="P54" s="15">
        <f>IFERROR(INDEX(Venues!$D$2:$D$10,MATCH(M54,Venues!$A$2:$A$10,0)),0)</f>
        <v/>
      </c>
      <c r="Q54" s="42">
        <f>IFERROR(INDEX(Venues!$E$2:$E$10,MATCH(M54,Venues!$A$2:$A$10,0)),"")</f>
        <v/>
      </c>
      <c r="R54" s="15">
        <f>IF(P54&gt;0,"Yes","No")</f>
        <v/>
      </c>
      <c r="S54" s="13" t="inlineStr">
        <is>
          <t>Shoreditch Rooftop</t>
        </is>
      </c>
      <c r="T54" s="42">
        <f>IFERROR(INDEX(Venues!$E$2:$E$10,MATCH(S54,Venues!$A$2:$A$10,0)),"")</f>
        <v/>
      </c>
      <c r="U54" s="15">
        <f>IFERROR(INDEX(Venues!$F$2:$F$10,MATCH(S54,Venues!$A$2:$A$10,0)),"")</f>
        <v/>
      </c>
      <c r="V54" s="43">
        <f>IFERROR(INDEX(Venues!$H$2:$H$10,MATCH(S54,Venues!$A$2:$A$10,0)),"")</f>
        <v/>
      </c>
      <c r="W54" s="15">
        <f>IF('Pilot offer'!$C$24="Yes",'Pilot offer'!$C$3,S54)</f>
        <v/>
      </c>
      <c r="X54" s="42">
        <f>IF('Pilot offer'!$C$24="Yes",'Pilot offer'!$C$5+'Pilot offer'!$C$6,T54)</f>
        <v/>
      </c>
      <c r="Y54" s="15">
        <f>IF('Pilot offer'!$C$24="Yes",'Pilot offer'!$C$8,U54)</f>
        <v/>
      </c>
      <c r="Z54" s="43">
        <f>IF('Pilot offer'!$C$24="Yes",'Pilot offer'!$C$11,"")</f>
        <v/>
      </c>
      <c r="AA54" s="15">
        <f>IF(X54="","",W54&amp;" · "&amp;TEXT(X54,"ddd d mmm, hh:mm")&amp;" · "&amp;Y54&amp;IF(Z54&lt;&gt;""," · £"&amp;TEXT(Z54,"0.00")&amp;" per player"," · price TBC (cost £"&amp;TEXT(V54,"0.00")&amp;" pp)"))</f>
        <v/>
      </c>
      <c r="AD54" s="44" t="n"/>
    </row>
    <row r="55">
      <c r="A55" s="13" t="n">
        <v>53</v>
      </c>
      <c r="B55" s="13" t="inlineStr">
        <is>
          <t>1 · E2 Haggerston</t>
        </is>
      </c>
      <c r="C55" s="13" t="inlineStr">
        <is>
          <t>Office &amp; professional</t>
        </is>
      </c>
      <c r="D55" s="13" t="inlineStr">
        <is>
          <t>Corporate</t>
        </is>
      </c>
      <c r="E55" s="13" t="inlineStr">
        <is>
          <t>Aazz Ai Seo Agency London</t>
        </is>
      </c>
      <c r="F55" s="13" t="inlineStr">
        <is>
          <t>service</t>
        </is>
      </c>
      <c r="G55" s="13" t="inlineStr">
        <is>
          <t>sales@aazzagency.co.uk</t>
        </is>
      </c>
      <c r="H55" s="13" t="inlineStr">
        <is>
          <t>commercial</t>
        </is>
      </c>
      <c r="I55" s="13" t="inlineStr">
        <is>
          <t>+44 7988 595628</t>
        </is>
      </c>
      <c r="J55" s="14" t="inlineStr">
        <is>
          <t>https://aazzagency.co.uk/</t>
        </is>
      </c>
      <c r="K55" s="13" t="inlineStr">
        <is>
          <t>studio 6, Shoreditch Stables, 138 Kingsland Rd, London E2 8DY, UK</t>
        </is>
      </c>
      <c r="L55" s="13" t="inlineStr">
        <is>
          <t>E2 8DY</t>
        </is>
      </c>
      <c r="M55" s="13" t="inlineStr">
        <is>
          <t>Shoreditch Rooftop</t>
        </is>
      </c>
      <c r="N55" s="13" t="n">
        <v>9</v>
      </c>
      <c r="O55" s="15">
        <f>IFERROR(INDEX(Venues!$C$2:$C$10,MATCH(M55,Venues!$A$2:$A$10,0)),"Not checked")</f>
        <v/>
      </c>
      <c r="P55" s="15">
        <f>IFERROR(INDEX(Venues!$D$2:$D$10,MATCH(M55,Venues!$A$2:$A$10,0)),0)</f>
        <v/>
      </c>
      <c r="Q55" s="42">
        <f>IFERROR(INDEX(Venues!$E$2:$E$10,MATCH(M55,Venues!$A$2:$A$10,0)),"")</f>
        <v/>
      </c>
      <c r="R55" s="15">
        <f>IF(P55&gt;0,"Yes","No")</f>
        <v/>
      </c>
      <c r="S55" s="13" t="inlineStr">
        <is>
          <t>Shoreditch Rooftop</t>
        </is>
      </c>
      <c r="T55" s="42">
        <f>IFERROR(INDEX(Venues!$E$2:$E$10,MATCH(S55,Venues!$A$2:$A$10,0)),"")</f>
        <v/>
      </c>
      <c r="U55" s="15">
        <f>IFERROR(INDEX(Venues!$F$2:$F$10,MATCH(S55,Venues!$A$2:$A$10,0)),"")</f>
        <v/>
      </c>
      <c r="V55" s="43">
        <f>IFERROR(INDEX(Venues!$H$2:$H$10,MATCH(S55,Venues!$A$2:$A$10,0)),"")</f>
        <v/>
      </c>
      <c r="W55" s="15">
        <f>IF('Pilot offer'!$C$24="Yes",'Pilot offer'!$C$3,S55)</f>
        <v/>
      </c>
      <c r="X55" s="42">
        <f>IF('Pilot offer'!$C$24="Yes",'Pilot offer'!$C$5+'Pilot offer'!$C$6,T55)</f>
        <v/>
      </c>
      <c r="Y55" s="15">
        <f>IF('Pilot offer'!$C$24="Yes",'Pilot offer'!$C$8,U55)</f>
        <v/>
      </c>
      <c r="Z55" s="43">
        <f>IF('Pilot offer'!$C$24="Yes",'Pilot offer'!$C$11,"")</f>
        <v/>
      </c>
      <c r="AA55" s="15">
        <f>IF(X55="","",W55&amp;" · "&amp;TEXT(X55,"ddd d mmm, hh:mm")&amp;" · "&amp;Y55&amp;IF(Z55&lt;&gt;""," · £"&amp;TEXT(Z55,"0.00")&amp;" per player"," · price TBC (cost £"&amp;TEXT(V55,"0.00")&amp;" pp)"))</f>
        <v/>
      </c>
      <c r="AD55" s="44" t="n"/>
    </row>
    <row r="56">
      <c r="A56" s="13" t="n">
        <v>54</v>
      </c>
      <c r="B56" s="13" t="inlineStr">
        <is>
          <t>1 · E2 Haggerston</t>
        </is>
      </c>
      <c r="C56" s="13" t="inlineStr">
        <is>
          <t>Office &amp; professional</t>
        </is>
      </c>
      <c r="D56" s="13" t="inlineStr">
        <is>
          <t>Corporate</t>
        </is>
      </c>
      <c r="E56" s="13" t="inlineStr">
        <is>
          <t>Charles Luf &amp; Co</t>
        </is>
      </c>
      <c r="F56" s="13" t="inlineStr">
        <is>
          <t>lawyer</t>
        </is>
      </c>
      <c r="G56" s="13" t="inlineStr">
        <is>
          <t>enquiries@charlesluf.com</t>
        </is>
      </c>
      <c r="H56" s="13" t="inlineStr">
        <is>
          <t>general</t>
        </is>
      </c>
      <c r="I56" s="13" t="n"/>
      <c r="J56" s="14" t="inlineStr">
        <is>
          <t>https://charlesluf.com/</t>
        </is>
      </c>
      <c r="K56" s="13" t="inlineStr">
        <is>
          <t>134D Kingsland Road, London</t>
        </is>
      </c>
      <c r="L56" s="13" t="inlineStr">
        <is>
          <t>E2 8DY</t>
        </is>
      </c>
      <c r="M56" s="13" t="inlineStr">
        <is>
          <t>Shoreditch Rooftop</t>
        </is>
      </c>
      <c r="N56" s="13" t="n">
        <v>10</v>
      </c>
      <c r="O56" s="15">
        <f>IFERROR(INDEX(Venues!$C$2:$C$10,MATCH(M56,Venues!$A$2:$A$10,0)),"Not checked")</f>
        <v/>
      </c>
      <c r="P56" s="15">
        <f>IFERROR(INDEX(Venues!$D$2:$D$10,MATCH(M56,Venues!$A$2:$A$10,0)),0)</f>
        <v/>
      </c>
      <c r="Q56" s="42">
        <f>IFERROR(INDEX(Venues!$E$2:$E$10,MATCH(M56,Venues!$A$2:$A$10,0)),"")</f>
        <v/>
      </c>
      <c r="R56" s="15">
        <f>IF(P56&gt;0,"Yes","No")</f>
        <v/>
      </c>
      <c r="S56" s="13" t="inlineStr">
        <is>
          <t>Shoreditch Rooftop</t>
        </is>
      </c>
      <c r="T56" s="42">
        <f>IFERROR(INDEX(Venues!$E$2:$E$10,MATCH(S56,Venues!$A$2:$A$10,0)),"")</f>
        <v/>
      </c>
      <c r="U56" s="15">
        <f>IFERROR(INDEX(Venues!$F$2:$F$10,MATCH(S56,Venues!$A$2:$A$10,0)),"")</f>
        <v/>
      </c>
      <c r="V56" s="43">
        <f>IFERROR(INDEX(Venues!$H$2:$H$10,MATCH(S56,Venues!$A$2:$A$10,0)),"")</f>
        <v/>
      </c>
      <c r="W56" s="15">
        <f>IF('Pilot offer'!$C$24="Yes",'Pilot offer'!$C$3,S56)</f>
        <v/>
      </c>
      <c r="X56" s="42">
        <f>IF('Pilot offer'!$C$24="Yes",'Pilot offer'!$C$5+'Pilot offer'!$C$6,T56)</f>
        <v/>
      </c>
      <c r="Y56" s="15">
        <f>IF('Pilot offer'!$C$24="Yes",'Pilot offer'!$C$8,U56)</f>
        <v/>
      </c>
      <c r="Z56" s="43">
        <f>IF('Pilot offer'!$C$24="Yes",'Pilot offer'!$C$11,"")</f>
        <v/>
      </c>
      <c r="AA56" s="15">
        <f>IF(X56="","",W56&amp;" · "&amp;TEXT(X56,"ddd d mmm, hh:mm")&amp;" · "&amp;Y56&amp;IF(Z56&lt;&gt;""," · £"&amp;TEXT(Z56,"0.00")&amp;" per player"," · price TBC (cost £"&amp;TEXT(V56,"0.00")&amp;" pp)"))</f>
        <v/>
      </c>
      <c r="AD56" s="44" t="n"/>
    </row>
    <row r="57">
      <c r="A57" s="13" t="n">
        <v>55</v>
      </c>
      <c r="B57" s="13" t="inlineStr">
        <is>
          <t>1 · E2 Haggerston</t>
        </is>
      </c>
      <c r="C57" s="13" t="inlineStr">
        <is>
          <t>Leisure &amp; culture</t>
        </is>
      </c>
      <c r="D57" s="13" t="inlineStr">
        <is>
          <t>Local businesses</t>
        </is>
      </c>
      <c r="E57" s="13" t="inlineStr">
        <is>
          <t>Museum of the Home</t>
        </is>
      </c>
      <c r="F57" s="13" t="inlineStr">
        <is>
          <t>tourism: museum</t>
        </is>
      </c>
      <c r="G57" s="13" t="inlineStr">
        <is>
          <t>bookings@museumofthehome.org.uk</t>
        </is>
      </c>
      <c r="H57" s="13" t="inlineStr">
        <is>
          <t>openstreetmap_tag</t>
        </is>
      </c>
      <c r="I57" s="13" t="inlineStr">
        <is>
          <t>+44 20 7739 9893</t>
        </is>
      </c>
      <c r="J57" s="14" t="inlineStr">
        <is>
          <t>https://www.museumofthehome.org.uk/</t>
        </is>
      </c>
      <c r="K57" s="13" t="inlineStr">
        <is>
          <t>Kingsland Road 136, London</t>
        </is>
      </c>
      <c r="L57" s="13" t="inlineStr">
        <is>
          <t>E2 8EA</t>
        </is>
      </c>
      <c r="M57" s="13" t="inlineStr">
        <is>
          <t>Shoreditch Rooftop</t>
        </is>
      </c>
      <c r="N57" s="13" t="n">
        <v>10</v>
      </c>
      <c r="O57" s="15">
        <f>IFERROR(INDEX(Venues!$C$2:$C$10,MATCH(M57,Venues!$A$2:$A$10,0)),"Not checked")</f>
        <v/>
      </c>
      <c r="P57" s="15">
        <f>IFERROR(INDEX(Venues!$D$2:$D$10,MATCH(M57,Venues!$A$2:$A$10,0)),0)</f>
        <v/>
      </c>
      <c r="Q57" s="42">
        <f>IFERROR(INDEX(Venues!$E$2:$E$10,MATCH(M57,Venues!$A$2:$A$10,0)),"")</f>
        <v/>
      </c>
      <c r="R57" s="15">
        <f>IF(P57&gt;0,"Yes","No")</f>
        <v/>
      </c>
      <c r="S57" s="13" t="inlineStr">
        <is>
          <t>Shoreditch Rooftop</t>
        </is>
      </c>
      <c r="T57" s="42">
        <f>IFERROR(INDEX(Venues!$E$2:$E$10,MATCH(S57,Venues!$A$2:$A$10,0)),"")</f>
        <v/>
      </c>
      <c r="U57" s="15">
        <f>IFERROR(INDEX(Venues!$F$2:$F$10,MATCH(S57,Venues!$A$2:$A$10,0)),"")</f>
        <v/>
      </c>
      <c r="V57" s="43">
        <f>IFERROR(INDEX(Venues!$H$2:$H$10,MATCH(S57,Venues!$A$2:$A$10,0)),"")</f>
        <v/>
      </c>
      <c r="W57" s="15">
        <f>IF('Pilot offer'!$C$24="Yes",'Pilot offer'!$C$3,S57)</f>
        <v/>
      </c>
      <c r="X57" s="42">
        <f>IF('Pilot offer'!$C$24="Yes",'Pilot offer'!$C$5+'Pilot offer'!$C$6,T57)</f>
        <v/>
      </c>
      <c r="Y57" s="15">
        <f>IF('Pilot offer'!$C$24="Yes",'Pilot offer'!$C$8,U57)</f>
        <v/>
      </c>
      <c r="Z57" s="43">
        <f>IF('Pilot offer'!$C$24="Yes",'Pilot offer'!$C$11,"")</f>
        <v/>
      </c>
      <c r="AA57" s="15">
        <f>IF(X57="","",W57&amp;" · "&amp;TEXT(X57,"ddd d mmm, hh:mm")&amp;" · "&amp;Y57&amp;IF(Z57&lt;&gt;""," · £"&amp;TEXT(Z57,"0.00")&amp;" per player"," · price TBC (cost £"&amp;TEXT(V57,"0.00")&amp;" pp)"))</f>
        <v/>
      </c>
      <c r="AD57" s="44" t="n"/>
    </row>
    <row r="58">
      <c r="A58" s="13" t="n">
        <v>56</v>
      </c>
      <c r="B58" s="13" t="inlineStr">
        <is>
          <t>1 · E2 Haggerston</t>
        </is>
      </c>
      <c r="C58" s="13" t="inlineStr">
        <is>
          <t>Hospitality</t>
        </is>
      </c>
      <c r="D58" s="13" t="inlineStr">
        <is>
          <t>Local businesses</t>
        </is>
      </c>
      <c r="E58" s="13" t="inlineStr">
        <is>
          <t>The Arcanist's Tavern</t>
        </is>
      </c>
      <c r="F58" s="13" t="inlineStr">
        <is>
          <t>amenity: bar</t>
        </is>
      </c>
      <c r="G58" s="13" t="inlineStr">
        <is>
          <t>inquiries@alchemygames.uk</t>
        </is>
      </c>
      <c r="H58" s="13" t="inlineStr">
        <is>
          <t>openstreetmap_tag</t>
        </is>
      </c>
      <c r="I58" s="13" t="inlineStr">
        <is>
          <t>+44 20 8191 2983</t>
        </is>
      </c>
      <c r="J58" s="14" t="inlineStr">
        <is>
          <t>https://arcaniststavern.uk/</t>
        </is>
      </c>
      <c r="K58" s="13" t="inlineStr">
        <is>
          <t>Hackney Road 87-91, London</t>
        </is>
      </c>
      <c r="L58" s="13" t="inlineStr">
        <is>
          <t>E2 8FE</t>
        </is>
      </c>
      <c r="M58" s="13" t="inlineStr">
        <is>
          <t>Shoreditch Rooftop</t>
        </is>
      </c>
      <c r="N58" s="13" t="n">
        <v>13</v>
      </c>
      <c r="O58" s="15">
        <f>IFERROR(INDEX(Venues!$C$2:$C$10,MATCH(M58,Venues!$A$2:$A$10,0)),"Not checked")</f>
        <v/>
      </c>
      <c r="P58" s="15">
        <f>IFERROR(INDEX(Venues!$D$2:$D$10,MATCH(M58,Venues!$A$2:$A$10,0)),0)</f>
        <v/>
      </c>
      <c r="Q58" s="42">
        <f>IFERROR(INDEX(Venues!$E$2:$E$10,MATCH(M58,Venues!$A$2:$A$10,0)),"")</f>
        <v/>
      </c>
      <c r="R58" s="15">
        <f>IF(P58&gt;0,"Yes","No")</f>
        <v/>
      </c>
      <c r="S58" s="13" t="inlineStr">
        <is>
          <t>Shoreditch Rooftop</t>
        </is>
      </c>
      <c r="T58" s="42">
        <f>IFERROR(INDEX(Venues!$E$2:$E$10,MATCH(S58,Venues!$A$2:$A$10,0)),"")</f>
        <v/>
      </c>
      <c r="U58" s="15">
        <f>IFERROR(INDEX(Venues!$F$2:$F$10,MATCH(S58,Venues!$A$2:$A$10,0)),"")</f>
        <v/>
      </c>
      <c r="V58" s="43">
        <f>IFERROR(INDEX(Venues!$H$2:$H$10,MATCH(S58,Venues!$A$2:$A$10,0)),"")</f>
        <v/>
      </c>
      <c r="W58" s="15">
        <f>IF('Pilot offer'!$C$24="Yes",'Pilot offer'!$C$3,S58)</f>
        <v/>
      </c>
      <c r="X58" s="42">
        <f>IF('Pilot offer'!$C$24="Yes",'Pilot offer'!$C$5+'Pilot offer'!$C$6,T58)</f>
        <v/>
      </c>
      <c r="Y58" s="15">
        <f>IF('Pilot offer'!$C$24="Yes",'Pilot offer'!$C$8,U58)</f>
        <v/>
      </c>
      <c r="Z58" s="43">
        <f>IF('Pilot offer'!$C$24="Yes",'Pilot offer'!$C$11,"")</f>
        <v/>
      </c>
      <c r="AA58" s="15">
        <f>IF(X58="","",W58&amp;" · "&amp;TEXT(X58,"ddd d mmm, hh:mm")&amp;" · "&amp;Y58&amp;IF(Z58&lt;&gt;""," · £"&amp;TEXT(Z58,"0.00")&amp;" per player"," · price TBC (cost £"&amp;TEXT(V58,"0.00")&amp;" pp)"))</f>
        <v/>
      </c>
      <c r="AD58" s="44" t="n"/>
    </row>
    <row r="59">
      <c r="A59" s="13" t="n">
        <v>57</v>
      </c>
      <c r="B59" s="13" t="inlineStr">
        <is>
          <t>1 · E2 Haggerston</t>
        </is>
      </c>
      <c r="C59" s="13" t="inlineStr">
        <is>
          <t>Leisure &amp; culture</t>
        </is>
      </c>
      <c r="D59" s="13" t="inlineStr">
        <is>
          <t>Local businesses</t>
        </is>
      </c>
      <c r="E59" s="13" t="inlineStr">
        <is>
          <t>Centre 151</t>
        </is>
      </c>
      <c r="F59" s="13" t="inlineStr">
        <is>
          <t>amenity: community centre</t>
        </is>
      </c>
      <c r="G59" s="13" t="inlineStr">
        <is>
          <t>info@centre151.com</t>
        </is>
      </c>
      <c r="H59" s="13" t="inlineStr">
        <is>
          <t>general</t>
        </is>
      </c>
      <c r="I59" s="13" t="inlineStr">
        <is>
          <t>+44 20 7739 3650</t>
        </is>
      </c>
      <c r="J59" s="14" t="inlineStr">
        <is>
          <t>https://www.centre151.com/</t>
        </is>
      </c>
      <c r="K59" s="13" t="inlineStr">
        <is>
          <t>Whiston Road 151, London</t>
        </is>
      </c>
      <c r="L59" s="13" t="inlineStr">
        <is>
          <t>E2 8GU</t>
        </is>
      </c>
      <c r="M59" s="13" t="inlineStr">
        <is>
          <t>COLA Shoreditch Park</t>
        </is>
      </c>
      <c r="N59" s="13" t="n">
        <v>14</v>
      </c>
      <c r="O59" s="15">
        <f>IFERROR(INDEX(Venues!$C$2:$C$10,MATCH(M59,Venues!$A$2:$A$10,0)),"Not checked")</f>
        <v/>
      </c>
      <c r="P59" s="15">
        <f>IFERROR(INDEX(Venues!$D$2:$D$10,MATCH(M59,Venues!$A$2:$A$10,0)),0)</f>
        <v/>
      </c>
      <c r="Q59" s="42">
        <f>IFERROR(INDEX(Venues!$E$2:$E$10,MATCH(M59,Venues!$A$2:$A$10,0)),"")</f>
        <v/>
      </c>
      <c r="R59" s="15">
        <f>IF(P59&gt;0,"Yes","No")</f>
        <v/>
      </c>
      <c r="S59" s="13" t="inlineStr">
        <is>
          <t>COLA Shoreditch Park</t>
        </is>
      </c>
      <c r="T59" s="42">
        <f>IFERROR(INDEX(Venues!$E$2:$E$10,MATCH(S59,Venues!$A$2:$A$10,0)),"")</f>
        <v/>
      </c>
      <c r="U59" s="15">
        <f>IFERROR(INDEX(Venues!$F$2:$F$10,MATCH(S59,Venues!$A$2:$A$10,0)),"")</f>
        <v/>
      </c>
      <c r="V59" s="43">
        <f>IFERROR(INDEX(Venues!$H$2:$H$10,MATCH(S59,Venues!$A$2:$A$10,0)),"")</f>
        <v/>
      </c>
      <c r="W59" s="15">
        <f>IF('Pilot offer'!$C$24="Yes",'Pilot offer'!$C$3,S59)</f>
        <v/>
      </c>
      <c r="X59" s="42">
        <f>IF('Pilot offer'!$C$24="Yes",'Pilot offer'!$C$5+'Pilot offer'!$C$6,T59)</f>
        <v/>
      </c>
      <c r="Y59" s="15">
        <f>IF('Pilot offer'!$C$24="Yes",'Pilot offer'!$C$8,U59)</f>
        <v/>
      </c>
      <c r="Z59" s="43">
        <f>IF('Pilot offer'!$C$24="Yes",'Pilot offer'!$C$11,"")</f>
        <v/>
      </c>
      <c r="AA59" s="15">
        <f>IF(X59="","",W59&amp;" · "&amp;TEXT(X59,"ddd d mmm, hh:mm")&amp;" · "&amp;Y59&amp;IF(Z59&lt;&gt;""," · £"&amp;TEXT(Z59,"0.00")&amp;" per player"," · price TBC (cost £"&amp;TEXT(V59,"0.00")&amp;" pp)"))</f>
        <v/>
      </c>
      <c r="AD59" s="44" t="n"/>
    </row>
    <row r="60">
      <c r="A60" s="13" t="n">
        <v>58</v>
      </c>
      <c r="B60" s="13" t="inlineStr">
        <is>
          <t>1 · E2 Haggerston</t>
        </is>
      </c>
      <c r="C60" s="13" t="inlineStr">
        <is>
          <t>Retail</t>
        </is>
      </c>
      <c r="D60" s="13" t="inlineStr">
        <is>
          <t>Local businesses</t>
        </is>
      </c>
      <c r="E60" s="13" t="inlineStr">
        <is>
          <t>Butchers Salon</t>
        </is>
      </c>
      <c r="F60" s="13" t="inlineStr">
        <is>
          <t>shop: hairdresser</t>
        </is>
      </c>
      <c r="G60" s="13" t="inlineStr">
        <is>
          <t>hoxton@butcherssalon.com</t>
        </is>
      </c>
      <c r="H60" s="13" t="inlineStr">
        <is>
          <t>person_or_other</t>
        </is>
      </c>
      <c r="I60" s="13" t="inlineStr">
        <is>
          <t>+44 20 7613 4313</t>
        </is>
      </c>
      <c r="J60" s="14" t="inlineStr">
        <is>
          <t>https://www.butcherssalon.com</t>
        </is>
      </c>
      <c r="K60" s="13" t="inlineStr">
        <is>
          <t>Cremer Street, London</t>
        </is>
      </c>
      <c r="L60" s="13" t="inlineStr">
        <is>
          <t>E2 8GX</t>
        </is>
      </c>
      <c r="M60" s="13" t="inlineStr">
        <is>
          <t>Shoreditch Rooftop</t>
        </is>
      </c>
      <c r="N60" s="13" t="n">
        <v>13</v>
      </c>
      <c r="O60" s="15">
        <f>IFERROR(INDEX(Venues!$C$2:$C$10,MATCH(M60,Venues!$A$2:$A$10,0)),"Not checked")</f>
        <v/>
      </c>
      <c r="P60" s="15">
        <f>IFERROR(INDEX(Venues!$D$2:$D$10,MATCH(M60,Venues!$A$2:$A$10,0)),0)</f>
        <v/>
      </c>
      <c r="Q60" s="42">
        <f>IFERROR(INDEX(Venues!$E$2:$E$10,MATCH(M60,Venues!$A$2:$A$10,0)),"")</f>
        <v/>
      </c>
      <c r="R60" s="15">
        <f>IF(P60&gt;0,"Yes","No")</f>
        <v/>
      </c>
      <c r="S60" s="13" t="inlineStr">
        <is>
          <t>Shoreditch Rooftop</t>
        </is>
      </c>
      <c r="T60" s="42">
        <f>IFERROR(INDEX(Venues!$E$2:$E$10,MATCH(S60,Venues!$A$2:$A$10,0)),"")</f>
        <v/>
      </c>
      <c r="U60" s="15">
        <f>IFERROR(INDEX(Venues!$F$2:$F$10,MATCH(S60,Venues!$A$2:$A$10,0)),"")</f>
        <v/>
      </c>
      <c r="V60" s="43">
        <f>IFERROR(INDEX(Venues!$H$2:$H$10,MATCH(S60,Venues!$A$2:$A$10,0)),"")</f>
        <v/>
      </c>
      <c r="W60" s="15">
        <f>IF('Pilot offer'!$C$24="Yes",'Pilot offer'!$C$3,S60)</f>
        <v/>
      </c>
      <c r="X60" s="42">
        <f>IF('Pilot offer'!$C$24="Yes",'Pilot offer'!$C$5+'Pilot offer'!$C$6,T60)</f>
        <v/>
      </c>
      <c r="Y60" s="15">
        <f>IF('Pilot offer'!$C$24="Yes",'Pilot offer'!$C$8,U60)</f>
        <v/>
      </c>
      <c r="Z60" s="43">
        <f>IF('Pilot offer'!$C$24="Yes",'Pilot offer'!$C$11,"")</f>
        <v/>
      </c>
      <c r="AA60" s="15">
        <f>IF(X60="","",W60&amp;" · "&amp;TEXT(X60,"ddd d mmm, hh:mm")&amp;" · "&amp;Y60&amp;IF(Z60&lt;&gt;""," · £"&amp;TEXT(Z60,"0.00")&amp;" per player"," · price TBC (cost £"&amp;TEXT(V60,"0.00")&amp;" pp)"))</f>
        <v/>
      </c>
      <c r="AD60" s="44" t="n"/>
    </row>
    <row r="61">
      <c r="A61" s="13" t="n">
        <v>59</v>
      </c>
      <c r="B61" s="13" t="inlineStr">
        <is>
          <t>1 · E2 Haggerston</t>
        </is>
      </c>
      <c r="C61" s="13" t="inlineStr">
        <is>
          <t>Hospitality</t>
        </is>
      </c>
      <c r="D61" s="13" t="inlineStr">
        <is>
          <t>Local businesses</t>
        </is>
      </c>
      <c r="E61" s="13" t="inlineStr">
        <is>
          <t>Gaia Bistro</t>
        </is>
      </c>
      <c r="F61" s="13" t="inlineStr">
        <is>
          <t>amenity: restaurant</t>
        </is>
      </c>
      <c r="G61" s="13" t="inlineStr">
        <is>
          <t>marketing@gaiabistro.co.uk</t>
        </is>
      </c>
      <c r="H61" s="13" t="inlineStr">
        <is>
          <t>openstreetmap_tag</t>
        </is>
      </c>
      <c r="I61" s="13" t="inlineStr">
        <is>
          <t>+44 20 4547 2760</t>
        </is>
      </c>
      <c r="J61" s="14" t="inlineStr">
        <is>
          <t>https://gaiabistro.co.uk/</t>
        </is>
      </c>
      <c r="K61" s="13" t="inlineStr">
        <is>
          <t>Hackney Road, London</t>
        </is>
      </c>
      <c r="L61" s="13" t="inlineStr">
        <is>
          <t>E2 8GY</t>
        </is>
      </c>
      <c r="M61" s="13" t="inlineStr">
        <is>
          <t>Shoreditch Rooftop</t>
        </is>
      </c>
      <c r="N61" s="13" t="n">
        <v>13</v>
      </c>
      <c r="O61" s="15">
        <f>IFERROR(INDEX(Venues!$C$2:$C$10,MATCH(M61,Venues!$A$2:$A$10,0)),"Not checked")</f>
        <v/>
      </c>
      <c r="P61" s="15">
        <f>IFERROR(INDEX(Venues!$D$2:$D$10,MATCH(M61,Venues!$A$2:$A$10,0)),0)</f>
        <v/>
      </c>
      <c r="Q61" s="42">
        <f>IFERROR(INDEX(Venues!$E$2:$E$10,MATCH(M61,Venues!$A$2:$A$10,0)),"")</f>
        <v/>
      </c>
      <c r="R61" s="15">
        <f>IF(P61&gt;0,"Yes","No")</f>
        <v/>
      </c>
      <c r="S61" s="13" t="inlineStr">
        <is>
          <t>Shoreditch Rooftop</t>
        </is>
      </c>
      <c r="T61" s="42">
        <f>IFERROR(INDEX(Venues!$E$2:$E$10,MATCH(S61,Venues!$A$2:$A$10,0)),"")</f>
        <v/>
      </c>
      <c r="U61" s="15">
        <f>IFERROR(INDEX(Venues!$F$2:$F$10,MATCH(S61,Venues!$A$2:$A$10,0)),"")</f>
        <v/>
      </c>
      <c r="V61" s="43">
        <f>IFERROR(INDEX(Venues!$H$2:$H$10,MATCH(S61,Venues!$A$2:$A$10,0)),"")</f>
        <v/>
      </c>
      <c r="W61" s="15">
        <f>IF('Pilot offer'!$C$24="Yes",'Pilot offer'!$C$3,S61)</f>
        <v/>
      </c>
      <c r="X61" s="42">
        <f>IF('Pilot offer'!$C$24="Yes",'Pilot offer'!$C$5+'Pilot offer'!$C$6,T61)</f>
        <v/>
      </c>
      <c r="Y61" s="15">
        <f>IF('Pilot offer'!$C$24="Yes",'Pilot offer'!$C$8,U61)</f>
        <v/>
      </c>
      <c r="Z61" s="43">
        <f>IF('Pilot offer'!$C$24="Yes",'Pilot offer'!$C$11,"")</f>
        <v/>
      </c>
      <c r="AA61" s="15">
        <f>IF(X61="","",W61&amp;" · "&amp;TEXT(X61,"ddd d mmm, hh:mm")&amp;" · "&amp;Y61&amp;IF(Z61&lt;&gt;""," · £"&amp;TEXT(Z61,"0.00")&amp;" per player"," · price TBC (cost £"&amp;TEXT(V61,"0.00")&amp;" pp)"))</f>
        <v/>
      </c>
      <c r="AD61" s="44" t="n"/>
    </row>
    <row r="62">
      <c r="A62" s="13" t="n">
        <v>60</v>
      </c>
      <c r="B62" s="13" t="inlineStr">
        <is>
          <t>1 · E2 Haggerston</t>
        </is>
      </c>
      <c r="C62" s="13" t="inlineStr">
        <is>
          <t>Leisure &amp; culture</t>
        </is>
      </c>
      <c r="D62" s="13" t="inlineStr">
        <is>
          <t>Local businesses</t>
        </is>
      </c>
      <c r="E62" s="13" t="inlineStr">
        <is>
          <t>Legacy Martial Arts</t>
        </is>
      </c>
      <c r="F62" s="13" t="inlineStr">
        <is>
          <t>amenity: dojo</t>
        </is>
      </c>
      <c r="G62" s="13" t="inlineStr">
        <is>
          <t>info@legacymartialartslondon.co.uk</t>
        </is>
      </c>
      <c r="H62" s="13" t="inlineStr">
        <is>
          <t>openstreetmap_tag</t>
        </is>
      </c>
      <c r="I62" s="13" t="n"/>
      <c r="J62" s="14" t="inlineStr">
        <is>
          <t>https://www.legacymartialartslondon.co.uk/</t>
        </is>
      </c>
      <c r="K62" s="13" t="inlineStr">
        <is>
          <t>Cremer Street 403, London</t>
        </is>
      </c>
      <c r="L62" s="13" t="inlineStr">
        <is>
          <t>E2 8HB</t>
        </is>
      </c>
      <c r="M62" s="13" t="inlineStr">
        <is>
          <t>Shoreditch Rooftop</t>
        </is>
      </c>
      <c r="N62" s="13" t="n">
        <v>11</v>
      </c>
      <c r="O62" s="15">
        <f>IFERROR(INDEX(Venues!$C$2:$C$10,MATCH(M62,Venues!$A$2:$A$10,0)),"Not checked")</f>
        <v/>
      </c>
      <c r="P62" s="15">
        <f>IFERROR(INDEX(Venues!$D$2:$D$10,MATCH(M62,Venues!$A$2:$A$10,0)),0)</f>
        <v/>
      </c>
      <c r="Q62" s="42">
        <f>IFERROR(INDEX(Venues!$E$2:$E$10,MATCH(M62,Venues!$A$2:$A$10,0)),"")</f>
        <v/>
      </c>
      <c r="R62" s="15">
        <f>IF(P62&gt;0,"Yes","No")</f>
        <v/>
      </c>
      <c r="S62" s="13" t="inlineStr">
        <is>
          <t>Shoreditch Rooftop</t>
        </is>
      </c>
      <c r="T62" s="42">
        <f>IFERROR(INDEX(Venues!$E$2:$E$10,MATCH(S62,Venues!$A$2:$A$10,0)),"")</f>
        <v/>
      </c>
      <c r="U62" s="15">
        <f>IFERROR(INDEX(Venues!$F$2:$F$10,MATCH(S62,Venues!$A$2:$A$10,0)),"")</f>
        <v/>
      </c>
      <c r="V62" s="43">
        <f>IFERROR(INDEX(Venues!$H$2:$H$10,MATCH(S62,Venues!$A$2:$A$10,0)),"")</f>
        <v/>
      </c>
      <c r="W62" s="15">
        <f>IF('Pilot offer'!$C$24="Yes",'Pilot offer'!$C$3,S62)</f>
        <v/>
      </c>
      <c r="X62" s="42">
        <f>IF('Pilot offer'!$C$24="Yes",'Pilot offer'!$C$5+'Pilot offer'!$C$6,T62)</f>
        <v/>
      </c>
      <c r="Y62" s="15">
        <f>IF('Pilot offer'!$C$24="Yes",'Pilot offer'!$C$8,U62)</f>
        <v/>
      </c>
      <c r="Z62" s="43">
        <f>IF('Pilot offer'!$C$24="Yes",'Pilot offer'!$C$11,"")</f>
        <v/>
      </c>
      <c r="AA62" s="15">
        <f>IF(X62="","",W62&amp;" · "&amp;TEXT(X62,"ddd d mmm, hh:mm")&amp;" · "&amp;Y62&amp;IF(Z62&lt;&gt;""," · £"&amp;TEXT(Z62,"0.00")&amp;" per player"," · price TBC (cost £"&amp;TEXT(V62,"0.00")&amp;" pp)"))</f>
        <v/>
      </c>
      <c r="AD62" s="44" t="n"/>
    </row>
    <row r="63">
      <c r="A63" s="13" t="n">
        <v>61</v>
      </c>
      <c r="B63" s="13" t="inlineStr">
        <is>
          <t>1 · E2 Haggerston</t>
        </is>
      </c>
      <c r="C63" s="13" t="inlineStr">
        <is>
          <t>Office &amp; professional</t>
        </is>
      </c>
      <c r="D63" s="13" t="inlineStr">
        <is>
          <t>Corporate</t>
        </is>
      </c>
      <c r="E63" s="13" t="inlineStr">
        <is>
          <t>BioPak Head Office</t>
        </is>
      </c>
      <c r="F63" s="13" t="inlineStr">
        <is>
          <t>manufacturer</t>
        </is>
      </c>
      <c r="G63" s="13" t="inlineStr">
        <is>
          <t>sales@biopak.com</t>
        </is>
      </c>
      <c r="H63" s="13" t="inlineStr">
        <is>
          <t>commercial</t>
        </is>
      </c>
      <c r="I63" s="13" t="inlineStr">
        <is>
          <t>+44 1386 555777</t>
        </is>
      </c>
      <c r="J63" s="14" t="inlineStr">
        <is>
          <t>https://www.biopak.com/uk</t>
        </is>
      </c>
      <c r="K63" s="13" t="inlineStr">
        <is>
          <t>Room G01, Brickfields Business Centre, 37 Cremer St, London E2 8HD, UK</t>
        </is>
      </c>
      <c r="L63" s="13" t="inlineStr">
        <is>
          <t>E2 8HD</t>
        </is>
      </c>
      <c r="M63" s="13" t="inlineStr">
        <is>
          <t>Shoreditch Rooftop</t>
        </is>
      </c>
      <c r="N63" s="13" t="n">
        <v>11</v>
      </c>
      <c r="O63" s="15">
        <f>IFERROR(INDEX(Venues!$C$2:$C$10,MATCH(M63,Venues!$A$2:$A$10,0)),"Not checked")</f>
        <v/>
      </c>
      <c r="P63" s="15">
        <f>IFERROR(INDEX(Venues!$D$2:$D$10,MATCH(M63,Venues!$A$2:$A$10,0)),0)</f>
        <v/>
      </c>
      <c r="Q63" s="42">
        <f>IFERROR(INDEX(Venues!$E$2:$E$10,MATCH(M63,Venues!$A$2:$A$10,0)),"")</f>
        <v/>
      </c>
      <c r="R63" s="15">
        <f>IF(P63&gt;0,"Yes","No")</f>
        <v/>
      </c>
      <c r="S63" s="13" t="inlineStr">
        <is>
          <t>Shoreditch Rooftop</t>
        </is>
      </c>
      <c r="T63" s="42">
        <f>IFERROR(INDEX(Venues!$E$2:$E$10,MATCH(S63,Venues!$A$2:$A$10,0)),"")</f>
        <v/>
      </c>
      <c r="U63" s="15">
        <f>IFERROR(INDEX(Venues!$F$2:$F$10,MATCH(S63,Venues!$A$2:$A$10,0)),"")</f>
        <v/>
      </c>
      <c r="V63" s="43">
        <f>IFERROR(INDEX(Venues!$H$2:$H$10,MATCH(S63,Venues!$A$2:$A$10,0)),"")</f>
        <v/>
      </c>
      <c r="W63" s="15">
        <f>IF('Pilot offer'!$C$24="Yes",'Pilot offer'!$C$3,S63)</f>
        <v/>
      </c>
      <c r="X63" s="42">
        <f>IF('Pilot offer'!$C$24="Yes",'Pilot offer'!$C$5+'Pilot offer'!$C$6,T63)</f>
        <v/>
      </c>
      <c r="Y63" s="15">
        <f>IF('Pilot offer'!$C$24="Yes",'Pilot offer'!$C$8,U63)</f>
        <v/>
      </c>
      <c r="Z63" s="43">
        <f>IF('Pilot offer'!$C$24="Yes",'Pilot offer'!$C$11,"")</f>
        <v/>
      </c>
      <c r="AA63" s="15">
        <f>IF(X63="","",W63&amp;" · "&amp;TEXT(X63,"ddd d mmm, hh:mm")&amp;" · "&amp;Y63&amp;IF(Z63&lt;&gt;""," · £"&amp;TEXT(Z63,"0.00")&amp;" per player"," · price TBC (cost £"&amp;TEXT(V63,"0.00")&amp;" pp)"))</f>
        <v/>
      </c>
      <c r="AD63" s="44" t="n"/>
    </row>
    <row r="64">
      <c r="A64" s="13" t="n">
        <v>62</v>
      </c>
      <c r="B64" s="13" t="inlineStr">
        <is>
          <t>1 · E2 Haggerston</t>
        </is>
      </c>
      <c r="C64" s="13" t="inlineStr">
        <is>
          <t>Office &amp; professional</t>
        </is>
      </c>
      <c r="D64" s="13" t="inlineStr">
        <is>
          <t>Corporate</t>
        </is>
      </c>
      <c r="E64" s="13" t="inlineStr">
        <is>
          <t>Magnetic London</t>
        </is>
      </c>
      <c r="F64" s="13" t="inlineStr">
        <is>
          <t>service</t>
        </is>
      </c>
      <c r="G64" s="13" t="inlineStr">
        <is>
          <t>hello@magnetic-london.co.uk</t>
        </is>
      </c>
      <c r="H64" s="13" t="inlineStr">
        <is>
          <t>general</t>
        </is>
      </c>
      <c r="I64" s="13" t="inlineStr">
        <is>
          <t>+44 20 7193 3747</t>
        </is>
      </c>
      <c r="J64" s="14" t="inlineStr">
        <is>
          <t>https://www.magnetic-london.co.uk/?utm_source=google&amp;utm_medium=wix_google_business_profile&amp;utm_campaign=13745144260154332613</t>
        </is>
      </c>
      <c r="K64" s="13" t="inlineStr">
        <is>
          <t>Studio 123, Brickfield Business Centre, 37 Cremer St, London E2 8HD, UK</t>
        </is>
      </c>
      <c r="L64" s="13" t="inlineStr">
        <is>
          <t>E2 8HD</t>
        </is>
      </c>
      <c r="M64" s="13" t="inlineStr">
        <is>
          <t>Shoreditch Rooftop</t>
        </is>
      </c>
      <c r="N64" s="13" t="n">
        <v>11</v>
      </c>
      <c r="O64" s="15">
        <f>IFERROR(INDEX(Venues!$C$2:$C$10,MATCH(M64,Venues!$A$2:$A$10,0)),"Not checked")</f>
        <v/>
      </c>
      <c r="P64" s="15">
        <f>IFERROR(INDEX(Venues!$D$2:$D$10,MATCH(M64,Venues!$A$2:$A$10,0)),0)</f>
        <v/>
      </c>
      <c r="Q64" s="42">
        <f>IFERROR(INDEX(Venues!$E$2:$E$10,MATCH(M64,Venues!$A$2:$A$10,0)),"")</f>
        <v/>
      </c>
      <c r="R64" s="15">
        <f>IF(P64&gt;0,"Yes","No")</f>
        <v/>
      </c>
      <c r="S64" s="13" t="inlineStr">
        <is>
          <t>Shoreditch Rooftop</t>
        </is>
      </c>
      <c r="T64" s="42">
        <f>IFERROR(INDEX(Venues!$E$2:$E$10,MATCH(S64,Venues!$A$2:$A$10,0)),"")</f>
        <v/>
      </c>
      <c r="U64" s="15">
        <f>IFERROR(INDEX(Venues!$F$2:$F$10,MATCH(S64,Venues!$A$2:$A$10,0)),"")</f>
        <v/>
      </c>
      <c r="V64" s="43">
        <f>IFERROR(INDEX(Venues!$H$2:$H$10,MATCH(S64,Venues!$A$2:$A$10,0)),"")</f>
        <v/>
      </c>
      <c r="W64" s="15">
        <f>IF('Pilot offer'!$C$24="Yes",'Pilot offer'!$C$3,S64)</f>
        <v/>
      </c>
      <c r="X64" s="42">
        <f>IF('Pilot offer'!$C$24="Yes",'Pilot offer'!$C$5+'Pilot offer'!$C$6,T64)</f>
        <v/>
      </c>
      <c r="Y64" s="15">
        <f>IF('Pilot offer'!$C$24="Yes",'Pilot offer'!$C$8,U64)</f>
        <v/>
      </c>
      <c r="Z64" s="43">
        <f>IF('Pilot offer'!$C$24="Yes",'Pilot offer'!$C$11,"")</f>
        <v/>
      </c>
      <c r="AA64" s="15">
        <f>IF(X64="","",W64&amp;" · "&amp;TEXT(X64,"ddd d mmm, hh:mm")&amp;" · "&amp;Y64&amp;IF(Z64&lt;&gt;""," · £"&amp;TEXT(Z64,"0.00")&amp;" per player"," · price TBC (cost £"&amp;TEXT(V64,"0.00")&amp;" pp)"))</f>
        <v/>
      </c>
      <c r="AD64" s="44" t="n"/>
    </row>
    <row r="65">
      <c r="A65" s="13" t="n">
        <v>63</v>
      </c>
      <c r="B65" s="13" t="inlineStr">
        <is>
          <t>1 · E2 Haggerston</t>
        </is>
      </c>
      <c r="C65" s="13" t="inlineStr">
        <is>
          <t>Leisure &amp; culture</t>
        </is>
      </c>
      <c r="D65" s="13" t="inlineStr">
        <is>
          <t>Local businesses</t>
        </is>
      </c>
      <c r="E65" s="13" t="inlineStr">
        <is>
          <t>Outset Studio - Hoxton</t>
        </is>
      </c>
      <c r="F65" s="13" t="inlineStr">
        <is>
          <t>amenity: studio</t>
        </is>
      </c>
      <c r="G65" s="13" t="inlineStr">
        <is>
          <t>hello@outsetstudio.com</t>
        </is>
      </c>
      <c r="H65" s="13" t="inlineStr">
        <is>
          <t>openstreetmap_tag</t>
        </is>
      </c>
      <c r="I65" s="13" t="inlineStr">
        <is>
          <t>+44 20 3151 3242</t>
        </is>
      </c>
      <c r="J65" s="14" t="inlineStr">
        <is>
          <t>https://outsetstudio.com/</t>
        </is>
      </c>
      <c r="K65" s="13" t="inlineStr">
        <is>
          <t>Cremer Street 37, London</t>
        </is>
      </c>
      <c r="L65" s="13" t="inlineStr">
        <is>
          <t>E2 8HD</t>
        </is>
      </c>
      <c r="M65" s="13" t="inlineStr">
        <is>
          <t>Shoreditch Rooftop</t>
        </is>
      </c>
      <c r="N65" s="13" t="n">
        <v>11</v>
      </c>
      <c r="O65" s="15">
        <f>IFERROR(INDEX(Venues!$C$2:$C$10,MATCH(M65,Venues!$A$2:$A$10,0)),"Not checked")</f>
        <v/>
      </c>
      <c r="P65" s="15">
        <f>IFERROR(INDEX(Venues!$D$2:$D$10,MATCH(M65,Venues!$A$2:$A$10,0)),0)</f>
        <v/>
      </c>
      <c r="Q65" s="42">
        <f>IFERROR(INDEX(Venues!$E$2:$E$10,MATCH(M65,Venues!$A$2:$A$10,0)),"")</f>
        <v/>
      </c>
      <c r="R65" s="15">
        <f>IF(P65&gt;0,"Yes","No")</f>
        <v/>
      </c>
      <c r="S65" s="13" t="inlineStr">
        <is>
          <t>Shoreditch Rooftop</t>
        </is>
      </c>
      <c r="T65" s="42">
        <f>IFERROR(INDEX(Venues!$E$2:$E$10,MATCH(S65,Venues!$A$2:$A$10,0)),"")</f>
        <v/>
      </c>
      <c r="U65" s="15">
        <f>IFERROR(INDEX(Venues!$F$2:$F$10,MATCH(S65,Venues!$A$2:$A$10,0)),"")</f>
        <v/>
      </c>
      <c r="V65" s="43">
        <f>IFERROR(INDEX(Venues!$H$2:$H$10,MATCH(S65,Venues!$A$2:$A$10,0)),"")</f>
        <v/>
      </c>
      <c r="W65" s="15">
        <f>IF('Pilot offer'!$C$24="Yes",'Pilot offer'!$C$3,S65)</f>
        <v/>
      </c>
      <c r="X65" s="42">
        <f>IF('Pilot offer'!$C$24="Yes",'Pilot offer'!$C$5+'Pilot offer'!$C$6,T65)</f>
        <v/>
      </c>
      <c r="Y65" s="15">
        <f>IF('Pilot offer'!$C$24="Yes",'Pilot offer'!$C$8,U65)</f>
        <v/>
      </c>
      <c r="Z65" s="43">
        <f>IF('Pilot offer'!$C$24="Yes",'Pilot offer'!$C$11,"")</f>
        <v/>
      </c>
      <c r="AA65" s="15">
        <f>IF(X65="","",W65&amp;" · "&amp;TEXT(X65,"ddd d mmm, hh:mm")&amp;" · "&amp;Y65&amp;IF(Z65&lt;&gt;""," · £"&amp;TEXT(Z65,"0.00")&amp;" per player"," · price TBC (cost £"&amp;TEXT(V65,"0.00")&amp;" pp)"))</f>
        <v/>
      </c>
      <c r="AD65" s="44" t="n"/>
    </row>
    <row r="66">
      <c r="A66" s="13" t="n">
        <v>64</v>
      </c>
      <c r="B66" s="13" t="inlineStr">
        <is>
          <t>1 · E2 Haggerston</t>
        </is>
      </c>
      <c r="C66" s="13" t="inlineStr">
        <is>
          <t>Office &amp; professional</t>
        </is>
      </c>
      <c r="D66" s="13" t="inlineStr">
        <is>
          <t>Corporate</t>
        </is>
      </c>
      <c r="E66" s="13" t="inlineStr">
        <is>
          <t>Docklands Accountancy</t>
        </is>
      </c>
      <c r="F66" s="13" t="inlineStr">
        <is>
          <t>finance</t>
        </is>
      </c>
      <c r="G66" s="13" t="inlineStr">
        <is>
          <t>info@docklandsacc.com</t>
        </is>
      </c>
      <c r="H66" s="13" t="inlineStr">
        <is>
          <t>general</t>
        </is>
      </c>
      <c r="I66" s="13" t="inlineStr">
        <is>
          <t>+44 20 7033 9123</t>
        </is>
      </c>
      <c r="J66" s="14" t="inlineStr">
        <is>
          <t>https://docklandsacc.com/</t>
        </is>
      </c>
      <c r="K66" s="13" t="inlineStr">
        <is>
          <t>10 Waterson St, London E2 8HE, UK</t>
        </is>
      </c>
      <c r="L66" s="13" t="inlineStr">
        <is>
          <t>E2 8HE</t>
        </is>
      </c>
      <c r="M66" s="13" t="inlineStr">
        <is>
          <t>Shoreditch Rooftop</t>
        </is>
      </c>
      <c r="N66" s="13" t="n">
        <v>13</v>
      </c>
      <c r="O66" s="15">
        <f>IFERROR(INDEX(Venues!$C$2:$C$10,MATCH(M66,Venues!$A$2:$A$10,0)),"Not checked")</f>
        <v/>
      </c>
      <c r="P66" s="15">
        <f>IFERROR(INDEX(Venues!$D$2:$D$10,MATCH(M66,Venues!$A$2:$A$10,0)),0)</f>
        <v/>
      </c>
      <c r="Q66" s="42">
        <f>IFERROR(INDEX(Venues!$E$2:$E$10,MATCH(M66,Venues!$A$2:$A$10,0)),"")</f>
        <v/>
      </c>
      <c r="R66" s="15">
        <f>IF(P66&gt;0,"Yes","No")</f>
        <v/>
      </c>
      <c r="S66" s="13" t="inlineStr">
        <is>
          <t>Shoreditch Rooftop</t>
        </is>
      </c>
      <c r="T66" s="42">
        <f>IFERROR(INDEX(Venues!$E$2:$E$10,MATCH(S66,Venues!$A$2:$A$10,0)),"")</f>
        <v/>
      </c>
      <c r="U66" s="15">
        <f>IFERROR(INDEX(Venues!$F$2:$F$10,MATCH(S66,Venues!$A$2:$A$10,0)),"")</f>
        <v/>
      </c>
      <c r="V66" s="43">
        <f>IFERROR(INDEX(Venues!$H$2:$H$10,MATCH(S66,Venues!$A$2:$A$10,0)),"")</f>
        <v/>
      </c>
      <c r="W66" s="15">
        <f>IF('Pilot offer'!$C$24="Yes",'Pilot offer'!$C$3,S66)</f>
        <v/>
      </c>
      <c r="X66" s="42">
        <f>IF('Pilot offer'!$C$24="Yes",'Pilot offer'!$C$5+'Pilot offer'!$C$6,T66)</f>
        <v/>
      </c>
      <c r="Y66" s="15">
        <f>IF('Pilot offer'!$C$24="Yes",'Pilot offer'!$C$8,U66)</f>
        <v/>
      </c>
      <c r="Z66" s="43">
        <f>IF('Pilot offer'!$C$24="Yes",'Pilot offer'!$C$11,"")</f>
        <v/>
      </c>
      <c r="AA66" s="15">
        <f>IF(X66="","",W66&amp;" · "&amp;TEXT(X66,"ddd d mmm, hh:mm")&amp;" · "&amp;Y66&amp;IF(Z66&lt;&gt;""," · £"&amp;TEXT(Z66,"0.00")&amp;" per player"," · price TBC (cost £"&amp;TEXT(V66,"0.00")&amp;" pp)"))</f>
        <v/>
      </c>
      <c r="AD66" s="44" t="n"/>
    </row>
    <row r="67">
      <c r="A67" s="13" t="n">
        <v>65</v>
      </c>
      <c r="B67" s="13" t="inlineStr">
        <is>
          <t>1 · E2 Haggerston</t>
        </is>
      </c>
      <c r="C67" s="13" t="inlineStr">
        <is>
          <t>Retail</t>
        </is>
      </c>
      <c r="D67" s="13" t="inlineStr">
        <is>
          <t>Local businesses</t>
        </is>
      </c>
      <c r="E67" s="13" t="inlineStr">
        <is>
          <t>Jackson's Framing</t>
        </is>
      </c>
      <c r="F67" s="13" t="inlineStr">
        <is>
          <t>shop: frame</t>
        </is>
      </c>
      <c r="G67" s="13" t="inlineStr">
        <is>
          <t>sales@jacksonsframing.co.uk</t>
        </is>
      </c>
      <c r="H67" s="13" t="inlineStr">
        <is>
          <t>openstreetmap_tag</t>
        </is>
      </c>
      <c r="I67" s="13" t="n"/>
      <c r="J67" s="14" t="inlineStr">
        <is>
          <t>jacksonsframing.co.uk</t>
        </is>
      </c>
      <c r="K67" s="13" t="inlineStr">
        <is>
          <t>Long Street 18 B, London</t>
        </is>
      </c>
      <c r="L67" s="13" t="inlineStr">
        <is>
          <t>E2 8HQ</t>
        </is>
      </c>
      <c r="M67" s="13" t="inlineStr">
        <is>
          <t>Shoreditch Rooftop</t>
        </is>
      </c>
      <c r="N67" s="13" t="n">
        <v>13</v>
      </c>
      <c r="O67" s="15">
        <f>IFERROR(INDEX(Venues!$C$2:$C$10,MATCH(M67,Venues!$A$2:$A$10,0)),"Not checked")</f>
        <v/>
      </c>
      <c r="P67" s="15">
        <f>IFERROR(INDEX(Venues!$D$2:$D$10,MATCH(M67,Venues!$A$2:$A$10,0)),0)</f>
        <v/>
      </c>
      <c r="Q67" s="42">
        <f>IFERROR(INDEX(Venues!$E$2:$E$10,MATCH(M67,Venues!$A$2:$A$10,0)),"")</f>
        <v/>
      </c>
      <c r="R67" s="15">
        <f>IF(P67&gt;0,"Yes","No")</f>
        <v/>
      </c>
      <c r="S67" s="13" t="inlineStr">
        <is>
          <t>Shoreditch Rooftop</t>
        </is>
      </c>
      <c r="T67" s="42">
        <f>IFERROR(INDEX(Venues!$E$2:$E$10,MATCH(S67,Venues!$A$2:$A$10,0)),"")</f>
        <v/>
      </c>
      <c r="U67" s="15">
        <f>IFERROR(INDEX(Venues!$F$2:$F$10,MATCH(S67,Venues!$A$2:$A$10,0)),"")</f>
        <v/>
      </c>
      <c r="V67" s="43">
        <f>IFERROR(INDEX(Venues!$H$2:$H$10,MATCH(S67,Venues!$A$2:$A$10,0)),"")</f>
        <v/>
      </c>
      <c r="W67" s="15">
        <f>IF('Pilot offer'!$C$24="Yes",'Pilot offer'!$C$3,S67)</f>
        <v/>
      </c>
      <c r="X67" s="42">
        <f>IF('Pilot offer'!$C$24="Yes",'Pilot offer'!$C$5+'Pilot offer'!$C$6,T67)</f>
        <v/>
      </c>
      <c r="Y67" s="15">
        <f>IF('Pilot offer'!$C$24="Yes",'Pilot offer'!$C$8,U67)</f>
        <v/>
      </c>
      <c r="Z67" s="43">
        <f>IF('Pilot offer'!$C$24="Yes",'Pilot offer'!$C$11,"")</f>
        <v/>
      </c>
      <c r="AA67" s="15">
        <f>IF(X67="","",W67&amp;" · "&amp;TEXT(X67,"ddd d mmm, hh:mm")&amp;" · "&amp;Y67&amp;IF(Z67&lt;&gt;""," · £"&amp;TEXT(Z67,"0.00")&amp;" per player"," · price TBC (cost £"&amp;TEXT(V67,"0.00")&amp;" pp)"))</f>
        <v/>
      </c>
      <c r="AD67" s="44" t="n"/>
    </row>
    <row r="68">
      <c r="A68" s="13" t="n">
        <v>66</v>
      </c>
      <c r="B68" s="13" t="inlineStr">
        <is>
          <t>1 · E2 Haggerston</t>
        </is>
      </c>
      <c r="C68" s="13" t="inlineStr">
        <is>
          <t>Leisure &amp; culture</t>
        </is>
      </c>
      <c r="D68" s="13" t="inlineStr">
        <is>
          <t>Local businesses</t>
        </is>
      </c>
      <c r="E68" s="13" t="inlineStr">
        <is>
          <t>Hundred Years Gallery</t>
        </is>
      </c>
      <c r="F68" s="13" t="inlineStr">
        <is>
          <t>tourism: gallery</t>
        </is>
      </c>
      <c r="G68" s="13" t="inlineStr">
        <is>
          <t>info@hundredyearsgallery.com</t>
        </is>
      </c>
      <c r="H68" s="13" t="inlineStr">
        <is>
          <t>openstreetmap_tag</t>
        </is>
      </c>
      <c r="I68" s="13" t="inlineStr">
        <is>
          <t>+44 20 3602 7973</t>
        </is>
      </c>
      <c r="J68" s="14" t="inlineStr">
        <is>
          <t>http://hundredyearsgallery.co.uk/</t>
        </is>
      </c>
      <c r="K68" s="13" t="inlineStr">
        <is>
          <t>Pearson Street 13, London</t>
        </is>
      </c>
      <c r="L68" s="13" t="inlineStr">
        <is>
          <t>E2 8JD</t>
        </is>
      </c>
      <c r="M68" s="13" t="inlineStr">
        <is>
          <t>Shoreditch Rooftop</t>
        </is>
      </c>
      <c r="N68" s="13" t="n">
        <v>9</v>
      </c>
      <c r="O68" s="15">
        <f>IFERROR(INDEX(Venues!$C$2:$C$10,MATCH(M68,Venues!$A$2:$A$10,0)),"Not checked")</f>
        <v/>
      </c>
      <c r="P68" s="15">
        <f>IFERROR(INDEX(Venues!$D$2:$D$10,MATCH(M68,Venues!$A$2:$A$10,0)),0)</f>
        <v/>
      </c>
      <c r="Q68" s="42">
        <f>IFERROR(INDEX(Venues!$E$2:$E$10,MATCH(M68,Venues!$A$2:$A$10,0)),"")</f>
        <v/>
      </c>
      <c r="R68" s="15">
        <f>IF(P68&gt;0,"Yes","No")</f>
        <v/>
      </c>
      <c r="S68" s="13" t="inlineStr">
        <is>
          <t>Shoreditch Rooftop</t>
        </is>
      </c>
      <c r="T68" s="42">
        <f>IFERROR(INDEX(Venues!$E$2:$E$10,MATCH(S68,Venues!$A$2:$A$10,0)),"")</f>
        <v/>
      </c>
      <c r="U68" s="15">
        <f>IFERROR(INDEX(Venues!$F$2:$F$10,MATCH(S68,Venues!$A$2:$A$10,0)),"")</f>
        <v/>
      </c>
      <c r="V68" s="43">
        <f>IFERROR(INDEX(Venues!$H$2:$H$10,MATCH(S68,Venues!$A$2:$A$10,0)),"")</f>
        <v/>
      </c>
      <c r="W68" s="15">
        <f>IF('Pilot offer'!$C$24="Yes",'Pilot offer'!$C$3,S68)</f>
        <v/>
      </c>
      <c r="X68" s="42">
        <f>IF('Pilot offer'!$C$24="Yes",'Pilot offer'!$C$5+'Pilot offer'!$C$6,T68)</f>
        <v/>
      </c>
      <c r="Y68" s="15">
        <f>IF('Pilot offer'!$C$24="Yes",'Pilot offer'!$C$8,U68)</f>
        <v/>
      </c>
      <c r="Z68" s="43">
        <f>IF('Pilot offer'!$C$24="Yes",'Pilot offer'!$C$11,"")</f>
        <v/>
      </c>
      <c r="AA68" s="15">
        <f>IF(X68="","",W68&amp;" · "&amp;TEXT(X68,"ddd d mmm, hh:mm")&amp;" · "&amp;Y68&amp;IF(Z68&lt;&gt;""," · £"&amp;TEXT(Z68,"0.00")&amp;" per player"," · price TBC (cost £"&amp;TEXT(V68,"0.00")&amp;" pp)"))</f>
        <v/>
      </c>
      <c r="AD68" s="44" t="n"/>
    </row>
    <row r="69">
      <c r="A69" s="13" t="n">
        <v>67</v>
      </c>
      <c r="B69" s="13" t="inlineStr">
        <is>
          <t>1 · E2 Haggerston</t>
        </is>
      </c>
      <c r="C69" s="13" t="inlineStr">
        <is>
          <t>Retail</t>
        </is>
      </c>
      <c r="D69" s="13" t="inlineStr">
        <is>
          <t>Local businesses</t>
        </is>
      </c>
      <c r="E69" s="13" t="inlineStr">
        <is>
          <t>Love Vinyl</t>
        </is>
      </c>
      <c r="F69" s="13" t="inlineStr">
        <is>
          <t>shop: music</t>
        </is>
      </c>
      <c r="G69" s="13" t="inlineStr">
        <is>
          <t>lovevinylldn@gmail.com</t>
        </is>
      </c>
      <c r="H69" s="13" t="inlineStr">
        <is>
          <t>openstreetmap_tag</t>
        </is>
      </c>
      <c r="I69" s="13" t="inlineStr">
        <is>
          <t>+44 20 7729 8978</t>
        </is>
      </c>
      <c r="J69" s="14" t="inlineStr">
        <is>
          <t>https://lovevinyl.net/</t>
        </is>
      </c>
      <c r="K69" s="13" t="inlineStr">
        <is>
          <t>Pearson Street 5, London</t>
        </is>
      </c>
      <c r="L69" s="13" t="inlineStr">
        <is>
          <t>E2 8JD</t>
        </is>
      </c>
      <c r="M69" s="13" t="inlineStr">
        <is>
          <t>Shoreditch Rooftop</t>
        </is>
      </c>
      <c r="N69" s="13" t="n">
        <v>9</v>
      </c>
      <c r="O69" s="15">
        <f>IFERROR(INDEX(Venues!$C$2:$C$10,MATCH(M69,Venues!$A$2:$A$10,0)),"Not checked")</f>
        <v/>
      </c>
      <c r="P69" s="15">
        <f>IFERROR(INDEX(Venues!$D$2:$D$10,MATCH(M69,Venues!$A$2:$A$10,0)),0)</f>
        <v/>
      </c>
      <c r="Q69" s="42">
        <f>IFERROR(INDEX(Venues!$E$2:$E$10,MATCH(M69,Venues!$A$2:$A$10,0)),"")</f>
        <v/>
      </c>
      <c r="R69" s="15">
        <f>IF(P69&gt;0,"Yes","No")</f>
        <v/>
      </c>
      <c r="S69" s="13" t="inlineStr">
        <is>
          <t>Shoreditch Rooftop</t>
        </is>
      </c>
      <c r="T69" s="42">
        <f>IFERROR(INDEX(Venues!$E$2:$E$10,MATCH(S69,Venues!$A$2:$A$10,0)),"")</f>
        <v/>
      </c>
      <c r="U69" s="15">
        <f>IFERROR(INDEX(Venues!$F$2:$F$10,MATCH(S69,Venues!$A$2:$A$10,0)),"")</f>
        <v/>
      </c>
      <c r="V69" s="43">
        <f>IFERROR(INDEX(Venues!$H$2:$H$10,MATCH(S69,Venues!$A$2:$A$10,0)),"")</f>
        <v/>
      </c>
      <c r="W69" s="15">
        <f>IF('Pilot offer'!$C$24="Yes",'Pilot offer'!$C$3,S69)</f>
        <v/>
      </c>
      <c r="X69" s="42">
        <f>IF('Pilot offer'!$C$24="Yes",'Pilot offer'!$C$5+'Pilot offer'!$C$6,T69)</f>
        <v/>
      </c>
      <c r="Y69" s="15">
        <f>IF('Pilot offer'!$C$24="Yes",'Pilot offer'!$C$8,U69)</f>
        <v/>
      </c>
      <c r="Z69" s="43">
        <f>IF('Pilot offer'!$C$24="Yes",'Pilot offer'!$C$11,"")</f>
        <v/>
      </c>
      <c r="AA69" s="15">
        <f>IF(X69="","",W69&amp;" · "&amp;TEXT(X69,"ddd d mmm, hh:mm")&amp;" · "&amp;Y69&amp;IF(Z69&lt;&gt;""," · £"&amp;TEXT(Z69,"0.00")&amp;" per player"," · price TBC (cost £"&amp;TEXT(V69,"0.00")&amp;" pp)"))</f>
        <v/>
      </c>
      <c r="AD69" s="44" t="n"/>
    </row>
    <row r="70">
      <c r="A70" s="13" t="n">
        <v>68</v>
      </c>
      <c r="B70" s="13" t="inlineStr">
        <is>
          <t>1 · E2 Haggerston</t>
        </is>
      </c>
      <c r="C70" s="13" t="inlineStr">
        <is>
          <t>Office &amp; professional</t>
        </is>
      </c>
      <c r="D70" s="13" t="inlineStr">
        <is>
          <t>Corporate</t>
        </is>
      </c>
      <c r="E70" s="13" t="inlineStr">
        <is>
          <t>Chilled Consulting</t>
        </is>
      </c>
      <c r="F70" s="13" t="inlineStr">
        <is>
          <t>finance</t>
        </is>
      </c>
      <c r="G70" s="13" t="inlineStr">
        <is>
          <t>chilledconsulting@outlook.com</t>
        </is>
      </c>
      <c r="H70" s="13" t="inlineStr">
        <is>
          <t>freemail</t>
        </is>
      </c>
      <c r="I70" s="13" t="n"/>
      <c r="J70" s="14" t="inlineStr">
        <is>
          <t>https://www.chilledconsulting.com/</t>
        </is>
      </c>
      <c r="K70" s="13" t="inlineStr">
        <is>
          <t>Shoreditch Exchange, Gorsuch Pl, London E2 8JF, UK</t>
        </is>
      </c>
      <c r="L70" s="13" t="inlineStr">
        <is>
          <t>E2 8JF</t>
        </is>
      </c>
      <c r="M70" s="13" t="inlineStr">
        <is>
          <t>Shoreditch Rooftop</t>
        </is>
      </c>
      <c r="N70" s="13" t="n">
        <v>12</v>
      </c>
      <c r="O70" s="15">
        <f>IFERROR(INDEX(Venues!$C$2:$C$10,MATCH(M70,Venues!$A$2:$A$10,0)),"Not checked")</f>
        <v/>
      </c>
      <c r="P70" s="15">
        <f>IFERROR(INDEX(Venues!$D$2:$D$10,MATCH(M70,Venues!$A$2:$A$10,0)),0)</f>
        <v/>
      </c>
      <c r="Q70" s="42">
        <f>IFERROR(INDEX(Venues!$E$2:$E$10,MATCH(M70,Venues!$A$2:$A$10,0)),"")</f>
        <v/>
      </c>
      <c r="R70" s="15">
        <f>IF(P70&gt;0,"Yes","No")</f>
        <v/>
      </c>
      <c r="S70" s="13" t="inlineStr">
        <is>
          <t>Shoreditch Rooftop</t>
        </is>
      </c>
      <c r="T70" s="42">
        <f>IFERROR(INDEX(Venues!$E$2:$E$10,MATCH(S70,Venues!$A$2:$A$10,0)),"")</f>
        <v/>
      </c>
      <c r="U70" s="15">
        <f>IFERROR(INDEX(Venues!$F$2:$F$10,MATCH(S70,Venues!$A$2:$A$10,0)),"")</f>
        <v/>
      </c>
      <c r="V70" s="43">
        <f>IFERROR(INDEX(Venues!$H$2:$H$10,MATCH(S70,Venues!$A$2:$A$10,0)),"")</f>
        <v/>
      </c>
      <c r="W70" s="15">
        <f>IF('Pilot offer'!$C$24="Yes",'Pilot offer'!$C$3,S70)</f>
        <v/>
      </c>
      <c r="X70" s="42">
        <f>IF('Pilot offer'!$C$24="Yes",'Pilot offer'!$C$5+'Pilot offer'!$C$6,T70)</f>
        <v/>
      </c>
      <c r="Y70" s="15">
        <f>IF('Pilot offer'!$C$24="Yes",'Pilot offer'!$C$8,U70)</f>
        <v/>
      </c>
      <c r="Z70" s="43">
        <f>IF('Pilot offer'!$C$24="Yes",'Pilot offer'!$C$11,"")</f>
        <v/>
      </c>
      <c r="AA70" s="15">
        <f>IF(X70="","",W70&amp;" · "&amp;TEXT(X70,"ddd d mmm, hh:mm")&amp;" · "&amp;Y70&amp;IF(Z70&lt;&gt;""," · £"&amp;TEXT(Z70,"0.00")&amp;" per player"," · price TBC (cost £"&amp;TEXT(V70,"0.00")&amp;" pp)"))</f>
        <v/>
      </c>
      <c r="AD70" s="44" t="n"/>
    </row>
    <row r="71">
      <c r="A71" s="13" t="n">
        <v>69</v>
      </c>
      <c r="B71" s="13" t="inlineStr">
        <is>
          <t>1 · E2 Haggerston</t>
        </is>
      </c>
      <c r="C71" s="13" t="inlineStr">
        <is>
          <t>Office &amp; professional</t>
        </is>
      </c>
      <c r="D71" s="13" t="inlineStr">
        <is>
          <t>Corporate</t>
        </is>
      </c>
      <c r="E71" s="13" t="inlineStr">
        <is>
          <t>Grammatik Agency</t>
        </is>
      </c>
      <c r="F71" s="13" t="inlineStr">
        <is>
          <t>consultant</t>
        </is>
      </c>
      <c r="G71" s="13" t="inlineStr">
        <is>
          <t>contact@grammatikagency.com</t>
        </is>
      </c>
      <c r="H71" s="13" t="inlineStr">
        <is>
          <t>general</t>
        </is>
      </c>
      <c r="I71" s="13" t="inlineStr">
        <is>
          <t>+44 20 3950 7057</t>
        </is>
      </c>
      <c r="J71" s="14" t="inlineStr">
        <is>
          <t>http://grammatikagency.com/</t>
        </is>
      </c>
      <c r="K71" s="13" t="inlineStr">
        <is>
          <t>Shoreditch Exchange, Senna Building, Gorsuch Pl, London E2 8JF, UK</t>
        </is>
      </c>
      <c r="L71" s="13" t="inlineStr">
        <is>
          <t>E2 8JF</t>
        </is>
      </c>
      <c r="M71" s="13" t="inlineStr">
        <is>
          <t>Shoreditch Rooftop</t>
        </is>
      </c>
      <c r="N71" s="13" t="n">
        <v>12</v>
      </c>
      <c r="O71" s="15">
        <f>IFERROR(INDEX(Venues!$C$2:$C$10,MATCH(M71,Venues!$A$2:$A$10,0)),"Not checked")</f>
        <v/>
      </c>
      <c r="P71" s="15">
        <f>IFERROR(INDEX(Venues!$D$2:$D$10,MATCH(M71,Venues!$A$2:$A$10,0)),0)</f>
        <v/>
      </c>
      <c r="Q71" s="42">
        <f>IFERROR(INDEX(Venues!$E$2:$E$10,MATCH(M71,Venues!$A$2:$A$10,0)),"")</f>
        <v/>
      </c>
      <c r="R71" s="15">
        <f>IF(P71&gt;0,"Yes","No")</f>
        <v/>
      </c>
      <c r="S71" s="13" t="inlineStr">
        <is>
          <t>Shoreditch Rooftop</t>
        </is>
      </c>
      <c r="T71" s="42">
        <f>IFERROR(INDEX(Venues!$E$2:$E$10,MATCH(S71,Venues!$A$2:$A$10,0)),"")</f>
        <v/>
      </c>
      <c r="U71" s="15">
        <f>IFERROR(INDEX(Venues!$F$2:$F$10,MATCH(S71,Venues!$A$2:$A$10,0)),"")</f>
        <v/>
      </c>
      <c r="V71" s="43">
        <f>IFERROR(INDEX(Venues!$H$2:$H$10,MATCH(S71,Venues!$A$2:$A$10,0)),"")</f>
        <v/>
      </c>
      <c r="W71" s="15">
        <f>IF('Pilot offer'!$C$24="Yes",'Pilot offer'!$C$3,S71)</f>
        <v/>
      </c>
      <c r="X71" s="42">
        <f>IF('Pilot offer'!$C$24="Yes",'Pilot offer'!$C$5+'Pilot offer'!$C$6,T71)</f>
        <v/>
      </c>
      <c r="Y71" s="15">
        <f>IF('Pilot offer'!$C$24="Yes",'Pilot offer'!$C$8,U71)</f>
        <v/>
      </c>
      <c r="Z71" s="43">
        <f>IF('Pilot offer'!$C$24="Yes",'Pilot offer'!$C$11,"")</f>
        <v/>
      </c>
      <c r="AA71" s="15">
        <f>IF(X71="","",W71&amp;" · "&amp;TEXT(X71,"ddd d mmm, hh:mm")&amp;" · "&amp;Y71&amp;IF(Z71&lt;&gt;""," · £"&amp;TEXT(Z71,"0.00")&amp;" per player"," · price TBC (cost £"&amp;TEXT(V71,"0.00")&amp;" pp)"))</f>
        <v/>
      </c>
      <c r="AD71" s="44" t="n"/>
    </row>
    <row r="72">
      <c r="A72" s="13" t="n">
        <v>70</v>
      </c>
      <c r="B72" s="13" t="inlineStr">
        <is>
          <t>1 · E2 Haggerston</t>
        </is>
      </c>
      <c r="C72" s="13" t="inlineStr">
        <is>
          <t>Coworking / shared office</t>
        </is>
      </c>
      <c r="D72" s="13" t="inlineStr">
        <is>
          <t>Corporate</t>
        </is>
      </c>
      <c r="E72" s="13" t="inlineStr">
        <is>
          <t>Shoreditch Exchange</t>
        </is>
      </c>
      <c r="F72" s="13" t="inlineStr">
        <is>
          <t>coworking</t>
        </is>
      </c>
      <c r="G72" s="13" t="inlineStr">
        <is>
          <t>marketing@withoneder.com</t>
        </is>
      </c>
      <c r="H72" s="13" t="inlineStr">
        <is>
          <t>people_team</t>
        </is>
      </c>
      <c r="I72" s="13" t="inlineStr">
        <is>
          <t>+44 20 8050 3325</t>
        </is>
      </c>
      <c r="J72" s="14" t="inlineStr">
        <is>
          <t>https://shoreditch-exchange.com/</t>
        </is>
      </c>
      <c r="K72" s="13" t="inlineStr">
        <is>
          <t>Gorsuch Place, London</t>
        </is>
      </c>
      <c r="L72" s="13" t="inlineStr">
        <is>
          <t>E2 8JF</t>
        </is>
      </c>
      <c r="M72" s="13" t="inlineStr">
        <is>
          <t>Shoreditch Rooftop</t>
        </is>
      </c>
      <c r="N72" s="13" t="n">
        <v>12</v>
      </c>
      <c r="O72" s="15">
        <f>IFERROR(INDEX(Venues!$C$2:$C$10,MATCH(M72,Venues!$A$2:$A$10,0)),"Not checked")</f>
        <v/>
      </c>
      <c r="P72" s="15">
        <f>IFERROR(INDEX(Venues!$D$2:$D$10,MATCH(M72,Venues!$A$2:$A$10,0)),0)</f>
        <v/>
      </c>
      <c r="Q72" s="42">
        <f>IFERROR(INDEX(Venues!$E$2:$E$10,MATCH(M72,Venues!$A$2:$A$10,0)),"")</f>
        <v/>
      </c>
      <c r="R72" s="15">
        <f>IF(P72&gt;0,"Yes","No")</f>
        <v/>
      </c>
      <c r="S72" s="13" t="inlineStr">
        <is>
          <t>Shoreditch Rooftop</t>
        </is>
      </c>
      <c r="T72" s="42">
        <f>IFERROR(INDEX(Venues!$E$2:$E$10,MATCH(S72,Venues!$A$2:$A$10,0)),"")</f>
        <v/>
      </c>
      <c r="U72" s="15">
        <f>IFERROR(INDEX(Venues!$F$2:$F$10,MATCH(S72,Venues!$A$2:$A$10,0)),"")</f>
        <v/>
      </c>
      <c r="V72" s="43">
        <f>IFERROR(INDEX(Venues!$H$2:$H$10,MATCH(S72,Venues!$A$2:$A$10,0)),"")</f>
        <v/>
      </c>
      <c r="W72" s="15">
        <f>IF('Pilot offer'!$C$24="Yes",'Pilot offer'!$C$3,S72)</f>
        <v/>
      </c>
      <c r="X72" s="42">
        <f>IF('Pilot offer'!$C$24="Yes",'Pilot offer'!$C$5+'Pilot offer'!$C$6,T72)</f>
        <v/>
      </c>
      <c r="Y72" s="15">
        <f>IF('Pilot offer'!$C$24="Yes",'Pilot offer'!$C$8,U72)</f>
        <v/>
      </c>
      <c r="Z72" s="43">
        <f>IF('Pilot offer'!$C$24="Yes",'Pilot offer'!$C$11,"")</f>
        <v/>
      </c>
      <c r="AA72" s="15">
        <f>IF(X72="","",W72&amp;" · "&amp;TEXT(X72,"ddd d mmm, hh:mm")&amp;" · "&amp;Y72&amp;IF(Z72&lt;&gt;""," · £"&amp;TEXT(Z72,"0.00")&amp;" per player"," · price TBC (cost £"&amp;TEXT(V72,"0.00")&amp;" pp)"))</f>
        <v/>
      </c>
      <c r="AD72" s="44" t="n"/>
    </row>
    <row r="73">
      <c r="A73" s="13" t="n">
        <v>71</v>
      </c>
      <c r="B73" s="13" t="inlineStr">
        <is>
          <t>1 · E2 Haggerston</t>
        </is>
      </c>
      <c r="C73" s="13" t="inlineStr">
        <is>
          <t>Hospitality</t>
        </is>
      </c>
      <c r="D73" s="13" t="inlineStr">
        <is>
          <t>Local businesses</t>
        </is>
      </c>
      <c r="E73" s="13" t="inlineStr">
        <is>
          <t>Sager + Wilde</t>
        </is>
      </c>
      <c r="F73" s="13" t="inlineStr">
        <is>
          <t>amenity: bar</t>
        </is>
      </c>
      <c r="G73" s="13" t="inlineStr">
        <is>
          <t>hello@sagerandwilde.com</t>
        </is>
      </c>
      <c r="H73" s="13" t="inlineStr">
        <is>
          <t>general</t>
        </is>
      </c>
      <c r="I73" s="13" t="inlineStr">
        <is>
          <t>+44 7761 168529</t>
        </is>
      </c>
      <c r="J73" s="14" t="inlineStr">
        <is>
          <t>https://www.sagerandwilde.com/</t>
        </is>
      </c>
      <c r="K73" s="13" t="inlineStr">
        <is>
          <t>Hackney Road 193, London</t>
        </is>
      </c>
      <c r="L73" s="13" t="inlineStr">
        <is>
          <t>E2 8JL</t>
        </is>
      </c>
      <c r="M73" s="13" t="inlineStr">
        <is>
          <t>Shoreditch Rooftop</t>
        </is>
      </c>
      <c r="N73" s="13" t="n">
        <v>14</v>
      </c>
      <c r="O73" s="15">
        <f>IFERROR(INDEX(Venues!$C$2:$C$10,MATCH(M73,Venues!$A$2:$A$10,0)),"Not checked")</f>
        <v/>
      </c>
      <c r="P73" s="15">
        <f>IFERROR(INDEX(Venues!$D$2:$D$10,MATCH(M73,Venues!$A$2:$A$10,0)),0)</f>
        <v/>
      </c>
      <c r="Q73" s="42">
        <f>IFERROR(INDEX(Venues!$E$2:$E$10,MATCH(M73,Venues!$A$2:$A$10,0)),"")</f>
        <v/>
      </c>
      <c r="R73" s="15">
        <f>IF(P73&gt;0,"Yes","No")</f>
        <v/>
      </c>
      <c r="S73" s="13" t="inlineStr">
        <is>
          <t>Shoreditch Rooftop</t>
        </is>
      </c>
      <c r="T73" s="42">
        <f>IFERROR(INDEX(Venues!$E$2:$E$10,MATCH(S73,Venues!$A$2:$A$10,0)),"")</f>
        <v/>
      </c>
      <c r="U73" s="15">
        <f>IFERROR(INDEX(Venues!$F$2:$F$10,MATCH(S73,Venues!$A$2:$A$10,0)),"")</f>
        <v/>
      </c>
      <c r="V73" s="43">
        <f>IFERROR(INDEX(Venues!$H$2:$H$10,MATCH(S73,Venues!$A$2:$A$10,0)),"")</f>
        <v/>
      </c>
      <c r="W73" s="15">
        <f>IF('Pilot offer'!$C$24="Yes",'Pilot offer'!$C$3,S73)</f>
        <v/>
      </c>
      <c r="X73" s="42">
        <f>IF('Pilot offer'!$C$24="Yes",'Pilot offer'!$C$5+'Pilot offer'!$C$6,T73)</f>
        <v/>
      </c>
      <c r="Y73" s="15">
        <f>IF('Pilot offer'!$C$24="Yes",'Pilot offer'!$C$8,U73)</f>
        <v/>
      </c>
      <c r="Z73" s="43">
        <f>IF('Pilot offer'!$C$24="Yes",'Pilot offer'!$C$11,"")</f>
        <v/>
      </c>
      <c r="AA73" s="15">
        <f>IF(X73="","",W73&amp;" · "&amp;TEXT(X73,"ddd d mmm, hh:mm")&amp;" · "&amp;Y73&amp;IF(Z73&lt;&gt;""," · £"&amp;TEXT(Z73,"0.00")&amp;" per player"," · price TBC (cost £"&amp;TEXT(V73,"0.00")&amp;" pp)"))</f>
        <v/>
      </c>
      <c r="AD73" s="44" t="n"/>
    </row>
    <row r="74">
      <c r="A74" s="13" t="n">
        <v>72</v>
      </c>
      <c r="B74" s="13" t="inlineStr">
        <is>
          <t>1 · E2 Haggerston</t>
        </is>
      </c>
      <c r="C74" s="13" t="inlineStr">
        <is>
          <t>Hospitality</t>
        </is>
      </c>
      <c r="D74" s="13" t="inlineStr">
        <is>
          <t>Local businesses</t>
        </is>
      </c>
      <c r="E74" s="13" t="inlineStr">
        <is>
          <t>The Premises Cafe</t>
        </is>
      </c>
      <c r="F74" s="13" t="inlineStr">
        <is>
          <t>amenity: restaurant</t>
        </is>
      </c>
      <c r="G74" s="13" t="inlineStr">
        <is>
          <t>bookings@premisesstudios.com</t>
        </is>
      </c>
      <c r="H74" s="13" t="inlineStr">
        <is>
          <t>commercial</t>
        </is>
      </c>
      <c r="I74" s="13" t="inlineStr">
        <is>
          <t>+44 20 7684 2230</t>
        </is>
      </c>
      <c r="J74" s="14" t="inlineStr">
        <is>
          <t>https://www.premisesstudios.com/cafe/</t>
        </is>
      </c>
      <c r="K74" s="13" t="inlineStr">
        <is>
          <t>Hackney Road 209, London</t>
        </is>
      </c>
      <c r="L74" s="13" t="inlineStr">
        <is>
          <t>E2 8JL</t>
        </is>
      </c>
      <c r="M74" s="13" t="inlineStr">
        <is>
          <t>Shoreditch Rooftop</t>
        </is>
      </c>
      <c r="N74" s="13" t="n">
        <v>15</v>
      </c>
      <c r="O74" s="15">
        <f>IFERROR(INDEX(Venues!$C$2:$C$10,MATCH(M74,Venues!$A$2:$A$10,0)),"Not checked")</f>
        <v/>
      </c>
      <c r="P74" s="15">
        <f>IFERROR(INDEX(Venues!$D$2:$D$10,MATCH(M74,Venues!$A$2:$A$10,0)),0)</f>
        <v/>
      </c>
      <c r="Q74" s="42">
        <f>IFERROR(INDEX(Venues!$E$2:$E$10,MATCH(M74,Venues!$A$2:$A$10,0)),"")</f>
        <v/>
      </c>
      <c r="R74" s="15">
        <f>IF(P74&gt;0,"Yes","No")</f>
        <v/>
      </c>
      <c r="S74" s="13" t="inlineStr">
        <is>
          <t>Shoreditch Rooftop</t>
        </is>
      </c>
      <c r="T74" s="42">
        <f>IFERROR(INDEX(Venues!$E$2:$E$10,MATCH(S74,Venues!$A$2:$A$10,0)),"")</f>
        <v/>
      </c>
      <c r="U74" s="15">
        <f>IFERROR(INDEX(Venues!$F$2:$F$10,MATCH(S74,Venues!$A$2:$A$10,0)),"")</f>
        <v/>
      </c>
      <c r="V74" s="43">
        <f>IFERROR(INDEX(Venues!$H$2:$H$10,MATCH(S74,Venues!$A$2:$A$10,0)),"")</f>
        <v/>
      </c>
      <c r="W74" s="15">
        <f>IF('Pilot offer'!$C$24="Yes",'Pilot offer'!$C$3,S74)</f>
        <v/>
      </c>
      <c r="X74" s="42">
        <f>IF('Pilot offer'!$C$24="Yes",'Pilot offer'!$C$5+'Pilot offer'!$C$6,T74)</f>
        <v/>
      </c>
      <c r="Y74" s="15">
        <f>IF('Pilot offer'!$C$24="Yes",'Pilot offer'!$C$8,U74)</f>
        <v/>
      </c>
      <c r="Z74" s="43">
        <f>IF('Pilot offer'!$C$24="Yes",'Pilot offer'!$C$11,"")</f>
        <v/>
      </c>
      <c r="AA74" s="15">
        <f>IF(X74="","",W74&amp;" · "&amp;TEXT(X74,"ddd d mmm, hh:mm")&amp;" · "&amp;Y74&amp;IF(Z74&lt;&gt;""," · £"&amp;TEXT(Z74,"0.00")&amp;" per player"," · price TBC (cost £"&amp;TEXT(V74,"0.00")&amp;" pp)"))</f>
        <v/>
      </c>
      <c r="AD74" s="44" t="n"/>
    </row>
    <row r="75">
      <c r="A75" s="13" t="n">
        <v>73</v>
      </c>
      <c r="B75" s="13" t="inlineStr">
        <is>
          <t>1 · E2 Haggerston</t>
        </is>
      </c>
      <c r="C75" s="13" t="inlineStr">
        <is>
          <t>Education</t>
        </is>
      </c>
      <c r="D75" s="13" t="inlineStr">
        <is>
          <t>Local businesses</t>
        </is>
      </c>
      <c r="E75" s="13" t="inlineStr">
        <is>
          <t>Haggerston School</t>
        </is>
      </c>
      <c r="F75" s="13" t="inlineStr">
        <is>
          <t>amenity: school</t>
        </is>
      </c>
      <c r="G75" s="13" t="inlineStr">
        <is>
          <t>haggerstonschool@haggerstoncst.org</t>
        </is>
      </c>
      <c r="H75" s="13" t="inlineStr">
        <is>
          <t>person_or_other</t>
        </is>
      </c>
      <c r="I75" s="13" t="inlineStr">
        <is>
          <t>+44 20 7739 7324</t>
        </is>
      </c>
      <c r="J75" s="14" t="inlineStr">
        <is>
          <t>https://www.haggerstoncst.org/</t>
        </is>
      </c>
      <c r="K75" s="13" t="inlineStr">
        <is>
          <t>Weymouth Terrace, London</t>
        </is>
      </c>
      <c r="L75" s="13" t="inlineStr">
        <is>
          <t>E2 8LS</t>
        </is>
      </c>
      <c r="M75" s="13" t="inlineStr">
        <is>
          <t>Shoreditch Rooftop</t>
        </is>
      </c>
      <c r="N75" s="13" t="n">
        <v>15</v>
      </c>
      <c r="O75" s="15">
        <f>IFERROR(INDEX(Venues!$C$2:$C$10,MATCH(M75,Venues!$A$2:$A$10,0)),"Not checked")</f>
        <v/>
      </c>
      <c r="P75" s="15">
        <f>IFERROR(INDEX(Venues!$D$2:$D$10,MATCH(M75,Venues!$A$2:$A$10,0)),0)</f>
        <v/>
      </c>
      <c r="Q75" s="42">
        <f>IFERROR(INDEX(Venues!$E$2:$E$10,MATCH(M75,Venues!$A$2:$A$10,0)),"")</f>
        <v/>
      </c>
      <c r="R75" s="15">
        <f>IF(P75&gt;0,"Yes","No")</f>
        <v/>
      </c>
      <c r="S75" s="13" t="inlineStr">
        <is>
          <t>Shoreditch Rooftop</t>
        </is>
      </c>
      <c r="T75" s="42">
        <f>IFERROR(INDEX(Venues!$E$2:$E$10,MATCH(S75,Venues!$A$2:$A$10,0)),"")</f>
        <v/>
      </c>
      <c r="U75" s="15">
        <f>IFERROR(INDEX(Venues!$F$2:$F$10,MATCH(S75,Venues!$A$2:$A$10,0)),"")</f>
        <v/>
      </c>
      <c r="V75" s="43">
        <f>IFERROR(INDEX(Venues!$H$2:$H$10,MATCH(S75,Venues!$A$2:$A$10,0)),"")</f>
        <v/>
      </c>
      <c r="W75" s="15">
        <f>IF('Pilot offer'!$C$24="Yes",'Pilot offer'!$C$3,S75)</f>
        <v/>
      </c>
      <c r="X75" s="42">
        <f>IF('Pilot offer'!$C$24="Yes",'Pilot offer'!$C$5+'Pilot offer'!$C$6,T75)</f>
        <v/>
      </c>
      <c r="Y75" s="15">
        <f>IF('Pilot offer'!$C$24="Yes",'Pilot offer'!$C$8,U75)</f>
        <v/>
      </c>
      <c r="Z75" s="43">
        <f>IF('Pilot offer'!$C$24="Yes",'Pilot offer'!$C$11,"")</f>
        <v/>
      </c>
      <c r="AA75" s="15">
        <f>IF(X75="","",W75&amp;" · "&amp;TEXT(X75,"ddd d mmm, hh:mm")&amp;" · "&amp;Y75&amp;IF(Z75&lt;&gt;""," · £"&amp;TEXT(Z75,"0.00")&amp;" per player"," · price TBC (cost £"&amp;TEXT(V75,"0.00")&amp;" pp)"))</f>
        <v/>
      </c>
      <c r="AD75" s="44" t="n"/>
    </row>
    <row r="76">
      <c r="A76" s="13" t="n">
        <v>74</v>
      </c>
      <c r="B76" s="13" t="inlineStr">
        <is>
          <t>1 · E2 Haggerston</t>
        </is>
      </c>
      <c r="C76" s="13" t="inlineStr">
        <is>
          <t>Hospitality</t>
        </is>
      </c>
      <c r="D76" s="13" t="inlineStr">
        <is>
          <t>Local businesses</t>
        </is>
      </c>
      <c r="E76" s="13" t="inlineStr">
        <is>
          <t>Equal Parts</t>
        </is>
      </c>
      <c r="F76" s="13" t="inlineStr">
        <is>
          <t>amenity: bar</t>
        </is>
      </c>
      <c r="G76" s="13" t="inlineStr">
        <is>
          <t>hello@equalpartslondon.com</t>
        </is>
      </c>
      <c r="H76" s="13" t="inlineStr">
        <is>
          <t>openstreetmap_tag</t>
        </is>
      </c>
      <c r="I76" s="13" t="n"/>
      <c r="J76" s="14" t="inlineStr">
        <is>
          <t>https://www.equalpartslondon.com/</t>
        </is>
      </c>
      <c r="K76" s="13" t="inlineStr">
        <is>
          <t>Hackney Road 245, London</t>
        </is>
      </c>
      <c r="L76" s="13" t="inlineStr">
        <is>
          <t>E2 8NA</t>
        </is>
      </c>
      <c r="M76" s="13" t="inlineStr">
        <is>
          <t>Shoreditch Rooftop</t>
        </is>
      </c>
      <c r="N76" s="13" t="n">
        <v>17</v>
      </c>
      <c r="O76" s="15">
        <f>IFERROR(INDEX(Venues!$C$2:$C$10,MATCH(M76,Venues!$A$2:$A$10,0)),"Not checked")</f>
        <v/>
      </c>
      <c r="P76" s="15">
        <f>IFERROR(INDEX(Venues!$D$2:$D$10,MATCH(M76,Venues!$A$2:$A$10,0)),0)</f>
        <v/>
      </c>
      <c r="Q76" s="42">
        <f>IFERROR(INDEX(Venues!$E$2:$E$10,MATCH(M76,Venues!$A$2:$A$10,0)),"")</f>
        <v/>
      </c>
      <c r="R76" s="15">
        <f>IF(P76&gt;0,"Yes","No")</f>
        <v/>
      </c>
      <c r="S76" s="13" t="inlineStr">
        <is>
          <t>Shoreditch Rooftop</t>
        </is>
      </c>
      <c r="T76" s="42">
        <f>IFERROR(INDEX(Venues!$E$2:$E$10,MATCH(S76,Venues!$A$2:$A$10,0)),"")</f>
        <v/>
      </c>
      <c r="U76" s="15">
        <f>IFERROR(INDEX(Venues!$F$2:$F$10,MATCH(S76,Venues!$A$2:$A$10,0)),"")</f>
        <v/>
      </c>
      <c r="V76" s="43">
        <f>IFERROR(INDEX(Venues!$H$2:$H$10,MATCH(S76,Venues!$A$2:$A$10,0)),"")</f>
        <v/>
      </c>
      <c r="W76" s="15">
        <f>IF('Pilot offer'!$C$24="Yes",'Pilot offer'!$C$3,S76)</f>
        <v/>
      </c>
      <c r="X76" s="42">
        <f>IF('Pilot offer'!$C$24="Yes",'Pilot offer'!$C$5+'Pilot offer'!$C$6,T76)</f>
        <v/>
      </c>
      <c r="Y76" s="15">
        <f>IF('Pilot offer'!$C$24="Yes",'Pilot offer'!$C$8,U76)</f>
        <v/>
      </c>
      <c r="Z76" s="43">
        <f>IF('Pilot offer'!$C$24="Yes",'Pilot offer'!$C$11,"")</f>
        <v/>
      </c>
      <c r="AA76" s="15">
        <f>IF(X76="","",W76&amp;" · "&amp;TEXT(X76,"ddd d mmm, hh:mm")&amp;" · "&amp;Y76&amp;IF(Z76&lt;&gt;""," · £"&amp;TEXT(Z76,"0.00")&amp;" per player"," · price TBC (cost £"&amp;TEXT(V76,"0.00")&amp;" pp)"))</f>
        <v/>
      </c>
      <c r="AD76" s="44" t="n"/>
    </row>
    <row r="77">
      <c r="A77" s="13" t="n">
        <v>75</v>
      </c>
      <c r="B77" s="13" t="inlineStr">
        <is>
          <t>1 · E2 Haggerston</t>
        </is>
      </c>
      <c r="C77" s="13" t="inlineStr">
        <is>
          <t>Retail</t>
        </is>
      </c>
      <c r="D77" s="13" t="inlineStr">
        <is>
          <t>Local businesses</t>
        </is>
      </c>
      <c r="E77" s="13" t="inlineStr">
        <is>
          <t>Fish Planet London</t>
        </is>
      </c>
      <c r="F77" s="13" t="inlineStr">
        <is>
          <t>shop: pet</t>
        </is>
      </c>
      <c r="G77" s="13" t="inlineStr">
        <is>
          <t>fishplanetlondon@gmail.com</t>
        </is>
      </c>
      <c r="H77" s="13" t="inlineStr">
        <is>
          <t>freemail</t>
        </is>
      </c>
      <c r="I77" s="13" t="inlineStr">
        <is>
          <t>+44 20 4625 9881</t>
        </is>
      </c>
      <c r="J77" s="14" t="inlineStr">
        <is>
          <t>https://fishplanetlondon.co.uk/</t>
        </is>
      </c>
      <c r="K77" s="13" t="inlineStr">
        <is>
          <t>Scawfell Street 6, London</t>
        </is>
      </c>
      <c r="L77" s="13" t="inlineStr">
        <is>
          <t>E2 8NG</t>
        </is>
      </c>
      <c r="M77" s="13" t="inlineStr">
        <is>
          <t>Shoreditch Rooftop</t>
        </is>
      </c>
      <c r="N77" s="13" t="n">
        <v>16</v>
      </c>
      <c r="O77" s="15">
        <f>IFERROR(INDEX(Venues!$C$2:$C$10,MATCH(M77,Venues!$A$2:$A$10,0)),"Not checked")</f>
        <v/>
      </c>
      <c r="P77" s="15">
        <f>IFERROR(INDEX(Venues!$D$2:$D$10,MATCH(M77,Venues!$A$2:$A$10,0)),0)</f>
        <v/>
      </c>
      <c r="Q77" s="42">
        <f>IFERROR(INDEX(Venues!$E$2:$E$10,MATCH(M77,Venues!$A$2:$A$10,0)),"")</f>
        <v/>
      </c>
      <c r="R77" s="15">
        <f>IF(P77&gt;0,"Yes","No")</f>
        <v/>
      </c>
      <c r="S77" s="13" t="inlineStr">
        <is>
          <t>Shoreditch Rooftop</t>
        </is>
      </c>
      <c r="T77" s="42">
        <f>IFERROR(INDEX(Venues!$E$2:$E$10,MATCH(S77,Venues!$A$2:$A$10,0)),"")</f>
        <v/>
      </c>
      <c r="U77" s="15">
        <f>IFERROR(INDEX(Venues!$F$2:$F$10,MATCH(S77,Venues!$A$2:$A$10,0)),"")</f>
        <v/>
      </c>
      <c r="V77" s="43">
        <f>IFERROR(INDEX(Venues!$H$2:$H$10,MATCH(S77,Venues!$A$2:$A$10,0)),"")</f>
        <v/>
      </c>
      <c r="W77" s="15">
        <f>IF('Pilot offer'!$C$24="Yes",'Pilot offer'!$C$3,S77)</f>
        <v/>
      </c>
      <c r="X77" s="42">
        <f>IF('Pilot offer'!$C$24="Yes",'Pilot offer'!$C$5+'Pilot offer'!$C$6,T77)</f>
        <v/>
      </c>
      <c r="Y77" s="15">
        <f>IF('Pilot offer'!$C$24="Yes",'Pilot offer'!$C$8,U77)</f>
        <v/>
      </c>
      <c r="Z77" s="43">
        <f>IF('Pilot offer'!$C$24="Yes",'Pilot offer'!$C$11,"")</f>
        <v/>
      </c>
      <c r="AA77" s="15">
        <f>IF(X77="","",W77&amp;" · "&amp;TEXT(X77,"ddd d mmm, hh:mm")&amp;" · "&amp;Y77&amp;IF(Z77&lt;&gt;""," · £"&amp;TEXT(Z77,"0.00")&amp;" per player"," · price TBC (cost £"&amp;TEXT(V77,"0.00")&amp;" pp)"))</f>
        <v/>
      </c>
      <c r="AD77" s="44" t="n"/>
    </row>
    <row r="78">
      <c r="A78" s="13" t="n">
        <v>76</v>
      </c>
      <c r="B78" s="13" t="inlineStr">
        <is>
          <t>1 · E2 Haggerston</t>
        </is>
      </c>
      <c r="C78" s="13" t="inlineStr">
        <is>
          <t>Hospitality</t>
        </is>
      </c>
      <c r="D78" s="13" t="inlineStr">
        <is>
          <t>Local businesses</t>
        </is>
      </c>
      <c r="E78" s="13" t="inlineStr">
        <is>
          <t>Frizzante</t>
        </is>
      </c>
      <c r="F78" s="13" t="inlineStr">
        <is>
          <t>amenity: restaurant</t>
        </is>
      </c>
      <c r="G78" s="13" t="inlineStr">
        <is>
          <t>info@frizzanterestaurant.com</t>
        </is>
      </c>
      <c r="H78" s="13" t="inlineStr">
        <is>
          <t>general</t>
        </is>
      </c>
      <c r="I78" s="13" t="n"/>
      <c r="J78" s="14" t="inlineStr">
        <is>
          <t>https://frizzanterestaurant.com/</t>
        </is>
      </c>
      <c r="K78" s="13" t="inlineStr">
        <is>
          <t>Goldsmiths' Row 1, London</t>
        </is>
      </c>
      <c r="L78" s="13" t="inlineStr">
        <is>
          <t>E2 8QA</t>
        </is>
      </c>
      <c r="M78" s="13" t="inlineStr">
        <is>
          <t>Shoreditch Rooftop</t>
        </is>
      </c>
      <c r="N78" s="13" t="n">
        <v>20</v>
      </c>
      <c r="O78" s="15">
        <f>IFERROR(INDEX(Venues!$C$2:$C$10,MATCH(M78,Venues!$A$2:$A$10,0)),"Not checked")</f>
        <v/>
      </c>
      <c r="P78" s="15">
        <f>IFERROR(INDEX(Venues!$D$2:$D$10,MATCH(M78,Venues!$A$2:$A$10,0)),0)</f>
        <v/>
      </c>
      <c r="Q78" s="42">
        <f>IFERROR(INDEX(Venues!$E$2:$E$10,MATCH(M78,Venues!$A$2:$A$10,0)),"")</f>
        <v/>
      </c>
      <c r="R78" s="15">
        <f>IF(P78&gt;0,"Yes","No")</f>
        <v/>
      </c>
      <c r="S78" s="13" t="inlineStr">
        <is>
          <t>Shoreditch Rooftop</t>
        </is>
      </c>
      <c r="T78" s="42">
        <f>IFERROR(INDEX(Venues!$E$2:$E$10,MATCH(S78,Venues!$A$2:$A$10,0)),"")</f>
        <v/>
      </c>
      <c r="U78" s="15">
        <f>IFERROR(INDEX(Venues!$F$2:$F$10,MATCH(S78,Venues!$A$2:$A$10,0)),"")</f>
        <v/>
      </c>
      <c r="V78" s="43">
        <f>IFERROR(INDEX(Venues!$H$2:$H$10,MATCH(S78,Venues!$A$2:$A$10,0)),"")</f>
        <v/>
      </c>
      <c r="W78" s="15">
        <f>IF('Pilot offer'!$C$24="Yes",'Pilot offer'!$C$3,S78)</f>
        <v/>
      </c>
      <c r="X78" s="42">
        <f>IF('Pilot offer'!$C$24="Yes",'Pilot offer'!$C$5+'Pilot offer'!$C$6,T78)</f>
        <v/>
      </c>
      <c r="Y78" s="15">
        <f>IF('Pilot offer'!$C$24="Yes",'Pilot offer'!$C$8,U78)</f>
        <v/>
      </c>
      <c r="Z78" s="43">
        <f>IF('Pilot offer'!$C$24="Yes",'Pilot offer'!$C$11,"")</f>
        <v/>
      </c>
      <c r="AA78" s="15">
        <f>IF(X78="","",W78&amp;" · "&amp;TEXT(X78,"ddd d mmm, hh:mm")&amp;" · "&amp;Y78&amp;IF(Z78&lt;&gt;""," · £"&amp;TEXT(Z78,"0.00")&amp;" per player"," · price TBC (cost £"&amp;TEXT(V78,"0.00")&amp;" pp)"))</f>
        <v/>
      </c>
      <c r="AD78" s="44" t="n"/>
    </row>
    <row r="79">
      <c r="A79" s="13" t="n">
        <v>77</v>
      </c>
      <c r="B79" s="13" t="inlineStr">
        <is>
          <t>1 · E2 Haggerston</t>
        </is>
      </c>
      <c r="C79" s="13" t="inlineStr">
        <is>
          <t>Education</t>
        </is>
      </c>
      <c r="D79" s="13" t="inlineStr">
        <is>
          <t>Local businesses</t>
        </is>
      </c>
      <c r="E79" s="13" t="inlineStr">
        <is>
          <t>Sebright School</t>
        </is>
      </c>
      <c r="F79" s="13" t="inlineStr">
        <is>
          <t>amenity: school</t>
        </is>
      </c>
      <c r="G79" s="13" t="inlineStr">
        <is>
          <t>admin@sebright.hackney.sch.uk</t>
        </is>
      </c>
      <c r="H79" s="13" t="inlineStr">
        <is>
          <t>general</t>
        </is>
      </c>
      <c r="I79" s="13" t="inlineStr">
        <is>
          <t>+44 20 7739 6531</t>
        </is>
      </c>
      <c r="J79" s="14" t="inlineStr">
        <is>
          <t>https://www.sebright.hackney.sch.uk/</t>
        </is>
      </c>
      <c r="K79" s="13" t="inlineStr">
        <is>
          <t>Audrey Street, London</t>
        </is>
      </c>
      <c r="L79" s="13" t="inlineStr">
        <is>
          <t>E2 8QH</t>
        </is>
      </c>
      <c r="M79" s="13" t="inlineStr">
        <is>
          <t>COLA Shoreditch Park</t>
        </is>
      </c>
      <c r="N79" s="13" t="n">
        <v>20</v>
      </c>
      <c r="O79" s="15">
        <f>IFERROR(INDEX(Venues!$C$2:$C$10,MATCH(M79,Venues!$A$2:$A$10,0)),"Not checked")</f>
        <v/>
      </c>
      <c r="P79" s="15">
        <f>IFERROR(INDEX(Venues!$D$2:$D$10,MATCH(M79,Venues!$A$2:$A$10,0)),0)</f>
        <v/>
      </c>
      <c r="Q79" s="42">
        <f>IFERROR(INDEX(Venues!$E$2:$E$10,MATCH(M79,Venues!$A$2:$A$10,0)),"")</f>
        <v/>
      </c>
      <c r="R79" s="15">
        <f>IF(P79&gt;0,"Yes","No")</f>
        <v/>
      </c>
      <c r="S79" s="13" t="inlineStr">
        <is>
          <t>COLA Shoreditch Park</t>
        </is>
      </c>
      <c r="T79" s="42">
        <f>IFERROR(INDEX(Venues!$E$2:$E$10,MATCH(S79,Venues!$A$2:$A$10,0)),"")</f>
        <v/>
      </c>
      <c r="U79" s="15">
        <f>IFERROR(INDEX(Venues!$F$2:$F$10,MATCH(S79,Venues!$A$2:$A$10,0)),"")</f>
        <v/>
      </c>
      <c r="V79" s="43">
        <f>IFERROR(INDEX(Venues!$H$2:$H$10,MATCH(S79,Venues!$A$2:$A$10,0)),"")</f>
        <v/>
      </c>
      <c r="W79" s="15">
        <f>IF('Pilot offer'!$C$24="Yes",'Pilot offer'!$C$3,S79)</f>
        <v/>
      </c>
      <c r="X79" s="42">
        <f>IF('Pilot offer'!$C$24="Yes",'Pilot offer'!$C$5+'Pilot offer'!$C$6,T79)</f>
        <v/>
      </c>
      <c r="Y79" s="15">
        <f>IF('Pilot offer'!$C$24="Yes",'Pilot offer'!$C$8,U79)</f>
        <v/>
      </c>
      <c r="Z79" s="43">
        <f>IF('Pilot offer'!$C$24="Yes",'Pilot offer'!$C$11,"")</f>
        <v/>
      </c>
      <c r="AA79" s="15">
        <f>IF(X79="","",W79&amp;" · "&amp;TEXT(X79,"ddd d mmm, hh:mm")&amp;" · "&amp;Y79&amp;IF(Z79&lt;&gt;""," · £"&amp;TEXT(Z79,"0.00")&amp;" per player"," · price TBC (cost £"&amp;TEXT(V79,"0.00")&amp;" pp)"))</f>
        <v/>
      </c>
      <c r="AD79" s="44" t="n"/>
    </row>
    <row r="80">
      <c r="A80" s="13" t="n">
        <v>78</v>
      </c>
      <c r="B80" s="13" t="inlineStr">
        <is>
          <t>1 · E2 Haggerston</t>
        </is>
      </c>
      <c r="C80" s="13" t="inlineStr">
        <is>
          <t>Coworking / shared office</t>
        </is>
      </c>
      <c r="D80" s="13" t="inlineStr">
        <is>
          <t>Corporate</t>
        </is>
      </c>
      <c r="E80" s="13" t="inlineStr">
        <is>
          <t>Gauchoworld SPACE</t>
        </is>
      </c>
      <c r="F80" s="13" t="inlineStr">
        <is>
          <t>coworking_space</t>
        </is>
      </c>
      <c r="G80" s="13" t="inlineStr">
        <is>
          <t>contact@gauchoworld.com</t>
        </is>
      </c>
      <c r="H80" s="13" t="inlineStr">
        <is>
          <t>general</t>
        </is>
      </c>
      <c r="I80" s="13" t="n"/>
      <c r="J80" s="14" t="inlineStr">
        <is>
          <t>https://www.gauchoworld.com/</t>
        </is>
      </c>
      <c r="K80" s="13" t="inlineStr">
        <is>
          <t>145 Goldsmiths Row, London E2 8QR, UK</t>
        </is>
      </c>
      <c r="L80" s="13" t="inlineStr">
        <is>
          <t>E2 8QR</t>
        </is>
      </c>
      <c r="M80" s="13" t="inlineStr">
        <is>
          <t>COLA Shoreditch Park</t>
        </is>
      </c>
      <c r="N80" s="13" t="n">
        <v>22</v>
      </c>
      <c r="O80" s="15">
        <f>IFERROR(INDEX(Venues!$C$2:$C$10,MATCH(M80,Venues!$A$2:$A$10,0)),"Not checked")</f>
        <v/>
      </c>
      <c r="P80" s="15">
        <f>IFERROR(INDEX(Venues!$D$2:$D$10,MATCH(M80,Venues!$A$2:$A$10,0)),0)</f>
        <v/>
      </c>
      <c r="Q80" s="42">
        <f>IFERROR(INDEX(Venues!$E$2:$E$10,MATCH(M80,Venues!$A$2:$A$10,0)),"")</f>
        <v/>
      </c>
      <c r="R80" s="15">
        <f>IF(P80&gt;0,"Yes","No")</f>
        <v/>
      </c>
      <c r="S80" s="13" t="inlineStr">
        <is>
          <t>COLA Shoreditch Park</t>
        </is>
      </c>
      <c r="T80" s="42">
        <f>IFERROR(INDEX(Venues!$E$2:$E$10,MATCH(S80,Venues!$A$2:$A$10,0)),"")</f>
        <v/>
      </c>
      <c r="U80" s="15">
        <f>IFERROR(INDEX(Venues!$F$2:$F$10,MATCH(S80,Venues!$A$2:$A$10,0)),"")</f>
        <v/>
      </c>
      <c r="V80" s="43">
        <f>IFERROR(INDEX(Venues!$H$2:$H$10,MATCH(S80,Venues!$A$2:$A$10,0)),"")</f>
        <v/>
      </c>
      <c r="W80" s="15">
        <f>IF('Pilot offer'!$C$24="Yes",'Pilot offer'!$C$3,S80)</f>
        <v/>
      </c>
      <c r="X80" s="42">
        <f>IF('Pilot offer'!$C$24="Yes",'Pilot offer'!$C$5+'Pilot offer'!$C$6,T80)</f>
        <v/>
      </c>
      <c r="Y80" s="15">
        <f>IF('Pilot offer'!$C$24="Yes",'Pilot offer'!$C$8,U80)</f>
        <v/>
      </c>
      <c r="Z80" s="43">
        <f>IF('Pilot offer'!$C$24="Yes",'Pilot offer'!$C$11,"")</f>
        <v/>
      </c>
      <c r="AA80" s="15">
        <f>IF(X80="","",W80&amp;" · "&amp;TEXT(X80,"ddd d mmm, hh:mm")&amp;" · "&amp;Y80&amp;IF(Z80&lt;&gt;""," · £"&amp;TEXT(Z80,"0.00")&amp;" per player"," · price TBC (cost £"&amp;TEXT(V80,"0.00")&amp;" pp)"))</f>
        <v/>
      </c>
      <c r="AD80" s="44" t="n"/>
    </row>
    <row r="81">
      <c r="A81" s="13" t="n">
        <v>79</v>
      </c>
      <c r="B81" s="13" t="inlineStr">
        <is>
          <t>1 · E2 Haggerston</t>
        </is>
      </c>
      <c r="C81" s="13" t="inlineStr">
        <is>
          <t>Health</t>
        </is>
      </c>
      <c r="D81" s="13" t="inlineStr">
        <is>
          <t>Local businesses</t>
        </is>
      </c>
      <c r="E81" s="13" t="inlineStr">
        <is>
          <t>Chrysanth Dental Care</t>
        </is>
      </c>
      <c r="F81" s="13" t="inlineStr">
        <is>
          <t>amenity: dentist</t>
        </is>
      </c>
      <c r="G81" s="13" t="inlineStr">
        <is>
          <t>info@chrysanth.london</t>
        </is>
      </c>
      <c r="H81" s="13" t="inlineStr">
        <is>
          <t>general</t>
        </is>
      </c>
      <c r="I81" s="13" t="inlineStr">
        <is>
          <t>+44 20 3620 1113</t>
        </is>
      </c>
      <c r="J81" s="14" t="inlineStr">
        <is>
          <t>https://www.chrysanth.london/</t>
        </is>
      </c>
      <c r="K81" s="13" t="inlineStr">
        <is>
          <t>Cambridge Heath Road 493, London</t>
        </is>
      </c>
      <c r="L81" s="13" t="inlineStr">
        <is>
          <t>E2 9BU</t>
        </is>
      </c>
      <c r="M81" s="13" t="inlineStr">
        <is>
          <t>Stepney 3G</t>
        </is>
      </c>
      <c r="N81" s="13" t="n">
        <v>19</v>
      </c>
      <c r="O81" s="15">
        <f>IFERROR(INDEX(Venues!$C$2:$C$10,MATCH(M81,Venues!$A$2:$A$10,0)),"Not checked")</f>
        <v/>
      </c>
      <c r="P81" s="15">
        <f>IFERROR(INDEX(Venues!$D$2:$D$10,MATCH(M81,Venues!$A$2:$A$10,0)),0)</f>
        <v/>
      </c>
      <c r="Q81" s="42">
        <f>IFERROR(INDEX(Venues!$E$2:$E$10,MATCH(M81,Venues!$A$2:$A$10,0)),"")</f>
        <v/>
      </c>
      <c r="R81" s="15">
        <f>IF(P81&gt;0,"Yes","No")</f>
        <v/>
      </c>
      <c r="S81" s="13" t="inlineStr">
        <is>
          <t>COLA Shoreditch Park</t>
        </is>
      </c>
      <c r="T81" s="42">
        <f>IFERROR(INDEX(Venues!$E$2:$E$10,MATCH(S81,Venues!$A$2:$A$10,0)),"")</f>
        <v/>
      </c>
      <c r="U81" s="15">
        <f>IFERROR(INDEX(Venues!$F$2:$F$10,MATCH(S81,Venues!$A$2:$A$10,0)),"")</f>
        <v/>
      </c>
      <c r="V81" s="43">
        <f>IFERROR(INDEX(Venues!$H$2:$H$10,MATCH(S81,Venues!$A$2:$A$10,0)),"")</f>
        <v/>
      </c>
      <c r="W81" s="15">
        <f>IF('Pilot offer'!$C$24="Yes",'Pilot offer'!$C$3,S81)</f>
        <v/>
      </c>
      <c r="X81" s="42">
        <f>IF('Pilot offer'!$C$24="Yes",'Pilot offer'!$C$5+'Pilot offer'!$C$6,T81)</f>
        <v/>
      </c>
      <c r="Y81" s="15">
        <f>IF('Pilot offer'!$C$24="Yes",'Pilot offer'!$C$8,U81)</f>
        <v/>
      </c>
      <c r="Z81" s="43">
        <f>IF('Pilot offer'!$C$24="Yes",'Pilot offer'!$C$11,"")</f>
        <v/>
      </c>
      <c r="AA81" s="15">
        <f>IF(X81="","",W81&amp;" · "&amp;TEXT(X81,"ddd d mmm, hh:mm")&amp;" · "&amp;Y81&amp;IF(Z81&lt;&gt;""," · £"&amp;TEXT(Z81,"0.00")&amp;" per player"," · price TBC (cost £"&amp;TEXT(V81,"0.00")&amp;" pp)"))</f>
        <v/>
      </c>
      <c r="AD81" s="44" t="n"/>
    </row>
    <row r="82">
      <c r="A82" s="13" t="n">
        <v>80</v>
      </c>
      <c r="B82" s="13" t="inlineStr">
        <is>
          <t>1 · E2 Haggerston</t>
        </is>
      </c>
      <c r="C82" s="13" t="inlineStr">
        <is>
          <t>Retail</t>
        </is>
      </c>
      <c r="D82" s="13" t="inlineStr">
        <is>
          <t>Local businesses</t>
        </is>
      </c>
      <c r="E82" s="13" t="inlineStr">
        <is>
          <t>Yo Yo Records London</t>
        </is>
      </c>
      <c r="F82" s="13" t="inlineStr">
        <is>
          <t>shop: music</t>
        </is>
      </c>
      <c r="G82" s="13" t="inlineStr">
        <is>
          <t>yoyorecordslondon@gmail.com</t>
        </is>
      </c>
      <c r="H82" s="13" t="inlineStr">
        <is>
          <t>freemail</t>
        </is>
      </c>
      <c r="I82" s="13" t="inlineStr">
        <is>
          <t>+44 20 7033 8777</t>
        </is>
      </c>
      <c r="J82" s="14" t="inlineStr">
        <is>
          <t>https://www.yoyorecordslondon.com/</t>
        </is>
      </c>
      <c r="K82" s="13" t="inlineStr">
        <is>
          <t>Cambridge Heath Road 501, London</t>
        </is>
      </c>
      <c r="L82" s="13" t="inlineStr">
        <is>
          <t>E2 9BU</t>
        </is>
      </c>
      <c r="M82" s="13" t="inlineStr">
        <is>
          <t>Stepney 3G</t>
        </is>
      </c>
      <c r="N82" s="13" t="n">
        <v>20</v>
      </c>
      <c r="O82" s="15">
        <f>IFERROR(INDEX(Venues!$C$2:$C$10,MATCH(M82,Venues!$A$2:$A$10,0)),"Not checked")</f>
        <v/>
      </c>
      <c r="P82" s="15">
        <f>IFERROR(INDEX(Venues!$D$2:$D$10,MATCH(M82,Venues!$A$2:$A$10,0)),0)</f>
        <v/>
      </c>
      <c r="Q82" s="42">
        <f>IFERROR(INDEX(Venues!$E$2:$E$10,MATCH(M82,Venues!$A$2:$A$10,0)),"")</f>
        <v/>
      </c>
      <c r="R82" s="15">
        <f>IF(P82&gt;0,"Yes","No")</f>
        <v/>
      </c>
      <c r="S82" s="13" t="inlineStr">
        <is>
          <t>COLA Shoreditch Park</t>
        </is>
      </c>
      <c r="T82" s="42">
        <f>IFERROR(INDEX(Venues!$E$2:$E$10,MATCH(S82,Venues!$A$2:$A$10,0)),"")</f>
        <v/>
      </c>
      <c r="U82" s="15">
        <f>IFERROR(INDEX(Venues!$F$2:$F$10,MATCH(S82,Venues!$A$2:$A$10,0)),"")</f>
        <v/>
      </c>
      <c r="V82" s="43">
        <f>IFERROR(INDEX(Venues!$H$2:$H$10,MATCH(S82,Venues!$A$2:$A$10,0)),"")</f>
        <v/>
      </c>
      <c r="W82" s="15">
        <f>IF('Pilot offer'!$C$24="Yes",'Pilot offer'!$C$3,S82)</f>
        <v/>
      </c>
      <c r="X82" s="42">
        <f>IF('Pilot offer'!$C$24="Yes",'Pilot offer'!$C$5+'Pilot offer'!$C$6,T82)</f>
        <v/>
      </c>
      <c r="Y82" s="15">
        <f>IF('Pilot offer'!$C$24="Yes",'Pilot offer'!$C$8,U82)</f>
        <v/>
      </c>
      <c r="Z82" s="43">
        <f>IF('Pilot offer'!$C$24="Yes",'Pilot offer'!$C$11,"")</f>
        <v/>
      </c>
      <c r="AA82" s="15">
        <f>IF(X82="","",W82&amp;" · "&amp;TEXT(X82,"ddd d mmm, hh:mm")&amp;" · "&amp;Y82&amp;IF(Z82&lt;&gt;""," · £"&amp;TEXT(Z82,"0.00")&amp;" per player"," · price TBC (cost £"&amp;TEXT(V82,"0.00")&amp;" pp)"))</f>
        <v/>
      </c>
      <c r="AD82" s="44" t="n"/>
    </row>
    <row r="83">
      <c r="A83" s="13" t="n">
        <v>81</v>
      </c>
      <c r="B83" s="13" t="inlineStr">
        <is>
          <t>1 · E2 Haggerston</t>
        </is>
      </c>
      <c r="C83" s="13" t="inlineStr">
        <is>
          <t>Leisure &amp; culture</t>
        </is>
      </c>
      <c r="D83" s="13" t="inlineStr">
        <is>
          <t>Local businesses</t>
        </is>
      </c>
      <c r="E83" s="13" t="inlineStr">
        <is>
          <t>Fitness4Less</t>
        </is>
      </c>
      <c r="F83" s="13" t="inlineStr">
        <is>
          <t>leisure: sports centre</t>
        </is>
      </c>
      <c r="G83" s="13" t="inlineStr">
        <is>
          <t>info@fitness4less.co.uk</t>
        </is>
      </c>
      <c r="H83" s="13" t="inlineStr">
        <is>
          <t>general</t>
        </is>
      </c>
      <c r="I83" s="13" t="n"/>
      <c r="J83" s="14" t="inlineStr">
        <is>
          <t>https://www.fitness4less.co.uk/location/cambridge/</t>
        </is>
      </c>
      <c r="K83" s="13" t="inlineStr">
        <is>
          <t>Cambridge Heath Road, London</t>
        </is>
      </c>
      <c r="L83" s="13" t="inlineStr">
        <is>
          <t>E2 9BY</t>
        </is>
      </c>
      <c r="M83" s="13" t="inlineStr">
        <is>
          <t>Stepney 3G</t>
        </is>
      </c>
      <c r="N83" s="13" t="n">
        <v>19</v>
      </c>
      <c r="O83" s="15">
        <f>IFERROR(INDEX(Venues!$C$2:$C$10,MATCH(M83,Venues!$A$2:$A$10,0)),"Not checked")</f>
        <v/>
      </c>
      <c r="P83" s="15">
        <f>IFERROR(INDEX(Venues!$D$2:$D$10,MATCH(M83,Venues!$A$2:$A$10,0)),0)</f>
        <v/>
      </c>
      <c r="Q83" s="42">
        <f>IFERROR(INDEX(Venues!$E$2:$E$10,MATCH(M83,Venues!$A$2:$A$10,0)),"")</f>
        <v/>
      </c>
      <c r="R83" s="15">
        <f>IF(P83&gt;0,"Yes","No")</f>
        <v/>
      </c>
      <c r="S83" s="13" t="inlineStr">
        <is>
          <t>COLA Shoreditch Park</t>
        </is>
      </c>
      <c r="T83" s="42">
        <f>IFERROR(INDEX(Venues!$E$2:$E$10,MATCH(S83,Venues!$A$2:$A$10,0)),"")</f>
        <v/>
      </c>
      <c r="U83" s="15">
        <f>IFERROR(INDEX(Venues!$F$2:$F$10,MATCH(S83,Venues!$A$2:$A$10,0)),"")</f>
        <v/>
      </c>
      <c r="V83" s="43">
        <f>IFERROR(INDEX(Venues!$H$2:$H$10,MATCH(S83,Venues!$A$2:$A$10,0)),"")</f>
        <v/>
      </c>
      <c r="W83" s="15">
        <f>IF('Pilot offer'!$C$24="Yes",'Pilot offer'!$C$3,S83)</f>
        <v/>
      </c>
      <c r="X83" s="42">
        <f>IF('Pilot offer'!$C$24="Yes",'Pilot offer'!$C$5+'Pilot offer'!$C$6,T83)</f>
        <v/>
      </c>
      <c r="Y83" s="15">
        <f>IF('Pilot offer'!$C$24="Yes",'Pilot offer'!$C$8,U83)</f>
        <v/>
      </c>
      <c r="Z83" s="43">
        <f>IF('Pilot offer'!$C$24="Yes",'Pilot offer'!$C$11,"")</f>
        <v/>
      </c>
      <c r="AA83" s="15">
        <f>IF(X83="","",W83&amp;" · "&amp;TEXT(X83,"ddd d mmm, hh:mm")&amp;" · "&amp;Y83&amp;IF(Z83&lt;&gt;""," · £"&amp;TEXT(Z83,"0.00")&amp;" per player"," · price TBC (cost £"&amp;TEXT(V83,"0.00")&amp;" pp)"))</f>
        <v/>
      </c>
      <c r="AD83" s="44" t="n"/>
    </row>
    <row r="84">
      <c r="A84" s="13" t="n">
        <v>82</v>
      </c>
      <c r="B84" s="13" t="inlineStr">
        <is>
          <t>1 · E2 Haggerston</t>
        </is>
      </c>
      <c r="C84" s="13" t="inlineStr">
        <is>
          <t>Office &amp; professional</t>
        </is>
      </c>
      <c r="D84" s="13" t="inlineStr">
        <is>
          <t>Corporate</t>
        </is>
      </c>
      <c r="E84" s="13" t="inlineStr">
        <is>
          <t>Eye Present</t>
        </is>
      </c>
      <c r="F84" s="13" t="inlineStr">
        <is>
          <t>company</t>
        </is>
      </c>
      <c r="G84" s="13" t="inlineStr">
        <is>
          <t>genevieve.dexter@eyepresent.co.uk</t>
        </is>
      </c>
      <c r="H84" s="13" t="inlineStr">
        <is>
          <t>person_or_other</t>
        </is>
      </c>
      <c r="I84" s="13" t="n"/>
      <c r="J84" s="14" t="inlineStr">
        <is>
          <t>https://www.eyepresent.co.uk/</t>
        </is>
      </c>
      <c r="K84" s="13" t="inlineStr">
        <is>
          <t>1-5 Vyner Street, London</t>
        </is>
      </c>
      <c r="L84" s="13" t="inlineStr">
        <is>
          <t>E2 9DG</t>
        </is>
      </c>
      <c r="M84" s="13" t="inlineStr">
        <is>
          <t>Stepney 3G</t>
        </is>
      </c>
      <c r="N84" s="13" t="n">
        <v>21</v>
      </c>
      <c r="O84" s="15">
        <f>IFERROR(INDEX(Venues!$C$2:$C$10,MATCH(M84,Venues!$A$2:$A$10,0)),"Not checked")</f>
        <v/>
      </c>
      <c r="P84" s="15">
        <f>IFERROR(INDEX(Venues!$D$2:$D$10,MATCH(M84,Venues!$A$2:$A$10,0)),0)</f>
        <v/>
      </c>
      <c r="Q84" s="42">
        <f>IFERROR(INDEX(Venues!$E$2:$E$10,MATCH(M84,Venues!$A$2:$A$10,0)),"")</f>
        <v/>
      </c>
      <c r="R84" s="15">
        <f>IF(P84&gt;0,"Yes","No")</f>
        <v/>
      </c>
      <c r="S84" s="13" t="inlineStr">
        <is>
          <t>COLA Shoreditch Park</t>
        </is>
      </c>
      <c r="T84" s="42">
        <f>IFERROR(INDEX(Venues!$E$2:$E$10,MATCH(S84,Venues!$A$2:$A$10,0)),"")</f>
        <v/>
      </c>
      <c r="U84" s="15">
        <f>IFERROR(INDEX(Venues!$F$2:$F$10,MATCH(S84,Venues!$A$2:$A$10,0)),"")</f>
        <v/>
      </c>
      <c r="V84" s="43">
        <f>IFERROR(INDEX(Venues!$H$2:$H$10,MATCH(S84,Venues!$A$2:$A$10,0)),"")</f>
        <v/>
      </c>
      <c r="W84" s="15">
        <f>IF('Pilot offer'!$C$24="Yes",'Pilot offer'!$C$3,S84)</f>
        <v/>
      </c>
      <c r="X84" s="42">
        <f>IF('Pilot offer'!$C$24="Yes",'Pilot offer'!$C$5+'Pilot offer'!$C$6,T84)</f>
        <v/>
      </c>
      <c r="Y84" s="15">
        <f>IF('Pilot offer'!$C$24="Yes",'Pilot offer'!$C$8,U84)</f>
        <v/>
      </c>
      <c r="Z84" s="43">
        <f>IF('Pilot offer'!$C$24="Yes",'Pilot offer'!$C$11,"")</f>
        <v/>
      </c>
      <c r="AA84" s="15">
        <f>IF(X84="","",W84&amp;" · "&amp;TEXT(X84,"ddd d mmm, hh:mm")&amp;" · "&amp;Y84&amp;IF(Z84&lt;&gt;""," · £"&amp;TEXT(Z84,"0.00")&amp;" per player"," · price TBC (cost £"&amp;TEXT(V84,"0.00")&amp;" pp)"))</f>
        <v/>
      </c>
      <c r="AD84" s="44" t="n"/>
    </row>
    <row r="85">
      <c r="A85" s="13" t="n">
        <v>83</v>
      </c>
      <c r="B85" s="13" t="inlineStr">
        <is>
          <t>1 · E2 Haggerston</t>
        </is>
      </c>
      <c r="C85" s="13" t="inlineStr">
        <is>
          <t>Office &amp; professional</t>
        </is>
      </c>
      <c r="D85" s="13" t="inlineStr">
        <is>
          <t>Corporate</t>
        </is>
      </c>
      <c r="E85" s="13" t="inlineStr">
        <is>
          <t>Holland Harvey Architects</t>
        </is>
      </c>
      <c r="F85" s="13" t="inlineStr">
        <is>
          <t>architect</t>
        </is>
      </c>
      <c r="G85" s="13" t="inlineStr">
        <is>
          <t>hello@hollandharvey.com</t>
        </is>
      </c>
      <c r="H85" s="13" t="inlineStr">
        <is>
          <t>general</t>
        </is>
      </c>
      <c r="I85" s="13" t="n"/>
      <c r="J85" s="14" t="inlineStr">
        <is>
          <t>https://www.hollandharvey.com/</t>
        </is>
      </c>
      <c r="K85" s="13" t="inlineStr">
        <is>
          <t>1-5 Vyner Street, London</t>
        </is>
      </c>
      <c r="L85" s="13" t="inlineStr">
        <is>
          <t>E2 9DG</t>
        </is>
      </c>
      <c r="M85" s="13" t="inlineStr">
        <is>
          <t>Stepney 3G</t>
        </is>
      </c>
      <c r="N85" s="13" t="n">
        <v>21</v>
      </c>
      <c r="O85" s="15">
        <f>IFERROR(INDEX(Venues!$C$2:$C$10,MATCH(M85,Venues!$A$2:$A$10,0)),"Not checked")</f>
        <v/>
      </c>
      <c r="P85" s="15">
        <f>IFERROR(INDEX(Venues!$D$2:$D$10,MATCH(M85,Venues!$A$2:$A$10,0)),0)</f>
        <v/>
      </c>
      <c r="Q85" s="42">
        <f>IFERROR(INDEX(Venues!$E$2:$E$10,MATCH(M85,Venues!$A$2:$A$10,0)),"")</f>
        <v/>
      </c>
      <c r="R85" s="15">
        <f>IF(P85&gt;0,"Yes","No")</f>
        <v/>
      </c>
      <c r="S85" s="13" t="inlineStr">
        <is>
          <t>COLA Shoreditch Park</t>
        </is>
      </c>
      <c r="T85" s="42">
        <f>IFERROR(INDEX(Venues!$E$2:$E$10,MATCH(S85,Venues!$A$2:$A$10,0)),"")</f>
        <v/>
      </c>
      <c r="U85" s="15">
        <f>IFERROR(INDEX(Venues!$F$2:$F$10,MATCH(S85,Venues!$A$2:$A$10,0)),"")</f>
        <v/>
      </c>
      <c r="V85" s="43">
        <f>IFERROR(INDEX(Venues!$H$2:$H$10,MATCH(S85,Venues!$A$2:$A$10,0)),"")</f>
        <v/>
      </c>
      <c r="W85" s="15">
        <f>IF('Pilot offer'!$C$24="Yes",'Pilot offer'!$C$3,S85)</f>
        <v/>
      </c>
      <c r="X85" s="42">
        <f>IF('Pilot offer'!$C$24="Yes",'Pilot offer'!$C$5+'Pilot offer'!$C$6,T85)</f>
        <v/>
      </c>
      <c r="Y85" s="15">
        <f>IF('Pilot offer'!$C$24="Yes",'Pilot offer'!$C$8,U85)</f>
        <v/>
      </c>
      <c r="Z85" s="43">
        <f>IF('Pilot offer'!$C$24="Yes",'Pilot offer'!$C$11,"")</f>
        <v/>
      </c>
      <c r="AA85" s="15">
        <f>IF(X85="","",W85&amp;" · "&amp;TEXT(X85,"ddd d mmm, hh:mm")&amp;" · "&amp;Y85&amp;IF(Z85&lt;&gt;""," · £"&amp;TEXT(Z85,"0.00")&amp;" per player"," · price TBC (cost £"&amp;TEXT(V85,"0.00")&amp;" pp)"))</f>
        <v/>
      </c>
      <c r="AD85" s="44" t="n"/>
    </row>
    <row r="86">
      <c r="A86" s="13" t="n">
        <v>84</v>
      </c>
      <c r="B86" s="13" t="inlineStr">
        <is>
          <t>1 · E2 Haggerston</t>
        </is>
      </c>
      <c r="C86" s="13" t="inlineStr">
        <is>
          <t>Office &amp; professional</t>
        </is>
      </c>
      <c r="D86" s="13" t="inlineStr">
        <is>
          <t>Corporate</t>
        </is>
      </c>
      <c r="E86" s="13" t="inlineStr">
        <is>
          <t>Squint/Opera</t>
        </is>
      </c>
      <c r="F86" s="13" t="inlineStr">
        <is>
          <t>company</t>
        </is>
      </c>
      <c r="G86" s="13" t="inlineStr">
        <is>
          <t>hello@squintopera.com</t>
        </is>
      </c>
      <c r="H86" s="13" t="inlineStr">
        <is>
          <t>general</t>
        </is>
      </c>
      <c r="I86" s="13" t="inlineStr">
        <is>
          <t>+44 20 7978 7788</t>
        </is>
      </c>
      <c r="J86" s="14" t="inlineStr">
        <is>
          <t>https://www.squintopera.com/</t>
        </is>
      </c>
      <c r="K86" s="13" t="inlineStr">
        <is>
          <t>1-5 Vyner Street, London</t>
        </is>
      </c>
      <c r="L86" s="13" t="inlineStr">
        <is>
          <t>E2 9DG</t>
        </is>
      </c>
      <c r="M86" s="13" t="inlineStr">
        <is>
          <t>Stepney 3G</t>
        </is>
      </c>
      <c r="N86" s="13" t="n">
        <v>21</v>
      </c>
      <c r="O86" s="15">
        <f>IFERROR(INDEX(Venues!$C$2:$C$10,MATCH(M86,Venues!$A$2:$A$10,0)),"Not checked")</f>
        <v/>
      </c>
      <c r="P86" s="15">
        <f>IFERROR(INDEX(Venues!$D$2:$D$10,MATCH(M86,Venues!$A$2:$A$10,0)),0)</f>
        <v/>
      </c>
      <c r="Q86" s="42">
        <f>IFERROR(INDEX(Venues!$E$2:$E$10,MATCH(M86,Venues!$A$2:$A$10,0)),"")</f>
        <v/>
      </c>
      <c r="R86" s="15">
        <f>IF(P86&gt;0,"Yes","No")</f>
        <v/>
      </c>
      <c r="S86" s="13" t="inlineStr">
        <is>
          <t>COLA Shoreditch Park</t>
        </is>
      </c>
      <c r="T86" s="42">
        <f>IFERROR(INDEX(Venues!$E$2:$E$10,MATCH(S86,Venues!$A$2:$A$10,0)),"")</f>
        <v/>
      </c>
      <c r="U86" s="15">
        <f>IFERROR(INDEX(Venues!$F$2:$F$10,MATCH(S86,Venues!$A$2:$A$10,0)),"")</f>
        <v/>
      </c>
      <c r="V86" s="43">
        <f>IFERROR(INDEX(Venues!$H$2:$H$10,MATCH(S86,Venues!$A$2:$A$10,0)),"")</f>
        <v/>
      </c>
      <c r="W86" s="15">
        <f>IF('Pilot offer'!$C$24="Yes",'Pilot offer'!$C$3,S86)</f>
        <v/>
      </c>
      <c r="X86" s="42">
        <f>IF('Pilot offer'!$C$24="Yes",'Pilot offer'!$C$5+'Pilot offer'!$C$6,T86)</f>
        <v/>
      </c>
      <c r="Y86" s="15">
        <f>IF('Pilot offer'!$C$24="Yes",'Pilot offer'!$C$8,U86)</f>
        <v/>
      </c>
      <c r="Z86" s="43">
        <f>IF('Pilot offer'!$C$24="Yes",'Pilot offer'!$C$11,"")</f>
        <v/>
      </c>
      <c r="AA86" s="15">
        <f>IF(X86="","",W86&amp;" · "&amp;TEXT(X86,"ddd d mmm, hh:mm")&amp;" · "&amp;Y86&amp;IF(Z86&lt;&gt;""," · £"&amp;TEXT(Z86,"0.00")&amp;" per player"," · price TBC (cost £"&amp;TEXT(V86,"0.00")&amp;" pp)"))</f>
        <v/>
      </c>
      <c r="AD86" s="44" t="n"/>
    </row>
    <row r="87">
      <c r="A87" s="13" t="n">
        <v>85</v>
      </c>
      <c r="B87" s="13" t="inlineStr">
        <is>
          <t>1 · E2 Haggerston</t>
        </is>
      </c>
      <c r="C87" s="13" t="inlineStr">
        <is>
          <t>Retail</t>
        </is>
      </c>
      <c r="D87" s="13" t="inlineStr">
        <is>
          <t>Local businesses</t>
        </is>
      </c>
      <c r="E87" s="13" t="inlineStr">
        <is>
          <t>Hackney Cycles</t>
        </is>
      </c>
      <c r="F87" s="13" t="inlineStr">
        <is>
          <t>shop: bicycle</t>
        </is>
      </c>
      <c r="G87" s="13" t="inlineStr">
        <is>
          <t>contacts@hackney-cycles.co.uk</t>
        </is>
      </c>
      <c r="H87" s="13" t="inlineStr">
        <is>
          <t>person_or_other</t>
        </is>
      </c>
      <c r="I87" s="13" t="n"/>
      <c r="J87" s="14" t="inlineStr">
        <is>
          <t>https://www.hackney-cycles.co.uk/</t>
        </is>
      </c>
      <c r="K87" s="13" t="inlineStr">
        <is>
          <t>Hackney Road 507, London</t>
        </is>
      </c>
      <c r="L87" s="13" t="inlineStr">
        <is>
          <t>E2 9ED</t>
        </is>
      </c>
      <c r="M87" s="13" t="inlineStr">
        <is>
          <t>Stepney 3G</t>
        </is>
      </c>
      <c r="N87" s="13" t="n">
        <v>19</v>
      </c>
      <c r="O87" s="15">
        <f>IFERROR(INDEX(Venues!$C$2:$C$10,MATCH(M87,Venues!$A$2:$A$10,0)),"Not checked")</f>
        <v/>
      </c>
      <c r="P87" s="15">
        <f>IFERROR(INDEX(Venues!$D$2:$D$10,MATCH(M87,Venues!$A$2:$A$10,0)),0)</f>
        <v/>
      </c>
      <c r="Q87" s="42">
        <f>IFERROR(INDEX(Venues!$E$2:$E$10,MATCH(M87,Venues!$A$2:$A$10,0)),"")</f>
        <v/>
      </c>
      <c r="R87" s="15">
        <f>IF(P87&gt;0,"Yes","No")</f>
        <v/>
      </c>
      <c r="S87" s="13" t="inlineStr">
        <is>
          <t>COLA Shoreditch Park</t>
        </is>
      </c>
      <c r="T87" s="42">
        <f>IFERROR(INDEX(Venues!$E$2:$E$10,MATCH(S87,Venues!$A$2:$A$10,0)),"")</f>
        <v/>
      </c>
      <c r="U87" s="15">
        <f>IFERROR(INDEX(Venues!$F$2:$F$10,MATCH(S87,Venues!$A$2:$A$10,0)),"")</f>
        <v/>
      </c>
      <c r="V87" s="43">
        <f>IFERROR(INDEX(Venues!$H$2:$H$10,MATCH(S87,Venues!$A$2:$A$10,0)),"")</f>
        <v/>
      </c>
      <c r="W87" s="15">
        <f>IF('Pilot offer'!$C$24="Yes",'Pilot offer'!$C$3,S87)</f>
        <v/>
      </c>
      <c r="X87" s="42">
        <f>IF('Pilot offer'!$C$24="Yes",'Pilot offer'!$C$5+'Pilot offer'!$C$6,T87)</f>
        <v/>
      </c>
      <c r="Y87" s="15">
        <f>IF('Pilot offer'!$C$24="Yes",'Pilot offer'!$C$8,U87)</f>
        <v/>
      </c>
      <c r="Z87" s="43">
        <f>IF('Pilot offer'!$C$24="Yes",'Pilot offer'!$C$11,"")</f>
        <v/>
      </c>
      <c r="AA87" s="15">
        <f>IF(X87="","",W87&amp;" · "&amp;TEXT(X87,"ddd d mmm, hh:mm")&amp;" · "&amp;Y87&amp;IF(Z87&lt;&gt;""," · £"&amp;TEXT(Z87,"0.00")&amp;" per player"," · price TBC (cost £"&amp;TEXT(V87,"0.00")&amp;" pp)"))</f>
        <v/>
      </c>
      <c r="AD87" s="44" t="n"/>
    </row>
    <row r="88">
      <c r="A88" s="13" t="n">
        <v>86</v>
      </c>
      <c r="B88" s="13" t="inlineStr">
        <is>
          <t>1 · E2 Haggerston</t>
        </is>
      </c>
      <c r="C88" s="13" t="inlineStr">
        <is>
          <t>Hospitality</t>
        </is>
      </c>
      <c r="D88" s="13" t="inlineStr">
        <is>
          <t>Local businesses</t>
        </is>
      </c>
      <c r="E88" s="13" t="inlineStr">
        <is>
          <t>The Queen Adelaide</t>
        </is>
      </c>
      <c r="F88" s="13" t="inlineStr">
        <is>
          <t>amenity: pub</t>
        </is>
      </c>
      <c r="G88" s="13" t="inlineStr">
        <is>
          <t>richard@thequeenadelaide.com</t>
        </is>
      </c>
      <c r="H88" s="13" t="inlineStr">
        <is>
          <t>person_or_other</t>
        </is>
      </c>
      <c r="I88" s="13" t="n"/>
      <c r="J88" s="14" t="inlineStr">
        <is>
          <t>https://www.thequeenadelaide.com/</t>
        </is>
      </c>
      <c r="K88" s="13" t="inlineStr">
        <is>
          <t>Hackney Road 483, London</t>
        </is>
      </c>
      <c r="L88" s="13" t="inlineStr">
        <is>
          <t>E2 9ED</t>
        </is>
      </c>
      <c r="M88" s="13" t="inlineStr">
        <is>
          <t>Stepney 3G</t>
        </is>
      </c>
      <c r="N88" s="13" t="n">
        <v>19</v>
      </c>
      <c r="O88" s="15">
        <f>IFERROR(INDEX(Venues!$C$2:$C$10,MATCH(M88,Venues!$A$2:$A$10,0)),"Not checked")</f>
        <v/>
      </c>
      <c r="P88" s="15">
        <f>IFERROR(INDEX(Venues!$D$2:$D$10,MATCH(M88,Venues!$A$2:$A$10,0)),0)</f>
        <v/>
      </c>
      <c r="Q88" s="42">
        <f>IFERROR(INDEX(Venues!$E$2:$E$10,MATCH(M88,Venues!$A$2:$A$10,0)),"")</f>
        <v/>
      </c>
      <c r="R88" s="15">
        <f>IF(P88&gt;0,"Yes","No")</f>
        <v/>
      </c>
      <c r="S88" s="13" t="inlineStr">
        <is>
          <t>COLA Shoreditch Park</t>
        </is>
      </c>
      <c r="T88" s="42">
        <f>IFERROR(INDEX(Venues!$E$2:$E$10,MATCH(S88,Venues!$A$2:$A$10,0)),"")</f>
        <v/>
      </c>
      <c r="U88" s="15">
        <f>IFERROR(INDEX(Venues!$F$2:$F$10,MATCH(S88,Venues!$A$2:$A$10,0)),"")</f>
        <v/>
      </c>
      <c r="V88" s="43">
        <f>IFERROR(INDEX(Venues!$H$2:$H$10,MATCH(S88,Venues!$A$2:$A$10,0)),"")</f>
        <v/>
      </c>
      <c r="W88" s="15">
        <f>IF('Pilot offer'!$C$24="Yes",'Pilot offer'!$C$3,S88)</f>
        <v/>
      </c>
      <c r="X88" s="42">
        <f>IF('Pilot offer'!$C$24="Yes",'Pilot offer'!$C$5+'Pilot offer'!$C$6,T88)</f>
        <v/>
      </c>
      <c r="Y88" s="15">
        <f>IF('Pilot offer'!$C$24="Yes",'Pilot offer'!$C$8,U88)</f>
        <v/>
      </c>
      <c r="Z88" s="43">
        <f>IF('Pilot offer'!$C$24="Yes",'Pilot offer'!$C$11,"")</f>
        <v/>
      </c>
      <c r="AA88" s="15">
        <f>IF(X88="","",W88&amp;" · "&amp;TEXT(X88,"ddd d mmm, hh:mm")&amp;" · "&amp;Y88&amp;IF(Z88&lt;&gt;""," · £"&amp;TEXT(Z88,"0.00")&amp;" per player"," · price TBC (cost £"&amp;TEXT(V88,"0.00")&amp;" pp)"))</f>
        <v/>
      </c>
      <c r="AD88" s="44" t="n"/>
    </row>
    <row r="89">
      <c r="A89" s="13" t="n">
        <v>87</v>
      </c>
      <c r="B89" s="13" t="inlineStr">
        <is>
          <t>1 · E2 Haggerston</t>
        </is>
      </c>
      <c r="C89" s="13" t="inlineStr">
        <is>
          <t>Office &amp; professional</t>
        </is>
      </c>
      <c r="D89" s="13" t="inlineStr">
        <is>
          <t>Corporate</t>
        </is>
      </c>
      <c r="E89" s="13" t="inlineStr">
        <is>
          <t>Celeste - social media marketing</t>
        </is>
      </c>
      <c r="F89" s="13" t="inlineStr">
        <is>
          <t>service</t>
        </is>
      </c>
      <c r="G89" s="13" t="inlineStr">
        <is>
          <t>hello@iamwithceleste.com</t>
        </is>
      </c>
      <c r="H89" s="13" t="inlineStr">
        <is>
          <t>general</t>
        </is>
      </c>
      <c r="I89" s="13" t="inlineStr">
        <is>
          <t>+44 7830 729708</t>
        </is>
      </c>
      <c r="J89" s="14" t="inlineStr">
        <is>
          <t>https://www.iamwithceleste.com/</t>
        </is>
      </c>
      <c r="K89" s="13" t="inlineStr">
        <is>
          <t>1 Emma St, London E2 9FP, UK</t>
        </is>
      </c>
      <c r="L89" s="13" t="inlineStr">
        <is>
          <t>E2 9FP</t>
        </is>
      </c>
      <c r="M89" s="13" t="inlineStr">
        <is>
          <t>Stepney 3G</t>
        </is>
      </c>
      <c r="N89" s="13" t="n">
        <v>20</v>
      </c>
      <c r="O89" s="15">
        <f>IFERROR(INDEX(Venues!$C$2:$C$10,MATCH(M89,Venues!$A$2:$A$10,0)),"Not checked")</f>
        <v/>
      </c>
      <c r="P89" s="15">
        <f>IFERROR(INDEX(Venues!$D$2:$D$10,MATCH(M89,Venues!$A$2:$A$10,0)),0)</f>
        <v/>
      </c>
      <c r="Q89" s="42">
        <f>IFERROR(INDEX(Venues!$E$2:$E$10,MATCH(M89,Venues!$A$2:$A$10,0)),"")</f>
        <v/>
      </c>
      <c r="R89" s="15">
        <f>IF(P89&gt;0,"Yes","No")</f>
        <v/>
      </c>
      <c r="S89" s="13" t="inlineStr">
        <is>
          <t>COLA Shoreditch Park</t>
        </is>
      </c>
      <c r="T89" s="42">
        <f>IFERROR(INDEX(Venues!$E$2:$E$10,MATCH(S89,Venues!$A$2:$A$10,0)),"")</f>
        <v/>
      </c>
      <c r="U89" s="15">
        <f>IFERROR(INDEX(Venues!$F$2:$F$10,MATCH(S89,Venues!$A$2:$A$10,0)),"")</f>
        <v/>
      </c>
      <c r="V89" s="43">
        <f>IFERROR(INDEX(Venues!$H$2:$H$10,MATCH(S89,Venues!$A$2:$A$10,0)),"")</f>
        <v/>
      </c>
      <c r="W89" s="15">
        <f>IF('Pilot offer'!$C$24="Yes",'Pilot offer'!$C$3,S89)</f>
        <v/>
      </c>
      <c r="X89" s="42">
        <f>IF('Pilot offer'!$C$24="Yes",'Pilot offer'!$C$5+'Pilot offer'!$C$6,T89)</f>
        <v/>
      </c>
      <c r="Y89" s="15">
        <f>IF('Pilot offer'!$C$24="Yes",'Pilot offer'!$C$8,U89)</f>
        <v/>
      </c>
      <c r="Z89" s="43">
        <f>IF('Pilot offer'!$C$24="Yes",'Pilot offer'!$C$11,"")</f>
        <v/>
      </c>
      <c r="AA89" s="15">
        <f>IF(X89="","",W89&amp;" · "&amp;TEXT(X89,"ddd d mmm, hh:mm")&amp;" · "&amp;Y89&amp;IF(Z89&lt;&gt;""," · £"&amp;TEXT(Z89,"0.00")&amp;" per player"," · price TBC (cost £"&amp;TEXT(V89,"0.00")&amp;" pp)"))</f>
        <v/>
      </c>
      <c r="AD89" s="44" t="n"/>
    </row>
    <row r="90">
      <c r="A90" s="13" t="n">
        <v>88</v>
      </c>
      <c r="B90" s="13" t="inlineStr">
        <is>
          <t>1 · E2 Haggerston</t>
        </is>
      </c>
      <c r="C90" s="13" t="inlineStr">
        <is>
          <t>Office &amp; professional</t>
        </is>
      </c>
      <c r="D90" s="13" t="inlineStr">
        <is>
          <t>Corporate</t>
        </is>
      </c>
      <c r="E90" s="13" t="inlineStr">
        <is>
          <t>Containerville</t>
        </is>
      </c>
      <c r="F90" s="13" t="inlineStr">
        <is>
          <t>corporate_office</t>
        </is>
      </c>
      <c r="G90" s="13" t="inlineStr">
        <is>
          <t>hello@containerville.co.uk</t>
        </is>
      </c>
      <c r="H90" s="13" t="inlineStr">
        <is>
          <t>general</t>
        </is>
      </c>
      <c r="I90" s="13" t="inlineStr">
        <is>
          <t>+44 7469 149024</t>
        </is>
      </c>
      <c r="J90" s="14" t="inlineStr">
        <is>
          <t>http://www.containerville.co.uk/</t>
        </is>
      </c>
      <c r="K90" s="13" t="inlineStr">
        <is>
          <t>1 Emma St, London E2 9FP, UK</t>
        </is>
      </c>
      <c r="L90" s="13" t="inlineStr">
        <is>
          <t>E2 9FP</t>
        </is>
      </c>
      <c r="M90" s="13" t="inlineStr">
        <is>
          <t>Stepney 3G</t>
        </is>
      </c>
      <c r="N90" s="13" t="n">
        <v>20</v>
      </c>
      <c r="O90" s="15">
        <f>IFERROR(INDEX(Venues!$C$2:$C$10,MATCH(M90,Venues!$A$2:$A$10,0)),"Not checked")</f>
        <v/>
      </c>
      <c r="P90" s="15">
        <f>IFERROR(INDEX(Venues!$D$2:$D$10,MATCH(M90,Venues!$A$2:$A$10,0)),0)</f>
        <v/>
      </c>
      <c r="Q90" s="42">
        <f>IFERROR(INDEX(Venues!$E$2:$E$10,MATCH(M90,Venues!$A$2:$A$10,0)),"")</f>
        <v/>
      </c>
      <c r="R90" s="15">
        <f>IF(P90&gt;0,"Yes","No")</f>
        <v/>
      </c>
      <c r="S90" s="13" t="inlineStr">
        <is>
          <t>COLA Shoreditch Park</t>
        </is>
      </c>
      <c r="T90" s="42">
        <f>IFERROR(INDEX(Venues!$E$2:$E$10,MATCH(S90,Venues!$A$2:$A$10,0)),"")</f>
        <v/>
      </c>
      <c r="U90" s="15">
        <f>IFERROR(INDEX(Venues!$F$2:$F$10,MATCH(S90,Venues!$A$2:$A$10,0)),"")</f>
        <v/>
      </c>
      <c r="V90" s="43">
        <f>IFERROR(INDEX(Venues!$H$2:$H$10,MATCH(S90,Venues!$A$2:$A$10,0)),"")</f>
        <v/>
      </c>
      <c r="W90" s="15">
        <f>IF('Pilot offer'!$C$24="Yes",'Pilot offer'!$C$3,S90)</f>
        <v/>
      </c>
      <c r="X90" s="42">
        <f>IF('Pilot offer'!$C$24="Yes",'Pilot offer'!$C$5+'Pilot offer'!$C$6,T90)</f>
        <v/>
      </c>
      <c r="Y90" s="15">
        <f>IF('Pilot offer'!$C$24="Yes",'Pilot offer'!$C$8,U90)</f>
        <v/>
      </c>
      <c r="Z90" s="43">
        <f>IF('Pilot offer'!$C$24="Yes",'Pilot offer'!$C$11,"")</f>
        <v/>
      </c>
      <c r="AA90" s="15">
        <f>IF(X90="","",W90&amp;" · "&amp;TEXT(X90,"ddd d mmm, hh:mm")&amp;" · "&amp;Y90&amp;IF(Z90&lt;&gt;""," · £"&amp;TEXT(Z90,"0.00")&amp;" per player"," · price TBC (cost £"&amp;TEXT(V90,"0.00")&amp;" pp)"))</f>
        <v/>
      </c>
      <c r="AD90" s="44" t="n"/>
    </row>
    <row r="91">
      <c r="A91" s="13" t="n">
        <v>89</v>
      </c>
      <c r="B91" s="13" t="inlineStr">
        <is>
          <t>1 · E2 Haggerston</t>
        </is>
      </c>
      <c r="C91" s="13" t="inlineStr">
        <is>
          <t>Hospitality</t>
        </is>
      </c>
      <c r="D91" s="13" t="inlineStr">
        <is>
          <t>Local businesses</t>
        </is>
      </c>
      <c r="E91" s="13" t="inlineStr">
        <is>
          <t>Love Shack</t>
        </is>
      </c>
      <c r="F91" s="13" t="inlineStr">
        <is>
          <t>amenity: restaurant</t>
        </is>
      </c>
      <c r="G91" s="13" t="inlineStr">
        <is>
          <t>hi@loveshackldn.com</t>
        </is>
      </c>
      <c r="H91" s="13" t="inlineStr">
        <is>
          <t>general</t>
        </is>
      </c>
      <c r="I91" s="13" t="n"/>
      <c r="J91" s="14" t="inlineStr">
        <is>
          <t>https://www.loveshackldn.com/</t>
        </is>
      </c>
      <c r="K91" s="13" t="inlineStr">
        <is>
          <t>Cambridge Heath Road 298-299, London</t>
        </is>
      </c>
      <c r="L91" s="13" t="inlineStr">
        <is>
          <t>E2 9HA</t>
        </is>
      </c>
      <c r="M91" s="13" t="inlineStr">
        <is>
          <t>Stepney 3G</t>
        </is>
      </c>
      <c r="N91" s="13" t="n">
        <v>18</v>
      </c>
      <c r="O91" s="15">
        <f>IFERROR(INDEX(Venues!$C$2:$C$10,MATCH(M91,Venues!$A$2:$A$10,0)),"Not checked")</f>
        <v/>
      </c>
      <c r="P91" s="15">
        <f>IFERROR(INDEX(Venues!$D$2:$D$10,MATCH(M91,Venues!$A$2:$A$10,0)),0)</f>
        <v/>
      </c>
      <c r="Q91" s="42">
        <f>IFERROR(INDEX(Venues!$E$2:$E$10,MATCH(M91,Venues!$A$2:$A$10,0)),"")</f>
        <v/>
      </c>
      <c r="R91" s="15">
        <f>IF(P91&gt;0,"Yes","No")</f>
        <v/>
      </c>
      <c r="S91" s="13" t="inlineStr">
        <is>
          <t>COLA Shoreditch Park</t>
        </is>
      </c>
      <c r="T91" s="42">
        <f>IFERROR(INDEX(Venues!$E$2:$E$10,MATCH(S91,Venues!$A$2:$A$10,0)),"")</f>
        <v/>
      </c>
      <c r="U91" s="15">
        <f>IFERROR(INDEX(Venues!$F$2:$F$10,MATCH(S91,Venues!$A$2:$A$10,0)),"")</f>
        <v/>
      </c>
      <c r="V91" s="43">
        <f>IFERROR(INDEX(Venues!$H$2:$H$10,MATCH(S91,Venues!$A$2:$A$10,0)),"")</f>
        <v/>
      </c>
      <c r="W91" s="15">
        <f>IF('Pilot offer'!$C$24="Yes",'Pilot offer'!$C$3,S91)</f>
        <v/>
      </c>
      <c r="X91" s="42">
        <f>IF('Pilot offer'!$C$24="Yes",'Pilot offer'!$C$5+'Pilot offer'!$C$6,T91)</f>
        <v/>
      </c>
      <c r="Y91" s="15">
        <f>IF('Pilot offer'!$C$24="Yes",'Pilot offer'!$C$8,U91)</f>
        <v/>
      </c>
      <c r="Z91" s="43">
        <f>IF('Pilot offer'!$C$24="Yes",'Pilot offer'!$C$11,"")</f>
        <v/>
      </c>
      <c r="AA91" s="15">
        <f>IF(X91="","",W91&amp;" · "&amp;TEXT(X91,"ddd d mmm, hh:mm")&amp;" · "&amp;Y91&amp;IF(Z91&lt;&gt;""," · £"&amp;TEXT(Z91,"0.00")&amp;" per player"," · price TBC (cost £"&amp;TEXT(V91,"0.00")&amp;" pp)"))</f>
        <v/>
      </c>
      <c r="AD91" s="44" t="n"/>
    </row>
    <row r="92">
      <c r="A92" s="13" t="n">
        <v>90</v>
      </c>
      <c r="B92" s="13" t="inlineStr">
        <is>
          <t>1 · E2 Haggerston</t>
        </is>
      </c>
      <c r="C92" s="13" t="inlineStr">
        <is>
          <t>Education</t>
        </is>
      </c>
      <c r="D92" s="13" t="inlineStr">
        <is>
          <t>Local businesses</t>
        </is>
      </c>
      <c r="E92" s="13" t="inlineStr">
        <is>
          <t>Mowlem Primary School</t>
        </is>
      </c>
      <c r="F92" s="13" t="inlineStr">
        <is>
          <t>amenity: school</t>
        </is>
      </c>
      <c r="G92" s="13" t="inlineStr">
        <is>
          <t>admin@mowlem.towerhamlets.sch.uk</t>
        </is>
      </c>
      <c r="H92" s="13" t="inlineStr">
        <is>
          <t>general</t>
        </is>
      </c>
      <c r="I92" s="13" t="inlineStr">
        <is>
          <t>+44 20 8249 6880</t>
        </is>
      </c>
      <c r="J92" s="14" t="inlineStr">
        <is>
          <t>https://www.mowlem.towerhamlets.sch.uk/</t>
        </is>
      </c>
      <c r="K92" s="13" t="inlineStr">
        <is>
          <t>Mowlem Street, London</t>
        </is>
      </c>
      <c r="L92" s="13" t="inlineStr">
        <is>
          <t>E2 9HE</t>
        </is>
      </c>
      <c r="M92" s="13" t="inlineStr">
        <is>
          <t>Stepney 3G</t>
        </is>
      </c>
      <c r="N92" s="13" t="n">
        <v>19</v>
      </c>
      <c r="O92" s="15">
        <f>IFERROR(INDEX(Venues!$C$2:$C$10,MATCH(M92,Venues!$A$2:$A$10,0)),"Not checked")</f>
        <v/>
      </c>
      <c r="P92" s="15">
        <f>IFERROR(INDEX(Venues!$D$2:$D$10,MATCH(M92,Venues!$A$2:$A$10,0)),0)</f>
        <v/>
      </c>
      <c r="Q92" s="42">
        <f>IFERROR(INDEX(Venues!$E$2:$E$10,MATCH(M92,Venues!$A$2:$A$10,0)),"")</f>
        <v/>
      </c>
      <c r="R92" s="15">
        <f>IF(P92&gt;0,"Yes","No")</f>
        <v/>
      </c>
      <c r="S92" s="13" t="inlineStr">
        <is>
          <t>COLA Shoreditch Park</t>
        </is>
      </c>
      <c r="T92" s="42">
        <f>IFERROR(INDEX(Venues!$E$2:$E$10,MATCH(S92,Venues!$A$2:$A$10,0)),"")</f>
        <v/>
      </c>
      <c r="U92" s="15">
        <f>IFERROR(INDEX(Venues!$F$2:$F$10,MATCH(S92,Venues!$A$2:$A$10,0)),"")</f>
        <v/>
      </c>
      <c r="V92" s="43">
        <f>IFERROR(INDEX(Venues!$H$2:$H$10,MATCH(S92,Venues!$A$2:$A$10,0)),"")</f>
        <v/>
      </c>
      <c r="W92" s="15">
        <f>IF('Pilot offer'!$C$24="Yes",'Pilot offer'!$C$3,S92)</f>
        <v/>
      </c>
      <c r="X92" s="42">
        <f>IF('Pilot offer'!$C$24="Yes",'Pilot offer'!$C$5+'Pilot offer'!$C$6,T92)</f>
        <v/>
      </c>
      <c r="Y92" s="15">
        <f>IF('Pilot offer'!$C$24="Yes",'Pilot offer'!$C$8,U92)</f>
        <v/>
      </c>
      <c r="Z92" s="43">
        <f>IF('Pilot offer'!$C$24="Yes",'Pilot offer'!$C$11,"")</f>
        <v/>
      </c>
      <c r="AA92" s="15">
        <f>IF(X92="","",W92&amp;" · "&amp;TEXT(X92,"ddd d mmm, hh:mm")&amp;" · "&amp;Y92&amp;IF(Z92&lt;&gt;""," · £"&amp;TEXT(Z92,"0.00")&amp;" per player"," · price TBC (cost £"&amp;TEXT(V92,"0.00")&amp;" pp)"))</f>
        <v/>
      </c>
      <c r="AD92" s="44" t="n"/>
    </row>
    <row r="93">
      <c r="A93" s="13" t="n">
        <v>91</v>
      </c>
      <c r="B93" s="13" t="inlineStr">
        <is>
          <t>1 · E2 Haggerston</t>
        </is>
      </c>
      <c r="C93" s="13" t="inlineStr">
        <is>
          <t>Education</t>
        </is>
      </c>
      <c r="D93" s="13" t="inlineStr">
        <is>
          <t>Local businesses</t>
        </is>
      </c>
      <c r="E93" s="13" t="inlineStr">
        <is>
          <t>Gatehouse School</t>
        </is>
      </c>
      <c r="F93" s="13" t="inlineStr">
        <is>
          <t>amenity: school</t>
        </is>
      </c>
      <c r="G93" s="13" t="inlineStr">
        <is>
          <t>admin@gatehouseschool.co.uk</t>
        </is>
      </c>
      <c r="H93" s="13" t="inlineStr">
        <is>
          <t>general</t>
        </is>
      </c>
      <c r="I93" s="13" t="inlineStr">
        <is>
          <t>+44 20 8980 2978</t>
        </is>
      </c>
      <c r="J93" s="14" t="inlineStr">
        <is>
          <t>https://www.gatehouseschool.co.uk/</t>
        </is>
      </c>
      <c r="K93" s="13" t="inlineStr">
        <is>
          <t>Sewardstone Road, London</t>
        </is>
      </c>
      <c r="L93" s="13" t="inlineStr">
        <is>
          <t>E2 9JG</t>
        </is>
      </c>
      <c r="M93" s="13" t="inlineStr">
        <is>
          <t>Stepney 3G</t>
        </is>
      </c>
      <c r="N93" s="13" t="n">
        <v>14</v>
      </c>
      <c r="O93" s="15">
        <f>IFERROR(INDEX(Venues!$C$2:$C$10,MATCH(M93,Venues!$A$2:$A$10,0)),"Not checked")</f>
        <v/>
      </c>
      <c r="P93" s="15">
        <f>IFERROR(INDEX(Venues!$D$2:$D$10,MATCH(M93,Venues!$A$2:$A$10,0)),0)</f>
        <v/>
      </c>
      <c r="Q93" s="42">
        <f>IFERROR(INDEX(Venues!$E$2:$E$10,MATCH(M93,Venues!$A$2:$A$10,0)),"")</f>
        <v/>
      </c>
      <c r="R93" s="15">
        <f>IF(P93&gt;0,"Yes","No")</f>
        <v/>
      </c>
      <c r="S93" s="13" t="inlineStr">
        <is>
          <t>COLA Shoreditch Park</t>
        </is>
      </c>
      <c r="T93" s="42">
        <f>IFERROR(INDEX(Venues!$E$2:$E$10,MATCH(S93,Venues!$A$2:$A$10,0)),"")</f>
        <v/>
      </c>
      <c r="U93" s="15">
        <f>IFERROR(INDEX(Venues!$F$2:$F$10,MATCH(S93,Venues!$A$2:$A$10,0)),"")</f>
        <v/>
      </c>
      <c r="V93" s="43">
        <f>IFERROR(INDEX(Venues!$H$2:$H$10,MATCH(S93,Venues!$A$2:$A$10,0)),"")</f>
        <v/>
      </c>
      <c r="W93" s="15">
        <f>IF('Pilot offer'!$C$24="Yes",'Pilot offer'!$C$3,S93)</f>
        <v/>
      </c>
      <c r="X93" s="42">
        <f>IF('Pilot offer'!$C$24="Yes",'Pilot offer'!$C$5+'Pilot offer'!$C$6,T93)</f>
        <v/>
      </c>
      <c r="Y93" s="15">
        <f>IF('Pilot offer'!$C$24="Yes",'Pilot offer'!$C$8,U93)</f>
        <v/>
      </c>
      <c r="Z93" s="43">
        <f>IF('Pilot offer'!$C$24="Yes",'Pilot offer'!$C$11,"")</f>
        <v/>
      </c>
      <c r="AA93" s="15">
        <f>IF(X93="","",W93&amp;" · "&amp;TEXT(X93,"ddd d mmm, hh:mm")&amp;" · "&amp;Y93&amp;IF(Z93&lt;&gt;""," · £"&amp;TEXT(Z93,"0.00")&amp;" per player"," · price TBC (cost £"&amp;TEXT(V93,"0.00")&amp;" pp)"))</f>
        <v/>
      </c>
      <c r="AD93" s="44" t="n"/>
    </row>
    <row r="94">
      <c r="A94" s="13" t="n">
        <v>92</v>
      </c>
      <c r="B94" s="13" t="inlineStr">
        <is>
          <t>1 · E2 Haggerston</t>
        </is>
      </c>
      <c r="C94" s="13" t="inlineStr">
        <is>
          <t>Hospitality</t>
        </is>
      </c>
      <c r="D94" s="13" t="inlineStr">
        <is>
          <t>Local businesses</t>
        </is>
      </c>
      <c r="E94" s="13" t="inlineStr">
        <is>
          <t>The Dundee Arms</t>
        </is>
      </c>
      <c r="F94" s="13" t="inlineStr">
        <is>
          <t>amenity: pub</t>
        </is>
      </c>
      <c r="G94" s="13" t="inlineStr">
        <is>
          <t>info@thedundeearms.com</t>
        </is>
      </c>
      <c r="H94" s="13" t="inlineStr">
        <is>
          <t>openstreetmap_tag</t>
        </is>
      </c>
      <c r="I94" s="13" t="inlineStr">
        <is>
          <t>+44 20 7729 6903</t>
        </is>
      </c>
      <c r="J94" s="14" t="inlineStr">
        <is>
          <t>http://www.thedundeearms.com/</t>
        </is>
      </c>
      <c r="K94" s="13" t="inlineStr">
        <is>
          <t>Cambridge Heath Road 339, London</t>
        </is>
      </c>
      <c r="L94" s="13" t="inlineStr">
        <is>
          <t>E2 9LH</t>
        </is>
      </c>
      <c r="M94" s="13" t="inlineStr">
        <is>
          <t>Stepney 3G</t>
        </is>
      </c>
      <c r="N94" s="13" t="n">
        <v>13</v>
      </c>
      <c r="O94" s="15">
        <f>IFERROR(INDEX(Venues!$C$2:$C$10,MATCH(M94,Venues!$A$2:$A$10,0)),"Not checked")</f>
        <v/>
      </c>
      <c r="P94" s="15">
        <f>IFERROR(INDEX(Venues!$D$2:$D$10,MATCH(M94,Venues!$A$2:$A$10,0)),0)</f>
        <v/>
      </c>
      <c r="Q94" s="42">
        <f>IFERROR(INDEX(Venues!$E$2:$E$10,MATCH(M94,Venues!$A$2:$A$10,0)),"")</f>
        <v/>
      </c>
      <c r="R94" s="15">
        <f>IF(P94&gt;0,"Yes","No")</f>
        <v/>
      </c>
      <c r="S94" s="13" t="inlineStr">
        <is>
          <t>COLA Shoreditch Park</t>
        </is>
      </c>
      <c r="T94" s="42">
        <f>IFERROR(INDEX(Venues!$E$2:$E$10,MATCH(S94,Venues!$A$2:$A$10,0)),"")</f>
        <v/>
      </c>
      <c r="U94" s="15">
        <f>IFERROR(INDEX(Venues!$F$2:$F$10,MATCH(S94,Venues!$A$2:$A$10,0)),"")</f>
        <v/>
      </c>
      <c r="V94" s="43">
        <f>IFERROR(INDEX(Venues!$H$2:$H$10,MATCH(S94,Venues!$A$2:$A$10,0)),"")</f>
        <v/>
      </c>
      <c r="W94" s="15">
        <f>IF('Pilot offer'!$C$24="Yes",'Pilot offer'!$C$3,S94)</f>
        <v/>
      </c>
      <c r="X94" s="42">
        <f>IF('Pilot offer'!$C$24="Yes",'Pilot offer'!$C$5+'Pilot offer'!$C$6,T94)</f>
        <v/>
      </c>
      <c r="Y94" s="15">
        <f>IF('Pilot offer'!$C$24="Yes",'Pilot offer'!$C$8,U94)</f>
        <v/>
      </c>
      <c r="Z94" s="43">
        <f>IF('Pilot offer'!$C$24="Yes",'Pilot offer'!$C$11,"")</f>
        <v/>
      </c>
      <c r="AA94" s="15">
        <f>IF(X94="","",W94&amp;" · "&amp;TEXT(X94,"ddd d mmm, hh:mm")&amp;" · "&amp;Y94&amp;IF(Z94&lt;&gt;""," · £"&amp;TEXT(Z94,"0.00")&amp;" per player"," · price TBC (cost £"&amp;TEXT(V94,"0.00")&amp;" pp)"))</f>
        <v/>
      </c>
      <c r="AD94" s="44" t="n"/>
    </row>
    <row r="95">
      <c r="A95" s="13" t="n">
        <v>93</v>
      </c>
      <c r="B95" s="13" t="inlineStr">
        <is>
          <t>1 · E2 Haggerston</t>
        </is>
      </c>
      <c r="C95" s="13" t="inlineStr">
        <is>
          <t>Education</t>
        </is>
      </c>
      <c r="D95" s="13" t="inlineStr">
        <is>
          <t>Local businesses</t>
        </is>
      </c>
      <c r="E95" s="13" t="inlineStr">
        <is>
          <t>St John's Church of England Primary School</t>
        </is>
      </c>
      <c r="F95" s="13" t="inlineStr">
        <is>
          <t>amenity: school</t>
        </is>
      </c>
      <c r="G95" s="13" t="inlineStr">
        <is>
          <t>admin@st-johns.towerhamlets.sch.uk</t>
        </is>
      </c>
      <c r="H95" s="13" t="inlineStr">
        <is>
          <t>general</t>
        </is>
      </c>
      <c r="I95" s="13" t="inlineStr">
        <is>
          <t>+44 20 8980 1142</t>
        </is>
      </c>
      <c r="J95" s="14" t="inlineStr">
        <is>
          <t>https://www.st-johns.towerhamlets.sch.uk/</t>
        </is>
      </c>
      <c r="K95" s="13" t="inlineStr">
        <is>
          <t>Peel Grove, London</t>
        </is>
      </c>
      <c r="L95" s="13" t="inlineStr">
        <is>
          <t>E2 9LR</t>
        </is>
      </c>
      <c r="M95" s="13" t="inlineStr">
        <is>
          <t>Stepney 3G</t>
        </is>
      </c>
      <c r="N95" s="13" t="n">
        <v>14</v>
      </c>
      <c r="O95" s="15">
        <f>IFERROR(INDEX(Venues!$C$2:$C$10,MATCH(M95,Venues!$A$2:$A$10,0)),"Not checked")</f>
        <v/>
      </c>
      <c r="P95" s="15">
        <f>IFERROR(INDEX(Venues!$D$2:$D$10,MATCH(M95,Venues!$A$2:$A$10,0)),0)</f>
        <v/>
      </c>
      <c r="Q95" s="42">
        <f>IFERROR(INDEX(Venues!$E$2:$E$10,MATCH(M95,Venues!$A$2:$A$10,0)),"")</f>
        <v/>
      </c>
      <c r="R95" s="15">
        <f>IF(P95&gt;0,"Yes","No")</f>
        <v/>
      </c>
      <c r="S95" s="13" t="inlineStr">
        <is>
          <t>COLA Shoreditch Park</t>
        </is>
      </c>
      <c r="T95" s="42">
        <f>IFERROR(INDEX(Venues!$E$2:$E$10,MATCH(S95,Venues!$A$2:$A$10,0)),"")</f>
        <v/>
      </c>
      <c r="U95" s="15">
        <f>IFERROR(INDEX(Venues!$F$2:$F$10,MATCH(S95,Venues!$A$2:$A$10,0)),"")</f>
        <v/>
      </c>
      <c r="V95" s="43">
        <f>IFERROR(INDEX(Venues!$H$2:$H$10,MATCH(S95,Venues!$A$2:$A$10,0)),"")</f>
        <v/>
      </c>
      <c r="W95" s="15">
        <f>IF('Pilot offer'!$C$24="Yes",'Pilot offer'!$C$3,S95)</f>
        <v/>
      </c>
      <c r="X95" s="42">
        <f>IF('Pilot offer'!$C$24="Yes",'Pilot offer'!$C$5+'Pilot offer'!$C$6,T95)</f>
        <v/>
      </c>
      <c r="Y95" s="15">
        <f>IF('Pilot offer'!$C$24="Yes",'Pilot offer'!$C$8,U95)</f>
        <v/>
      </c>
      <c r="Z95" s="43">
        <f>IF('Pilot offer'!$C$24="Yes",'Pilot offer'!$C$11,"")</f>
        <v/>
      </c>
      <c r="AA95" s="15">
        <f>IF(X95="","",W95&amp;" · "&amp;TEXT(X95,"ddd d mmm, hh:mm")&amp;" · "&amp;Y95&amp;IF(Z95&lt;&gt;""," · £"&amp;TEXT(Z95,"0.00")&amp;" per player"," · price TBC (cost £"&amp;TEXT(V95,"0.00")&amp;" pp)"))</f>
        <v/>
      </c>
      <c r="AD95" s="44" t="n"/>
    </row>
    <row r="96">
      <c r="A96" s="13" t="n">
        <v>94</v>
      </c>
      <c r="B96" s="13" t="inlineStr">
        <is>
          <t>1 · E2 Haggerston</t>
        </is>
      </c>
      <c r="C96" s="13" t="inlineStr">
        <is>
          <t>Hospitality</t>
        </is>
      </c>
      <c r="D96" s="13" t="inlineStr">
        <is>
          <t>Local businesses</t>
        </is>
      </c>
      <c r="E96" s="13" t="inlineStr">
        <is>
          <t>The Approach Tavern</t>
        </is>
      </c>
      <c r="F96" s="13" t="inlineStr">
        <is>
          <t>amenity: pub</t>
        </is>
      </c>
      <c r="G96" s="13" t="inlineStr">
        <is>
          <t>approachtavern@remarkablepubs.co.uk</t>
        </is>
      </c>
      <c r="H96" s="13" t="inlineStr">
        <is>
          <t>openstreetmap_tag</t>
        </is>
      </c>
      <c r="I96" s="13" t="inlineStr">
        <is>
          <t>+44 20 8980 2321</t>
        </is>
      </c>
      <c r="J96" s="14" t="inlineStr">
        <is>
          <t>https://theapproachtavern.co.uk/</t>
        </is>
      </c>
      <c r="K96" s="13" t="inlineStr">
        <is>
          <t>Approach Road 47, London</t>
        </is>
      </c>
      <c r="L96" s="13" t="inlineStr">
        <is>
          <t>E2 9LY</t>
        </is>
      </c>
      <c r="M96" s="13" t="inlineStr">
        <is>
          <t>Stepney 3G</t>
        </is>
      </c>
      <c r="N96" s="13" t="n">
        <v>14</v>
      </c>
      <c r="O96" s="15">
        <f>IFERROR(INDEX(Venues!$C$2:$C$10,MATCH(M96,Venues!$A$2:$A$10,0)),"Not checked")</f>
        <v/>
      </c>
      <c r="P96" s="15">
        <f>IFERROR(INDEX(Venues!$D$2:$D$10,MATCH(M96,Venues!$A$2:$A$10,0)),0)</f>
        <v/>
      </c>
      <c r="Q96" s="42">
        <f>IFERROR(INDEX(Venues!$E$2:$E$10,MATCH(M96,Venues!$A$2:$A$10,0)),"")</f>
        <v/>
      </c>
      <c r="R96" s="15">
        <f>IF(P96&gt;0,"Yes","No")</f>
        <v/>
      </c>
      <c r="S96" s="13" t="inlineStr">
        <is>
          <t>COLA Shoreditch Park</t>
        </is>
      </c>
      <c r="T96" s="42">
        <f>IFERROR(INDEX(Venues!$E$2:$E$10,MATCH(S96,Venues!$A$2:$A$10,0)),"")</f>
        <v/>
      </c>
      <c r="U96" s="15">
        <f>IFERROR(INDEX(Venues!$F$2:$F$10,MATCH(S96,Venues!$A$2:$A$10,0)),"")</f>
        <v/>
      </c>
      <c r="V96" s="43">
        <f>IFERROR(INDEX(Venues!$H$2:$H$10,MATCH(S96,Venues!$A$2:$A$10,0)),"")</f>
        <v/>
      </c>
      <c r="W96" s="15">
        <f>IF('Pilot offer'!$C$24="Yes",'Pilot offer'!$C$3,S96)</f>
        <v/>
      </c>
      <c r="X96" s="42">
        <f>IF('Pilot offer'!$C$24="Yes",'Pilot offer'!$C$5+'Pilot offer'!$C$6,T96)</f>
        <v/>
      </c>
      <c r="Y96" s="15">
        <f>IF('Pilot offer'!$C$24="Yes",'Pilot offer'!$C$8,U96)</f>
        <v/>
      </c>
      <c r="Z96" s="43">
        <f>IF('Pilot offer'!$C$24="Yes",'Pilot offer'!$C$11,"")</f>
        <v/>
      </c>
      <c r="AA96" s="15">
        <f>IF(X96="","",W96&amp;" · "&amp;TEXT(X96,"ddd d mmm, hh:mm")&amp;" · "&amp;Y96&amp;IF(Z96&lt;&gt;""," · £"&amp;TEXT(Z96,"0.00")&amp;" per player"," · price TBC (cost £"&amp;TEXT(V96,"0.00")&amp;" pp)"))</f>
        <v/>
      </c>
      <c r="AD96" s="44" t="n"/>
    </row>
    <row r="97">
      <c r="A97" s="13" t="n">
        <v>95</v>
      </c>
      <c r="B97" s="13" t="inlineStr">
        <is>
          <t>1 · E2 Haggerston</t>
        </is>
      </c>
      <c r="C97" s="13" t="inlineStr">
        <is>
          <t>Hospitality</t>
        </is>
      </c>
      <c r="D97" s="13" t="inlineStr">
        <is>
          <t>Local businesses</t>
        </is>
      </c>
      <c r="E97" s="13" t="inlineStr">
        <is>
          <t>The Solo Kitchen &amp; Bar</t>
        </is>
      </c>
      <c r="F97" s="13" t="inlineStr">
        <is>
          <t>amenity: restaurant</t>
        </is>
      </c>
      <c r="G97" s="13" t="inlineStr">
        <is>
          <t>info@thesolo.co.uk</t>
        </is>
      </c>
      <c r="H97" s="13" t="inlineStr">
        <is>
          <t>general</t>
        </is>
      </c>
      <c r="I97" s="13" t="inlineStr">
        <is>
          <t>+44 20 8014 2656</t>
        </is>
      </c>
      <c r="J97" s="14" t="inlineStr">
        <is>
          <t>https://www.thesolo.co.uk/</t>
        </is>
      </c>
      <c r="K97" s="13" t="inlineStr">
        <is>
          <t>Cambridge Heath Road, London</t>
        </is>
      </c>
      <c r="L97" s="13" t="inlineStr">
        <is>
          <t>E2 9PA</t>
        </is>
      </c>
      <c r="M97" s="13" t="inlineStr">
        <is>
          <t>Stepney 3G</t>
        </is>
      </c>
      <c r="N97" s="13" t="n">
        <v>11</v>
      </c>
      <c r="O97" s="15">
        <f>IFERROR(INDEX(Venues!$C$2:$C$10,MATCH(M97,Venues!$A$2:$A$10,0)),"Not checked")</f>
        <v/>
      </c>
      <c r="P97" s="15">
        <f>IFERROR(INDEX(Venues!$D$2:$D$10,MATCH(M97,Venues!$A$2:$A$10,0)),0)</f>
        <v/>
      </c>
      <c r="Q97" s="42">
        <f>IFERROR(INDEX(Venues!$E$2:$E$10,MATCH(M97,Venues!$A$2:$A$10,0)),"")</f>
        <v/>
      </c>
      <c r="R97" s="15">
        <f>IF(P97&gt;0,"Yes","No")</f>
        <v/>
      </c>
      <c r="S97" s="13" t="inlineStr">
        <is>
          <t>COLA Shoreditch Park</t>
        </is>
      </c>
      <c r="T97" s="42">
        <f>IFERROR(INDEX(Venues!$E$2:$E$10,MATCH(S97,Venues!$A$2:$A$10,0)),"")</f>
        <v/>
      </c>
      <c r="U97" s="15">
        <f>IFERROR(INDEX(Venues!$F$2:$F$10,MATCH(S97,Venues!$A$2:$A$10,0)),"")</f>
        <v/>
      </c>
      <c r="V97" s="43">
        <f>IFERROR(INDEX(Venues!$H$2:$H$10,MATCH(S97,Venues!$A$2:$A$10,0)),"")</f>
        <v/>
      </c>
      <c r="W97" s="15">
        <f>IF('Pilot offer'!$C$24="Yes",'Pilot offer'!$C$3,S97)</f>
        <v/>
      </c>
      <c r="X97" s="42">
        <f>IF('Pilot offer'!$C$24="Yes",'Pilot offer'!$C$5+'Pilot offer'!$C$6,T97)</f>
        <v/>
      </c>
      <c r="Y97" s="15">
        <f>IF('Pilot offer'!$C$24="Yes",'Pilot offer'!$C$8,U97)</f>
        <v/>
      </c>
      <c r="Z97" s="43">
        <f>IF('Pilot offer'!$C$24="Yes",'Pilot offer'!$C$11,"")</f>
        <v/>
      </c>
      <c r="AA97" s="15">
        <f>IF(X97="","",W97&amp;" · "&amp;TEXT(X97,"ddd d mmm, hh:mm")&amp;" · "&amp;Y97&amp;IF(Z97&lt;&gt;""," · £"&amp;TEXT(Z97,"0.00")&amp;" per player"," · price TBC (cost £"&amp;TEXT(V97,"0.00")&amp;" pp)"))</f>
        <v/>
      </c>
      <c r="AD97" s="44" t="n"/>
    </row>
    <row r="98">
      <c r="A98" s="13" t="n">
        <v>96</v>
      </c>
      <c r="B98" s="13" t="inlineStr">
        <is>
          <t>1 · E2 Haggerston</t>
        </is>
      </c>
      <c r="C98" s="13" t="inlineStr">
        <is>
          <t>Leisure &amp; culture</t>
        </is>
      </c>
      <c r="D98" s="13" t="inlineStr">
        <is>
          <t>Local businesses</t>
        </is>
      </c>
      <c r="E98" s="13" t="inlineStr">
        <is>
          <t>Young V&amp;A</t>
        </is>
      </c>
      <c r="F98" s="13" t="inlineStr">
        <is>
          <t>tourism: museum</t>
        </is>
      </c>
      <c r="G98" s="13" t="inlineStr">
        <is>
          <t>hello@vam.ac.uk</t>
        </is>
      </c>
      <c r="H98" s="13" t="inlineStr">
        <is>
          <t>general</t>
        </is>
      </c>
      <c r="I98" s="13" t="inlineStr">
        <is>
          <t>+44 20 7942 2000</t>
        </is>
      </c>
      <c r="J98" s="14" t="inlineStr">
        <is>
          <t>https://www.vam.ac.uk/young</t>
        </is>
      </c>
      <c r="K98" s="13" t="inlineStr">
        <is>
          <t>Cambridge Heath Road, London</t>
        </is>
      </c>
      <c r="L98" s="13" t="inlineStr">
        <is>
          <t>E2 9PA</t>
        </is>
      </c>
      <c r="M98" s="13" t="inlineStr">
        <is>
          <t>Stepney 3G</t>
        </is>
      </c>
      <c r="N98" s="13" t="n">
        <v>12</v>
      </c>
      <c r="O98" s="15">
        <f>IFERROR(INDEX(Venues!$C$2:$C$10,MATCH(M98,Venues!$A$2:$A$10,0)),"Not checked")</f>
        <v/>
      </c>
      <c r="P98" s="15">
        <f>IFERROR(INDEX(Venues!$D$2:$D$10,MATCH(M98,Venues!$A$2:$A$10,0)),0)</f>
        <v/>
      </c>
      <c r="Q98" s="42">
        <f>IFERROR(INDEX(Venues!$E$2:$E$10,MATCH(M98,Venues!$A$2:$A$10,0)),"")</f>
        <v/>
      </c>
      <c r="R98" s="15">
        <f>IF(P98&gt;0,"Yes","No")</f>
        <v/>
      </c>
      <c r="S98" s="13" t="inlineStr">
        <is>
          <t>COLA Shoreditch Park</t>
        </is>
      </c>
      <c r="T98" s="42">
        <f>IFERROR(INDEX(Venues!$E$2:$E$10,MATCH(S98,Venues!$A$2:$A$10,0)),"")</f>
        <v/>
      </c>
      <c r="U98" s="15">
        <f>IFERROR(INDEX(Venues!$F$2:$F$10,MATCH(S98,Venues!$A$2:$A$10,0)),"")</f>
        <v/>
      </c>
      <c r="V98" s="43">
        <f>IFERROR(INDEX(Venues!$H$2:$H$10,MATCH(S98,Venues!$A$2:$A$10,0)),"")</f>
        <v/>
      </c>
      <c r="W98" s="15">
        <f>IF('Pilot offer'!$C$24="Yes",'Pilot offer'!$C$3,S98)</f>
        <v/>
      </c>
      <c r="X98" s="42">
        <f>IF('Pilot offer'!$C$24="Yes",'Pilot offer'!$C$5+'Pilot offer'!$C$6,T98)</f>
        <v/>
      </c>
      <c r="Y98" s="15">
        <f>IF('Pilot offer'!$C$24="Yes",'Pilot offer'!$C$8,U98)</f>
        <v/>
      </c>
      <c r="Z98" s="43">
        <f>IF('Pilot offer'!$C$24="Yes",'Pilot offer'!$C$11,"")</f>
        <v/>
      </c>
      <c r="AA98" s="15">
        <f>IF(X98="","",W98&amp;" · "&amp;TEXT(X98,"ddd d mmm, hh:mm")&amp;" · "&amp;Y98&amp;IF(Z98&lt;&gt;""," · £"&amp;TEXT(Z98,"0.00")&amp;" per player"," · price TBC (cost £"&amp;TEXT(V98,"0.00")&amp;" pp)"))</f>
        <v/>
      </c>
      <c r="AD98" s="44" t="n"/>
    </row>
    <row r="99">
      <c r="A99" s="13" t="n">
        <v>97</v>
      </c>
      <c r="B99" s="13" t="inlineStr">
        <is>
          <t>1 · E2 Haggerston</t>
        </is>
      </c>
      <c r="C99" s="13" t="inlineStr">
        <is>
          <t>Hospitality</t>
        </is>
      </c>
      <c r="D99" s="13" t="inlineStr">
        <is>
          <t>Local businesses</t>
        </is>
      </c>
      <c r="E99" s="13" t="inlineStr">
        <is>
          <t>Gallery Café</t>
        </is>
      </c>
      <c r="F99" s="13" t="inlineStr">
        <is>
          <t>amenity: cafe</t>
        </is>
      </c>
      <c r="G99" s="13" t="inlineStr">
        <is>
          <t>office@stmargaretshouse.org.uk</t>
        </is>
      </c>
      <c r="H99" s="13" t="inlineStr">
        <is>
          <t>general</t>
        </is>
      </c>
      <c r="I99" s="13" t="n"/>
      <c r="J99" s="14" t="inlineStr">
        <is>
          <t>https://www.stmargaretshouse.org.uk/the-gallery-cafe</t>
        </is>
      </c>
      <c r="K99" s="13" t="inlineStr">
        <is>
          <t>Old Ford Road 15-23, London</t>
        </is>
      </c>
      <c r="L99" s="13" t="inlineStr">
        <is>
          <t>E2 9PJ</t>
        </is>
      </c>
      <c r="M99" s="13" t="inlineStr">
        <is>
          <t>Stepney 3G</t>
        </is>
      </c>
      <c r="N99" s="13" t="n">
        <v>13</v>
      </c>
      <c r="O99" s="15">
        <f>IFERROR(INDEX(Venues!$C$2:$C$10,MATCH(M99,Venues!$A$2:$A$10,0)),"Not checked")</f>
        <v/>
      </c>
      <c r="P99" s="15">
        <f>IFERROR(INDEX(Venues!$D$2:$D$10,MATCH(M99,Venues!$A$2:$A$10,0)),0)</f>
        <v/>
      </c>
      <c r="Q99" s="42">
        <f>IFERROR(INDEX(Venues!$E$2:$E$10,MATCH(M99,Venues!$A$2:$A$10,0)),"")</f>
        <v/>
      </c>
      <c r="R99" s="15">
        <f>IF(P99&gt;0,"Yes","No")</f>
        <v/>
      </c>
      <c r="S99" s="13" t="inlineStr">
        <is>
          <t>COLA Shoreditch Park</t>
        </is>
      </c>
      <c r="T99" s="42">
        <f>IFERROR(INDEX(Venues!$E$2:$E$10,MATCH(S99,Venues!$A$2:$A$10,0)),"")</f>
        <v/>
      </c>
      <c r="U99" s="15">
        <f>IFERROR(INDEX(Venues!$F$2:$F$10,MATCH(S99,Venues!$A$2:$A$10,0)),"")</f>
        <v/>
      </c>
      <c r="V99" s="43">
        <f>IFERROR(INDEX(Venues!$H$2:$H$10,MATCH(S99,Venues!$A$2:$A$10,0)),"")</f>
        <v/>
      </c>
      <c r="W99" s="15">
        <f>IF('Pilot offer'!$C$24="Yes",'Pilot offer'!$C$3,S99)</f>
        <v/>
      </c>
      <c r="X99" s="42">
        <f>IF('Pilot offer'!$C$24="Yes",'Pilot offer'!$C$5+'Pilot offer'!$C$6,T99)</f>
        <v/>
      </c>
      <c r="Y99" s="15">
        <f>IF('Pilot offer'!$C$24="Yes",'Pilot offer'!$C$8,U99)</f>
        <v/>
      </c>
      <c r="Z99" s="43">
        <f>IF('Pilot offer'!$C$24="Yes",'Pilot offer'!$C$11,"")</f>
        <v/>
      </c>
      <c r="AA99" s="15">
        <f>IF(X99="","",W99&amp;" · "&amp;TEXT(X99,"ddd d mmm, hh:mm")&amp;" · "&amp;Y99&amp;IF(Z99&lt;&gt;""," · £"&amp;TEXT(Z99,"0.00")&amp;" per player"," · price TBC (cost £"&amp;TEXT(V99,"0.00")&amp;" pp)"))</f>
        <v/>
      </c>
      <c r="AD99" s="44" t="n"/>
    </row>
    <row r="100">
      <c r="A100" s="13" t="n">
        <v>98</v>
      </c>
      <c r="B100" s="13" t="inlineStr">
        <is>
          <t>1 · E2 Haggerston</t>
        </is>
      </c>
      <c r="C100" s="13" t="inlineStr">
        <is>
          <t>Retail</t>
        </is>
      </c>
      <c r="D100" s="13" t="inlineStr">
        <is>
          <t>Local businesses</t>
        </is>
      </c>
      <c r="E100" s="13" t="inlineStr">
        <is>
          <t>The People's Letters Bookshop</t>
        </is>
      </c>
      <c r="F100" s="13" t="inlineStr">
        <is>
          <t>shop: books</t>
        </is>
      </c>
      <c r="G100" s="13" t="inlineStr">
        <is>
          <t>info@peoplesletters.org</t>
        </is>
      </c>
      <c r="H100" s="13" t="inlineStr">
        <is>
          <t>general</t>
        </is>
      </c>
      <c r="I100" s="13" t="n"/>
      <c r="J100" s="14" t="inlineStr">
        <is>
          <t>https://peoplesletters.org/</t>
        </is>
      </c>
      <c r="K100" s="13" t="inlineStr">
        <is>
          <t>Cambridge Heath Road 395, London</t>
        </is>
      </c>
      <c r="L100" s="13" t="inlineStr">
        <is>
          <t>E2 9RA</t>
        </is>
      </c>
      <c r="M100" s="13" t="inlineStr">
        <is>
          <t>Stepney 3G</t>
        </is>
      </c>
      <c r="N100" s="13" t="n">
        <v>15</v>
      </c>
      <c r="O100" s="15">
        <f>IFERROR(INDEX(Venues!$C$2:$C$10,MATCH(M100,Venues!$A$2:$A$10,0)),"Not checked")</f>
        <v/>
      </c>
      <c r="P100" s="15">
        <f>IFERROR(INDEX(Venues!$D$2:$D$10,MATCH(M100,Venues!$A$2:$A$10,0)),0)</f>
        <v/>
      </c>
      <c r="Q100" s="42">
        <f>IFERROR(INDEX(Venues!$E$2:$E$10,MATCH(M100,Venues!$A$2:$A$10,0)),"")</f>
        <v/>
      </c>
      <c r="R100" s="15">
        <f>IF(P100&gt;0,"Yes","No")</f>
        <v/>
      </c>
      <c r="S100" s="13" t="inlineStr">
        <is>
          <t>COLA Shoreditch Park</t>
        </is>
      </c>
      <c r="T100" s="42">
        <f>IFERROR(INDEX(Venues!$E$2:$E$10,MATCH(S100,Venues!$A$2:$A$10,0)),"")</f>
        <v/>
      </c>
      <c r="U100" s="15">
        <f>IFERROR(INDEX(Venues!$F$2:$F$10,MATCH(S100,Venues!$A$2:$A$10,0)),"")</f>
        <v/>
      </c>
      <c r="V100" s="43">
        <f>IFERROR(INDEX(Venues!$H$2:$H$10,MATCH(S100,Venues!$A$2:$A$10,0)),"")</f>
        <v/>
      </c>
      <c r="W100" s="15">
        <f>IF('Pilot offer'!$C$24="Yes",'Pilot offer'!$C$3,S100)</f>
        <v/>
      </c>
      <c r="X100" s="42">
        <f>IF('Pilot offer'!$C$24="Yes",'Pilot offer'!$C$5+'Pilot offer'!$C$6,T100)</f>
        <v/>
      </c>
      <c r="Y100" s="15">
        <f>IF('Pilot offer'!$C$24="Yes",'Pilot offer'!$C$8,U100)</f>
        <v/>
      </c>
      <c r="Z100" s="43">
        <f>IF('Pilot offer'!$C$24="Yes",'Pilot offer'!$C$11,"")</f>
        <v/>
      </c>
      <c r="AA100" s="15">
        <f>IF(X100="","",W100&amp;" · "&amp;TEXT(X100,"ddd d mmm, hh:mm")&amp;" · "&amp;Y100&amp;IF(Z100&lt;&gt;""," · £"&amp;TEXT(Z100,"0.00")&amp;" per player"," · price TBC (cost £"&amp;TEXT(V100,"0.00")&amp;" pp)"))</f>
        <v/>
      </c>
      <c r="AD100" s="44" t="n"/>
    </row>
    <row r="101">
      <c r="A101" s="13" t="n">
        <v>99</v>
      </c>
      <c r="B101" s="13" t="inlineStr">
        <is>
          <t>1 · E2 Haggerston</t>
        </is>
      </c>
      <c r="C101" s="13" t="inlineStr">
        <is>
          <t>Hospitality</t>
        </is>
      </c>
      <c r="D101" s="13" t="inlineStr">
        <is>
          <t>Local businesses</t>
        </is>
      </c>
      <c r="E101" s="13" t="inlineStr">
        <is>
          <t>Burnt</t>
        </is>
      </c>
      <c r="F101" s="13" t="inlineStr">
        <is>
          <t>amenity: cafe</t>
        </is>
      </c>
      <c r="G101" s="13" t="inlineStr">
        <is>
          <t>info@burntrestaurant.co.uk</t>
        </is>
      </c>
      <c r="H101" s="13" t="inlineStr">
        <is>
          <t>general</t>
        </is>
      </c>
      <c r="I101" s="13" t="n"/>
      <c r="J101" s="14" t="inlineStr">
        <is>
          <t>https://www.burntrestaurant.co.uk/burnt-arches</t>
        </is>
      </c>
      <c r="K101" s="13" t="inlineStr">
        <is>
          <t>Poyser Street 278, London</t>
        </is>
      </c>
      <c r="L101" s="13" t="inlineStr">
        <is>
          <t>E2 9RF</t>
        </is>
      </c>
      <c r="M101" s="13" t="inlineStr">
        <is>
          <t>Stepney 3G</t>
        </is>
      </c>
      <c r="N101" s="13" t="n">
        <v>15</v>
      </c>
      <c r="O101" s="15">
        <f>IFERROR(INDEX(Venues!$C$2:$C$10,MATCH(M101,Venues!$A$2:$A$10,0)),"Not checked")</f>
        <v/>
      </c>
      <c r="P101" s="15">
        <f>IFERROR(INDEX(Venues!$D$2:$D$10,MATCH(M101,Venues!$A$2:$A$10,0)),0)</f>
        <v/>
      </c>
      <c r="Q101" s="42">
        <f>IFERROR(INDEX(Venues!$E$2:$E$10,MATCH(M101,Venues!$A$2:$A$10,0)),"")</f>
        <v/>
      </c>
      <c r="R101" s="15">
        <f>IF(P101&gt;0,"Yes","No")</f>
        <v/>
      </c>
      <c r="S101" s="13" t="inlineStr">
        <is>
          <t>COLA Shoreditch Park</t>
        </is>
      </c>
      <c r="T101" s="42">
        <f>IFERROR(INDEX(Venues!$E$2:$E$10,MATCH(S101,Venues!$A$2:$A$10,0)),"")</f>
        <v/>
      </c>
      <c r="U101" s="15">
        <f>IFERROR(INDEX(Venues!$F$2:$F$10,MATCH(S101,Venues!$A$2:$A$10,0)),"")</f>
        <v/>
      </c>
      <c r="V101" s="43">
        <f>IFERROR(INDEX(Venues!$H$2:$H$10,MATCH(S101,Venues!$A$2:$A$10,0)),"")</f>
        <v/>
      </c>
      <c r="W101" s="15">
        <f>IF('Pilot offer'!$C$24="Yes",'Pilot offer'!$C$3,S101)</f>
        <v/>
      </c>
      <c r="X101" s="42">
        <f>IF('Pilot offer'!$C$24="Yes",'Pilot offer'!$C$5+'Pilot offer'!$C$6,T101)</f>
        <v/>
      </c>
      <c r="Y101" s="15">
        <f>IF('Pilot offer'!$C$24="Yes",'Pilot offer'!$C$8,U101)</f>
        <v/>
      </c>
      <c r="Z101" s="43">
        <f>IF('Pilot offer'!$C$24="Yes",'Pilot offer'!$C$11,"")</f>
        <v/>
      </c>
      <c r="AA101" s="15">
        <f>IF(X101="","",W101&amp;" · "&amp;TEXT(X101,"ddd d mmm, hh:mm")&amp;" · "&amp;Y101&amp;IF(Z101&lt;&gt;""," · £"&amp;TEXT(Z101,"0.00")&amp;" per player"," · price TBC (cost £"&amp;TEXT(V101,"0.00")&amp;" pp)"))</f>
        <v/>
      </c>
      <c r="AD101" s="44" t="n"/>
    </row>
    <row r="102">
      <c r="A102" s="13" t="n">
        <v>100</v>
      </c>
      <c r="B102" s="13" t="inlineStr">
        <is>
          <t>1 · E2 Haggerston</t>
        </is>
      </c>
      <c r="C102" s="13" t="inlineStr">
        <is>
          <t>Leisure &amp; culture</t>
        </is>
      </c>
      <c r="D102" s="13" t="inlineStr">
        <is>
          <t>Local businesses</t>
        </is>
      </c>
      <c r="E102" s="13" t="inlineStr">
        <is>
          <t>Vagina Museum</t>
        </is>
      </c>
      <c r="F102" s="13" t="inlineStr">
        <is>
          <t>tourism: museum</t>
        </is>
      </c>
      <c r="G102" s="13" t="inlineStr">
        <is>
          <t>info@vaginamuseum.co.uk</t>
        </is>
      </c>
      <c r="H102" s="13" t="inlineStr">
        <is>
          <t>openstreetmap_tag</t>
        </is>
      </c>
      <c r="I102" s="13" t="n"/>
      <c r="J102" s="14" t="inlineStr">
        <is>
          <t>https://www.vaginamuseum.co.uk/</t>
        </is>
      </c>
      <c r="K102" s="13" t="inlineStr">
        <is>
          <t>Poyser Street 275-276, London</t>
        </is>
      </c>
      <c r="L102" s="13" t="inlineStr">
        <is>
          <t>E2 9RF</t>
        </is>
      </c>
      <c r="M102" s="13" t="inlineStr">
        <is>
          <t>Stepney 3G</t>
        </is>
      </c>
      <c r="N102" s="13" t="n">
        <v>15</v>
      </c>
      <c r="O102" s="15">
        <f>IFERROR(INDEX(Venues!$C$2:$C$10,MATCH(M102,Venues!$A$2:$A$10,0)),"Not checked")</f>
        <v/>
      </c>
      <c r="P102" s="15">
        <f>IFERROR(INDEX(Venues!$D$2:$D$10,MATCH(M102,Venues!$A$2:$A$10,0)),0)</f>
        <v/>
      </c>
      <c r="Q102" s="42">
        <f>IFERROR(INDEX(Venues!$E$2:$E$10,MATCH(M102,Venues!$A$2:$A$10,0)),"")</f>
        <v/>
      </c>
      <c r="R102" s="15">
        <f>IF(P102&gt;0,"Yes","No")</f>
        <v/>
      </c>
      <c r="S102" s="13" t="inlineStr">
        <is>
          <t>COLA Shoreditch Park</t>
        </is>
      </c>
      <c r="T102" s="42">
        <f>IFERROR(INDEX(Venues!$E$2:$E$10,MATCH(S102,Venues!$A$2:$A$10,0)),"")</f>
        <v/>
      </c>
      <c r="U102" s="15">
        <f>IFERROR(INDEX(Venues!$F$2:$F$10,MATCH(S102,Venues!$A$2:$A$10,0)),"")</f>
        <v/>
      </c>
      <c r="V102" s="43">
        <f>IFERROR(INDEX(Venues!$H$2:$H$10,MATCH(S102,Venues!$A$2:$A$10,0)),"")</f>
        <v/>
      </c>
      <c r="W102" s="15">
        <f>IF('Pilot offer'!$C$24="Yes",'Pilot offer'!$C$3,S102)</f>
        <v/>
      </c>
      <c r="X102" s="42">
        <f>IF('Pilot offer'!$C$24="Yes",'Pilot offer'!$C$5+'Pilot offer'!$C$6,T102)</f>
        <v/>
      </c>
      <c r="Y102" s="15">
        <f>IF('Pilot offer'!$C$24="Yes",'Pilot offer'!$C$8,U102)</f>
        <v/>
      </c>
      <c r="Z102" s="43">
        <f>IF('Pilot offer'!$C$24="Yes",'Pilot offer'!$C$11,"")</f>
        <v/>
      </c>
      <c r="AA102" s="15">
        <f>IF(X102="","",W102&amp;" · "&amp;TEXT(X102,"ddd d mmm, hh:mm")&amp;" · "&amp;Y102&amp;IF(Z102&lt;&gt;""," · £"&amp;TEXT(Z102,"0.00")&amp;" per player"," · price TBC (cost £"&amp;TEXT(V102,"0.00")&amp;" pp)"))</f>
        <v/>
      </c>
      <c r="AD102" s="44" t="n"/>
    </row>
    <row r="103">
      <c r="A103" s="13" t="n">
        <v>101</v>
      </c>
      <c r="B103" s="13" t="inlineStr">
        <is>
          <t>1 · E8 London Fields</t>
        </is>
      </c>
      <c r="C103" s="13" t="inlineStr">
        <is>
          <t>Education</t>
        </is>
      </c>
      <c r="D103" s="13" t="inlineStr">
        <is>
          <t>Local businesses</t>
        </is>
      </c>
      <c r="E103" s="13" t="inlineStr">
        <is>
          <t>Mossbourne Parkside Academy</t>
        </is>
      </c>
      <c r="F103" s="13" t="inlineStr">
        <is>
          <t>amenity: school</t>
        </is>
      </c>
      <c r="G103" s="13" t="inlineStr">
        <is>
          <t>enquiries@mossbourne.org</t>
        </is>
      </c>
      <c r="H103" s="13" t="inlineStr">
        <is>
          <t>general</t>
        </is>
      </c>
      <c r="I103" s="13" t="inlineStr">
        <is>
          <t>+44 20 8618 1300</t>
        </is>
      </c>
      <c r="J103" s="14" t="inlineStr">
        <is>
          <t>https://www.mpa.mossbourne.org/</t>
        </is>
      </c>
      <c r="K103" s="13" t="inlineStr">
        <is>
          <t>Sigdon Road, London</t>
        </is>
      </c>
      <c r="L103" s="13" t="inlineStr">
        <is>
          <t>E8 1AS</t>
        </is>
      </c>
      <c r="M103" s="13" t="inlineStr">
        <is>
          <t>Hackney</t>
        </is>
      </c>
      <c r="N103" s="13" t="n">
        <v>14</v>
      </c>
      <c r="O103" s="15">
        <f>IFERROR(INDEX(Venues!$C$2:$C$10,MATCH(M103,Venues!$A$2:$A$10,0)),"Not checked")</f>
        <v/>
      </c>
      <c r="P103" s="15">
        <f>IFERROR(INDEX(Venues!$D$2:$D$10,MATCH(M103,Venues!$A$2:$A$10,0)),0)</f>
        <v/>
      </c>
      <c r="Q103" s="42">
        <f>IFERROR(INDEX(Venues!$E$2:$E$10,MATCH(M103,Venues!$A$2:$A$10,0)),"")</f>
        <v/>
      </c>
      <c r="R103" s="15">
        <f>IF(P103&gt;0,"Yes","No")</f>
        <v/>
      </c>
      <c r="S103" s="13" t="inlineStr">
        <is>
          <t>Hackney</t>
        </is>
      </c>
      <c r="T103" s="42">
        <f>IFERROR(INDEX(Venues!$E$2:$E$10,MATCH(S103,Venues!$A$2:$A$10,0)),"")</f>
        <v/>
      </c>
      <c r="U103" s="15">
        <f>IFERROR(INDEX(Venues!$F$2:$F$10,MATCH(S103,Venues!$A$2:$A$10,0)),"")</f>
        <v/>
      </c>
      <c r="V103" s="43">
        <f>IFERROR(INDEX(Venues!$H$2:$H$10,MATCH(S103,Venues!$A$2:$A$10,0)),"")</f>
        <v/>
      </c>
      <c r="W103" s="15">
        <f>IF('Pilot offer'!$C$24="Yes",'Pilot offer'!$C$3,S103)</f>
        <v/>
      </c>
      <c r="X103" s="42">
        <f>IF('Pilot offer'!$C$24="Yes",'Pilot offer'!$C$5+'Pilot offer'!$C$6,T103)</f>
        <v/>
      </c>
      <c r="Y103" s="15">
        <f>IF('Pilot offer'!$C$24="Yes",'Pilot offer'!$C$8,U103)</f>
        <v/>
      </c>
      <c r="Z103" s="43">
        <f>IF('Pilot offer'!$C$24="Yes",'Pilot offer'!$C$11,"")</f>
        <v/>
      </c>
      <c r="AA103" s="15">
        <f>IF(X103="","",W103&amp;" · "&amp;TEXT(X103,"ddd d mmm, hh:mm")&amp;" · "&amp;Y103&amp;IF(Z103&lt;&gt;""," · £"&amp;TEXT(Z103,"0.00")&amp;" per player"," · price TBC (cost £"&amp;TEXT(V103,"0.00")&amp;" pp)"))</f>
        <v/>
      </c>
      <c r="AD103" s="44" t="n"/>
    </row>
    <row r="104">
      <c r="A104" s="13" t="n">
        <v>102</v>
      </c>
      <c r="B104" s="13" t="inlineStr">
        <is>
          <t>1 · E8 London Fields</t>
        </is>
      </c>
      <c r="C104" s="13" t="inlineStr">
        <is>
          <t>Hospitality</t>
        </is>
      </c>
      <c r="D104" s="13" t="inlineStr">
        <is>
          <t>Local businesses</t>
        </is>
      </c>
      <c r="E104" s="13" t="inlineStr">
        <is>
          <t>Teal</t>
        </is>
      </c>
      <c r="F104" s="13" t="inlineStr">
        <is>
          <t>amenity: restaurant</t>
        </is>
      </c>
      <c r="G104" s="13" t="inlineStr">
        <is>
          <t>quack@tealbysallyabe.com</t>
        </is>
      </c>
      <c r="H104" s="13" t="inlineStr">
        <is>
          <t>person_or_other</t>
        </is>
      </c>
      <c r="I104" s="13" t="n"/>
      <c r="J104" s="14" t="inlineStr">
        <is>
          <t>https://www.tealbysallyabe.com/</t>
        </is>
      </c>
      <c r="K104" s="13" t="inlineStr">
        <is>
          <t>Wilton Way 52, London</t>
        </is>
      </c>
      <c r="L104" s="13" t="inlineStr">
        <is>
          <t>E8 1BG</t>
        </is>
      </c>
      <c r="M104" s="13" t="inlineStr">
        <is>
          <t>Hackney</t>
        </is>
      </c>
      <c r="N104" s="13" t="n">
        <v>14</v>
      </c>
      <c r="O104" s="15">
        <f>IFERROR(INDEX(Venues!$C$2:$C$10,MATCH(M104,Venues!$A$2:$A$10,0)),"Not checked")</f>
        <v/>
      </c>
      <c r="P104" s="15">
        <f>IFERROR(INDEX(Venues!$D$2:$D$10,MATCH(M104,Venues!$A$2:$A$10,0)),0)</f>
        <v/>
      </c>
      <c r="Q104" s="42">
        <f>IFERROR(INDEX(Venues!$E$2:$E$10,MATCH(M104,Venues!$A$2:$A$10,0)),"")</f>
        <v/>
      </c>
      <c r="R104" s="15">
        <f>IF(P104&gt;0,"Yes","No")</f>
        <v/>
      </c>
      <c r="S104" s="13" t="inlineStr">
        <is>
          <t>Hackney</t>
        </is>
      </c>
      <c r="T104" s="42">
        <f>IFERROR(INDEX(Venues!$E$2:$E$10,MATCH(S104,Venues!$A$2:$A$10,0)),"")</f>
        <v/>
      </c>
      <c r="U104" s="15">
        <f>IFERROR(INDEX(Venues!$F$2:$F$10,MATCH(S104,Venues!$A$2:$A$10,0)),"")</f>
        <v/>
      </c>
      <c r="V104" s="43">
        <f>IFERROR(INDEX(Venues!$H$2:$H$10,MATCH(S104,Venues!$A$2:$A$10,0)),"")</f>
        <v/>
      </c>
      <c r="W104" s="15">
        <f>IF('Pilot offer'!$C$24="Yes",'Pilot offer'!$C$3,S104)</f>
        <v/>
      </c>
      <c r="X104" s="42">
        <f>IF('Pilot offer'!$C$24="Yes",'Pilot offer'!$C$5+'Pilot offer'!$C$6,T104)</f>
        <v/>
      </c>
      <c r="Y104" s="15">
        <f>IF('Pilot offer'!$C$24="Yes",'Pilot offer'!$C$8,U104)</f>
        <v/>
      </c>
      <c r="Z104" s="43">
        <f>IF('Pilot offer'!$C$24="Yes",'Pilot offer'!$C$11,"")</f>
        <v/>
      </c>
      <c r="AA104" s="15">
        <f>IF(X104="","",W104&amp;" · "&amp;TEXT(X104,"ddd d mmm, hh:mm")&amp;" · "&amp;Y104&amp;IF(Z104&lt;&gt;""," · £"&amp;TEXT(Z104,"0.00")&amp;" per player"," · price TBC (cost £"&amp;TEXT(V104,"0.00")&amp;" pp)"))</f>
        <v/>
      </c>
      <c r="AD104" s="44" t="n"/>
    </row>
    <row r="105">
      <c r="A105" s="13" t="n">
        <v>103</v>
      </c>
      <c r="B105" s="13" t="inlineStr">
        <is>
          <t>1 · E8 London Fields</t>
        </is>
      </c>
      <c r="C105" s="13" t="inlineStr">
        <is>
          <t>Hospitality</t>
        </is>
      </c>
      <c r="D105" s="13" t="inlineStr">
        <is>
          <t>Local businesses</t>
        </is>
      </c>
      <c r="E105" s="13" t="inlineStr">
        <is>
          <t>Sutton and Sons Fish &amp; Chips</t>
        </is>
      </c>
      <c r="F105" s="13" t="inlineStr">
        <is>
          <t>amenity: restaurant</t>
        </is>
      </c>
      <c r="G105" s="13" t="inlineStr">
        <is>
          <t>hello@suttonandsons.co.uk</t>
        </is>
      </c>
      <c r="H105" s="13" t="inlineStr">
        <is>
          <t>general</t>
        </is>
      </c>
      <c r="I105" s="13" t="inlineStr">
        <is>
          <t>+44 20 3645 1801</t>
        </is>
      </c>
      <c r="J105" s="14" t="inlineStr">
        <is>
          <t>https://www.suttonandsons.co.uk/</t>
        </is>
      </c>
      <c r="K105" s="13" t="inlineStr">
        <is>
          <t>Graham Road 218, London</t>
        </is>
      </c>
      <c r="L105" s="13" t="inlineStr">
        <is>
          <t>E8 1BP</t>
        </is>
      </c>
      <c r="M105" s="13" t="inlineStr">
        <is>
          <t>Hackney</t>
        </is>
      </c>
      <c r="N105" s="13" t="n">
        <v>8</v>
      </c>
      <c r="O105" s="15">
        <f>IFERROR(INDEX(Venues!$C$2:$C$10,MATCH(M105,Venues!$A$2:$A$10,0)),"Not checked")</f>
        <v/>
      </c>
      <c r="P105" s="15">
        <f>IFERROR(INDEX(Venues!$D$2:$D$10,MATCH(M105,Venues!$A$2:$A$10,0)),0)</f>
        <v/>
      </c>
      <c r="Q105" s="42">
        <f>IFERROR(INDEX(Venues!$E$2:$E$10,MATCH(M105,Venues!$A$2:$A$10,0)),"")</f>
        <v/>
      </c>
      <c r="R105" s="15">
        <f>IF(P105&gt;0,"Yes","No")</f>
        <v/>
      </c>
      <c r="S105" s="13" t="inlineStr">
        <is>
          <t>Hackney</t>
        </is>
      </c>
      <c r="T105" s="42">
        <f>IFERROR(INDEX(Venues!$E$2:$E$10,MATCH(S105,Venues!$A$2:$A$10,0)),"")</f>
        <v/>
      </c>
      <c r="U105" s="15">
        <f>IFERROR(INDEX(Venues!$F$2:$F$10,MATCH(S105,Venues!$A$2:$A$10,0)),"")</f>
        <v/>
      </c>
      <c r="V105" s="43">
        <f>IFERROR(INDEX(Venues!$H$2:$H$10,MATCH(S105,Venues!$A$2:$A$10,0)),"")</f>
        <v/>
      </c>
      <c r="W105" s="15">
        <f>IF('Pilot offer'!$C$24="Yes",'Pilot offer'!$C$3,S105)</f>
        <v/>
      </c>
      <c r="X105" s="42">
        <f>IF('Pilot offer'!$C$24="Yes",'Pilot offer'!$C$5+'Pilot offer'!$C$6,T105)</f>
        <v/>
      </c>
      <c r="Y105" s="15">
        <f>IF('Pilot offer'!$C$24="Yes",'Pilot offer'!$C$8,U105)</f>
        <v/>
      </c>
      <c r="Z105" s="43">
        <f>IF('Pilot offer'!$C$24="Yes",'Pilot offer'!$C$11,"")</f>
        <v/>
      </c>
      <c r="AA105" s="15">
        <f>IF(X105="","",W105&amp;" · "&amp;TEXT(X105,"ddd d mmm, hh:mm")&amp;" · "&amp;Y105&amp;IF(Z105&lt;&gt;""," · £"&amp;TEXT(Z105,"0.00")&amp;" per player"," · price TBC (cost £"&amp;TEXT(V105,"0.00")&amp;" pp)"))</f>
        <v/>
      </c>
      <c r="AD105" s="44" t="n"/>
    </row>
    <row r="106">
      <c r="A106" s="13" t="n">
        <v>104</v>
      </c>
      <c r="B106" s="13" t="inlineStr">
        <is>
          <t>1 · E8 London Fields</t>
        </is>
      </c>
      <c r="C106" s="13" t="inlineStr">
        <is>
          <t>Leisure &amp; culture</t>
        </is>
      </c>
      <c r="D106" s="13" t="inlineStr">
        <is>
          <t>Local businesses</t>
        </is>
      </c>
      <c r="E106" s="13" t="inlineStr">
        <is>
          <t>Bread &amp; Butter</t>
        </is>
      </c>
      <c r="F106" s="13" t="inlineStr">
        <is>
          <t>amenity: community centre</t>
        </is>
      </c>
      <c r="G106" s="13" t="inlineStr">
        <is>
          <t>hello@breadandbuttercollection.com</t>
        </is>
      </c>
      <c r="H106" s="13" t="inlineStr">
        <is>
          <t>general</t>
        </is>
      </c>
      <c r="I106" s="13" t="n"/>
      <c r="J106" s="14" t="inlineStr">
        <is>
          <t>https://breadandbuttercollection.com/pages/photo</t>
        </is>
      </c>
      <c r="K106" s="13" t="inlineStr">
        <is>
          <t>Bohemia Place, London</t>
        </is>
      </c>
      <c r="L106" s="13" t="inlineStr">
        <is>
          <t>E8 1DU</t>
        </is>
      </c>
      <c r="M106" s="13" t="inlineStr">
        <is>
          <t>Hackney</t>
        </is>
      </c>
      <c r="N106" s="13" t="n">
        <v>6</v>
      </c>
      <c r="O106" s="15">
        <f>IFERROR(INDEX(Venues!$C$2:$C$10,MATCH(M106,Venues!$A$2:$A$10,0)),"Not checked")</f>
        <v/>
      </c>
      <c r="P106" s="15">
        <f>IFERROR(INDEX(Venues!$D$2:$D$10,MATCH(M106,Venues!$A$2:$A$10,0)),0)</f>
        <v/>
      </c>
      <c r="Q106" s="42">
        <f>IFERROR(INDEX(Venues!$E$2:$E$10,MATCH(M106,Venues!$A$2:$A$10,0)),"")</f>
        <v/>
      </c>
      <c r="R106" s="15">
        <f>IF(P106&gt;0,"Yes","No")</f>
        <v/>
      </c>
      <c r="S106" s="13" t="inlineStr">
        <is>
          <t>Hackney</t>
        </is>
      </c>
      <c r="T106" s="42">
        <f>IFERROR(INDEX(Venues!$E$2:$E$10,MATCH(S106,Venues!$A$2:$A$10,0)),"")</f>
        <v/>
      </c>
      <c r="U106" s="15">
        <f>IFERROR(INDEX(Venues!$F$2:$F$10,MATCH(S106,Venues!$A$2:$A$10,0)),"")</f>
        <v/>
      </c>
      <c r="V106" s="43">
        <f>IFERROR(INDEX(Venues!$H$2:$H$10,MATCH(S106,Venues!$A$2:$A$10,0)),"")</f>
        <v/>
      </c>
      <c r="W106" s="15">
        <f>IF('Pilot offer'!$C$24="Yes",'Pilot offer'!$C$3,S106)</f>
        <v/>
      </c>
      <c r="X106" s="42">
        <f>IF('Pilot offer'!$C$24="Yes",'Pilot offer'!$C$5+'Pilot offer'!$C$6,T106)</f>
        <v/>
      </c>
      <c r="Y106" s="15">
        <f>IF('Pilot offer'!$C$24="Yes",'Pilot offer'!$C$8,U106)</f>
        <v/>
      </c>
      <c r="Z106" s="43">
        <f>IF('Pilot offer'!$C$24="Yes",'Pilot offer'!$C$11,"")</f>
        <v/>
      </c>
      <c r="AA106" s="15">
        <f>IF(X106="","",W106&amp;" · "&amp;TEXT(X106,"ddd d mmm, hh:mm")&amp;" · "&amp;Y106&amp;IF(Z106&lt;&gt;""," · £"&amp;TEXT(Z106,"0.00")&amp;" per player"," · price TBC (cost £"&amp;TEXT(V106,"0.00")&amp;" pp)"))</f>
        <v/>
      </c>
      <c r="AD106" s="44" t="n"/>
    </row>
    <row r="107">
      <c r="A107" s="13" t="n">
        <v>105</v>
      </c>
      <c r="B107" s="13" t="inlineStr">
        <is>
          <t>1 · E8 London Fields</t>
        </is>
      </c>
      <c r="C107" s="13" t="inlineStr">
        <is>
          <t>Hospitality</t>
        </is>
      </c>
      <c r="D107" s="13" t="inlineStr">
        <is>
          <t>Local businesses</t>
        </is>
      </c>
      <c r="E107" s="13" t="inlineStr">
        <is>
          <t>Hackney Church Brew Co</t>
        </is>
      </c>
      <c r="F107" s="13" t="inlineStr">
        <is>
          <t>amenity: bar</t>
        </is>
      </c>
      <c r="G107" s="13" t="inlineStr">
        <is>
          <t>hello@hackneychurchbrew.co</t>
        </is>
      </c>
      <c r="H107" s="13" t="inlineStr">
        <is>
          <t>openstreetmap_tag</t>
        </is>
      </c>
      <c r="I107" s="13" t="inlineStr">
        <is>
          <t>+44 20 3795 8295</t>
        </is>
      </c>
      <c r="J107" s="14" t="inlineStr">
        <is>
          <t>https://hackneychurchbrew.co</t>
        </is>
      </c>
      <c r="K107" s="13" t="inlineStr">
        <is>
          <t>Bohemia Place, London</t>
        </is>
      </c>
      <c r="L107" s="13" t="inlineStr">
        <is>
          <t>E8 1DU</t>
        </is>
      </c>
      <c r="M107" s="13" t="inlineStr">
        <is>
          <t>Hackney</t>
        </is>
      </c>
      <c r="N107" s="13" t="n">
        <v>4</v>
      </c>
      <c r="O107" s="15">
        <f>IFERROR(INDEX(Venues!$C$2:$C$10,MATCH(M107,Venues!$A$2:$A$10,0)),"Not checked")</f>
        <v/>
      </c>
      <c r="P107" s="15">
        <f>IFERROR(INDEX(Venues!$D$2:$D$10,MATCH(M107,Venues!$A$2:$A$10,0)),0)</f>
        <v/>
      </c>
      <c r="Q107" s="42">
        <f>IFERROR(INDEX(Venues!$E$2:$E$10,MATCH(M107,Venues!$A$2:$A$10,0)),"")</f>
        <v/>
      </c>
      <c r="R107" s="15">
        <f>IF(P107&gt;0,"Yes","No")</f>
        <v/>
      </c>
      <c r="S107" s="13" t="inlineStr">
        <is>
          <t>Hackney</t>
        </is>
      </c>
      <c r="T107" s="42">
        <f>IFERROR(INDEX(Venues!$E$2:$E$10,MATCH(S107,Venues!$A$2:$A$10,0)),"")</f>
        <v/>
      </c>
      <c r="U107" s="15">
        <f>IFERROR(INDEX(Venues!$F$2:$F$10,MATCH(S107,Venues!$A$2:$A$10,0)),"")</f>
        <v/>
      </c>
      <c r="V107" s="43">
        <f>IFERROR(INDEX(Venues!$H$2:$H$10,MATCH(S107,Venues!$A$2:$A$10,0)),"")</f>
        <v/>
      </c>
      <c r="W107" s="15">
        <f>IF('Pilot offer'!$C$24="Yes",'Pilot offer'!$C$3,S107)</f>
        <v/>
      </c>
      <c r="X107" s="42">
        <f>IF('Pilot offer'!$C$24="Yes",'Pilot offer'!$C$5+'Pilot offer'!$C$6,T107)</f>
        <v/>
      </c>
      <c r="Y107" s="15">
        <f>IF('Pilot offer'!$C$24="Yes",'Pilot offer'!$C$8,U107)</f>
        <v/>
      </c>
      <c r="Z107" s="43">
        <f>IF('Pilot offer'!$C$24="Yes",'Pilot offer'!$C$11,"")</f>
        <v/>
      </c>
      <c r="AA107" s="15">
        <f>IF(X107="","",W107&amp;" · "&amp;TEXT(X107,"ddd d mmm, hh:mm")&amp;" · "&amp;Y107&amp;IF(Z107&lt;&gt;""," · £"&amp;TEXT(Z107,"0.00")&amp;" per player"," · price TBC (cost £"&amp;TEXT(V107,"0.00")&amp;" pp)"))</f>
        <v/>
      </c>
      <c r="AD107" s="44" t="n"/>
    </row>
    <row r="108">
      <c r="A108" s="13" t="n">
        <v>106</v>
      </c>
      <c r="B108" s="13" t="inlineStr">
        <is>
          <t>1 · E8 London Fields</t>
        </is>
      </c>
      <c r="C108" s="13" t="inlineStr">
        <is>
          <t>Hospitality</t>
        </is>
      </c>
      <c r="D108" s="13" t="inlineStr">
        <is>
          <t>Local businesses</t>
        </is>
      </c>
      <c r="E108" s="13" t="inlineStr">
        <is>
          <t>Night Tales</t>
        </is>
      </c>
      <c r="F108" s="13" t="inlineStr">
        <is>
          <t>amenity: nightclub</t>
        </is>
      </c>
      <c r="G108" s="13" t="inlineStr">
        <is>
          <t>info@nighttales.co.uk</t>
        </is>
      </c>
      <c r="H108" s="13" t="inlineStr">
        <is>
          <t>general</t>
        </is>
      </c>
      <c r="I108" s="13" t="n"/>
      <c r="J108" s="14" t="inlineStr">
        <is>
          <t>https://nighttales.co.uk</t>
        </is>
      </c>
      <c r="K108" s="13" t="inlineStr">
        <is>
          <t>Bohemia Place, London</t>
        </is>
      </c>
      <c r="L108" s="13" t="inlineStr">
        <is>
          <t>E8 1DU</t>
        </is>
      </c>
      <c r="M108" s="13" t="inlineStr">
        <is>
          <t>Hackney</t>
        </is>
      </c>
      <c r="N108" s="13" t="n">
        <v>4</v>
      </c>
      <c r="O108" s="15">
        <f>IFERROR(INDEX(Venues!$C$2:$C$10,MATCH(M108,Venues!$A$2:$A$10,0)),"Not checked")</f>
        <v/>
      </c>
      <c r="P108" s="15">
        <f>IFERROR(INDEX(Venues!$D$2:$D$10,MATCH(M108,Venues!$A$2:$A$10,0)),0)</f>
        <v/>
      </c>
      <c r="Q108" s="42">
        <f>IFERROR(INDEX(Venues!$E$2:$E$10,MATCH(M108,Venues!$A$2:$A$10,0)),"")</f>
        <v/>
      </c>
      <c r="R108" s="15">
        <f>IF(P108&gt;0,"Yes","No")</f>
        <v/>
      </c>
      <c r="S108" s="13" t="inlineStr">
        <is>
          <t>Hackney</t>
        </is>
      </c>
      <c r="T108" s="42">
        <f>IFERROR(INDEX(Venues!$E$2:$E$10,MATCH(S108,Venues!$A$2:$A$10,0)),"")</f>
        <v/>
      </c>
      <c r="U108" s="15">
        <f>IFERROR(INDEX(Venues!$F$2:$F$10,MATCH(S108,Venues!$A$2:$A$10,0)),"")</f>
        <v/>
      </c>
      <c r="V108" s="43">
        <f>IFERROR(INDEX(Venues!$H$2:$H$10,MATCH(S108,Venues!$A$2:$A$10,0)),"")</f>
        <v/>
      </c>
      <c r="W108" s="15">
        <f>IF('Pilot offer'!$C$24="Yes",'Pilot offer'!$C$3,S108)</f>
        <v/>
      </c>
      <c r="X108" s="42">
        <f>IF('Pilot offer'!$C$24="Yes",'Pilot offer'!$C$5+'Pilot offer'!$C$6,T108)</f>
        <v/>
      </c>
      <c r="Y108" s="15">
        <f>IF('Pilot offer'!$C$24="Yes",'Pilot offer'!$C$8,U108)</f>
        <v/>
      </c>
      <c r="Z108" s="43">
        <f>IF('Pilot offer'!$C$24="Yes",'Pilot offer'!$C$11,"")</f>
        <v/>
      </c>
      <c r="AA108" s="15">
        <f>IF(X108="","",W108&amp;" · "&amp;TEXT(X108,"ddd d mmm, hh:mm")&amp;" · "&amp;Y108&amp;IF(Z108&lt;&gt;""," · £"&amp;TEXT(Z108,"0.00")&amp;" per player"," · price TBC (cost £"&amp;TEXT(V108,"0.00")&amp;" pp)"))</f>
        <v/>
      </c>
      <c r="AD108" s="44" t="n"/>
    </row>
    <row r="109">
      <c r="A109" s="13" t="n">
        <v>107</v>
      </c>
      <c r="B109" s="13" t="inlineStr">
        <is>
          <t>1 · E8 London Fields</t>
        </is>
      </c>
      <c r="C109" s="13" t="inlineStr">
        <is>
          <t>Leisure &amp; culture</t>
        </is>
      </c>
      <c r="D109" s="13" t="inlineStr">
        <is>
          <t>Local businesses</t>
        </is>
      </c>
      <c r="E109" s="13" t="inlineStr">
        <is>
          <t>Pembury Community Centre</t>
        </is>
      </c>
      <c r="F109" s="13" t="inlineStr">
        <is>
          <t>amenity: community centre</t>
        </is>
      </c>
      <c r="G109" s="13" t="inlineStr">
        <is>
          <t>pembury.community@peabody.org.uk</t>
        </is>
      </c>
      <c r="H109" s="13" t="inlineStr">
        <is>
          <t>openstreetmap_tag</t>
        </is>
      </c>
      <c r="I109" s="13" t="inlineStr">
        <is>
          <t>+44 20 3828 3500</t>
        </is>
      </c>
      <c r="J109" s="13" t="n"/>
      <c r="K109" s="13" t="inlineStr">
        <is>
          <t>Atkins Square 1, London</t>
        </is>
      </c>
      <c r="L109" s="13" t="inlineStr">
        <is>
          <t>E8 1FA</t>
        </is>
      </c>
      <c r="M109" s="13" t="inlineStr">
        <is>
          <t>Hackney</t>
        </is>
      </c>
      <c r="N109" s="13" t="n">
        <v>10</v>
      </c>
      <c r="O109" s="15">
        <f>IFERROR(INDEX(Venues!$C$2:$C$10,MATCH(M109,Venues!$A$2:$A$10,0)),"Not checked")</f>
        <v/>
      </c>
      <c r="P109" s="15">
        <f>IFERROR(INDEX(Venues!$D$2:$D$10,MATCH(M109,Venues!$A$2:$A$10,0)),0)</f>
        <v/>
      </c>
      <c r="Q109" s="42">
        <f>IFERROR(INDEX(Venues!$E$2:$E$10,MATCH(M109,Venues!$A$2:$A$10,0)),"")</f>
        <v/>
      </c>
      <c r="R109" s="15">
        <f>IF(P109&gt;0,"Yes","No")</f>
        <v/>
      </c>
      <c r="S109" s="13" t="inlineStr">
        <is>
          <t>Hackney</t>
        </is>
      </c>
      <c r="T109" s="42">
        <f>IFERROR(INDEX(Venues!$E$2:$E$10,MATCH(S109,Venues!$A$2:$A$10,0)),"")</f>
        <v/>
      </c>
      <c r="U109" s="15">
        <f>IFERROR(INDEX(Venues!$F$2:$F$10,MATCH(S109,Venues!$A$2:$A$10,0)),"")</f>
        <v/>
      </c>
      <c r="V109" s="43">
        <f>IFERROR(INDEX(Venues!$H$2:$H$10,MATCH(S109,Venues!$A$2:$A$10,0)),"")</f>
        <v/>
      </c>
      <c r="W109" s="15">
        <f>IF('Pilot offer'!$C$24="Yes",'Pilot offer'!$C$3,S109)</f>
        <v/>
      </c>
      <c r="X109" s="42">
        <f>IF('Pilot offer'!$C$24="Yes",'Pilot offer'!$C$5+'Pilot offer'!$C$6,T109)</f>
        <v/>
      </c>
      <c r="Y109" s="15">
        <f>IF('Pilot offer'!$C$24="Yes",'Pilot offer'!$C$8,U109)</f>
        <v/>
      </c>
      <c r="Z109" s="43">
        <f>IF('Pilot offer'!$C$24="Yes",'Pilot offer'!$C$11,"")</f>
        <v/>
      </c>
      <c r="AA109" s="15">
        <f>IF(X109="","",W109&amp;" · "&amp;TEXT(X109,"ddd d mmm, hh:mm")&amp;" · "&amp;Y109&amp;IF(Z109&lt;&gt;""," · £"&amp;TEXT(Z109,"0.00")&amp;" per player"," · price TBC (cost £"&amp;TEXT(V109,"0.00")&amp;" pp)"))</f>
        <v/>
      </c>
      <c r="AD109" s="44" t="n"/>
    </row>
    <row r="110">
      <c r="A110" s="13" t="n">
        <v>108</v>
      </c>
      <c r="B110" s="13" t="inlineStr">
        <is>
          <t>1 · E8 London Fields</t>
        </is>
      </c>
      <c r="C110" s="13" t="inlineStr">
        <is>
          <t>Hospitality</t>
        </is>
      </c>
      <c r="D110" s="13" t="inlineStr">
        <is>
          <t>Local businesses</t>
        </is>
      </c>
      <c r="E110" s="13" t="inlineStr">
        <is>
          <t>We Are Vegan Everything</t>
        </is>
      </c>
      <c r="F110" s="13" t="inlineStr">
        <is>
          <t>amenity: cafe</t>
        </is>
      </c>
      <c r="G110" s="13" t="inlineStr">
        <is>
          <t>management@weareveganeverything.com</t>
        </is>
      </c>
      <c r="H110" s="13" t="inlineStr">
        <is>
          <t>person_or_other</t>
        </is>
      </c>
      <c r="I110" s="13" t="inlineStr">
        <is>
          <t>+44 7734 253401</t>
        </is>
      </c>
      <c r="J110" s="14" t="inlineStr">
        <is>
          <t>https://weareveganeverything.com/</t>
        </is>
      </c>
      <c r="K110" s="13" t="inlineStr">
        <is>
          <t>Dispensary Lane 11, London</t>
        </is>
      </c>
      <c r="L110" s="13" t="inlineStr">
        <is>
          <t>E8 1FT</t>
        </is>
      </c>
      <c r="M110" s="13" t="inlineStr">
        <is>
          <t>Hackney</t>
        </is>
      </c>
      <c r="N110" s="13" t="n">
        <v>5</v>
      </c>
      <c r="O110" s="15">
        <f>IFERROR(INDEX(Venues!$C$2:$C$10,MATCH(M110,Venues!$A$2:$A$10,0)),"Not checked")</f>
        <v/>
      </c>
      <c r="P110" s="15">
        <f>IFERROR(INDEX(Venues!$D$2:$D$10,MATCH(M110,Venues!$A$2:$A$10,0)),0)</f>
        <v/>
      </c>
      <c r="Q110" s="42">
        <f>IFERROR(INDEX(Venues!$E$2:$E$10,MATCH(M110,Venues!$A$2:$A$10,0)),"")</f>
        <v/>
      </c>
      <c r="R110" s="15">
        <f>IF(P110&gt;0,"Yes","No")</f>
        <v/>
      </c>
      <c r="S110" s="13" t="inlineStr">
        <is>
          <t>Hackney</t>
        </is>
      </c>
      <c r="T110" s="42">
        <f>IFERROR(INDEX(Venues!$E$2:$E$10,MATCH(S110,Venues!$A$2:$A$10,0)),"")</f>
        <v/>
      </c>
      <c r="U110" s="15">
        <f>IFERROR(INDEX(Venues!$F$2:$F$10,MATCH(S110,Venues!$A$2:$A$10,0)),"")</f>
        <v/>
      </c>
      <c r="V110" s="43">
        <f>IFERROR(INDEX(Venues!$H$2:$H$10,MATCH(S110,Venues!$A$2:$A$10,0)),"")</f>
        <v/>
      </c>
      <c r="W110" s="15">
        <f>IF('Pilot offer'!$C$24="Yes",'Pilot offer'!$C$3,S110)</f>
        <v/>
      </c>
      <c r="X110" s="42">
        <f>IF('Pilot offer'!$C$24="Yes",'Pilot offer'!$C$5+'Pilot offer'!$C$6,T110)</f>
        <v/>
      </c>
      <c r="Y110" s="15">
        <f>IF('Pilot offer'!$C$24="Yes",'Pilot offer'!$C$8,U110)</f>
        <v/>
      </c>
      <c r="Z110" s="43">
        <f>IF('Pilot offer'!$C$24="Yes",'Pilot offer'!$C$11,"")</f>
        <v/>
      </c>
      <c r="AA110" s="15">
        <f>IF(X110="","",W110&amp;" · "&amp;TEXT(X110,"ddd d mmm, hh:mm")&amp;" · "&amp;Y110&amp;IF(Z110&lt;&gt;""," · £"&amp;TEXT(Z110,"0.00")&amp;" per player"," · price TBC (cost £"&amp;TEXT(V110,"0.00")&amp;" pp)"))</f>
        <v/>
      </c>
      <c r="AD110" s="44" t="n"/>
    </row>
    <row r="111">
      <c r="A111" s="13" t="n">
        <v>109</v>
      </c>
      <c r="B111" s="13" t="inlineStr">
        <is>
          <t>1 · E8 London Fields</t>
        </is>
      </c>
      <c r="C111" s="13" t="inlineStr">
        <is>
          <t>Retail</t>
        </is>
      </c>
      <c r="D111" s="13" t="inlineStr">
        <is>
          <t>Local businesses</t>
        </is>
      </c>
      <c r="E111" s="13" t="inlineStr">
        <is>
          <t>Zelo</t>
        </is>
      </c>
      <c r="F111" s="13" t="inlineStr">
        <is>
          <t>shop: bicycle</t>
        </is>
      </c>
      <c r="G111" s="13" t="inlineStr">
        <is>
          <t>info@zelobike.co.uk</t>
        </is>
      </c>
      <c r="H111" s="13" t="inlineStr">
        <is>
          <t>general</t>
        </is>
      </c>
      <c r="I111" s="13" t="inlineStr">
        <is>
          <t>+44 20 8740 7831</t>
        </is>
      </c>
      <c r="J111" s="14" t="inlineStr">
        <is>
          <t>https://www.zelobike.co.uk/</t>
        </is>
      </c>
      <c r="K111" s="13" t="inlineStr">
        <is>
          <t>Mare Street 281, London</t>
        </is>
      </c>
      <c r="L111" s="13" t="inlineStr">
        <is>
          <t>E8 1GR</t>
        </is>
      </c>
      <c r="M111" s="13" t="inlineStr">
        <is>
          <t>Hackney</t>
        </is>
      </c>
      <c r="N111" s="13" t="n">
        <v>10</v>
      </c>
      <c r="O111" s="15">
        <f>IFERROR(INDEX(Venues!$C$2:$C$10,MATCH(M111,Venues!$A$2:$A$10,0)),"Not checked")</f>
        <v/>
      </c>
      <c r="P111" s="15">
        <f>IFERROR(INDEX(Venues!$D$2:$D$10,MATCH(M111,Venues!$A$2:$A$10,0)),0)</f>
        <v/>
      </c>
      <c r="Q111" s="42">
        <f>IFERROR(INDEX(Venues!$E$2:$E$10,MATCH(M111,Venues!$A$2:$A$10,0)),"")</f>
        <v/>
      </c>
      <c r="R111" s="15">
        <f>IF(P111&gt;0,"Yes","No")</f>
        <v/>
      </c>
      <c r="S111" s="13" t="inlineStr">
        <is>
          <t>Hackney</t>
        </is>
      </c>
      <c r="T111" s="42">
        <f>IFERROR(INDEX(Venues!$E$2:$E$10,MATCH(S111,Venues!$A$2:$A$10,0)),"")</f>
        <v/>
      </c>
      <c r="U111" s="15">
        <f>IFERROR(INDEX(Venues!$F$2:$F$10,MATCH(S111,Venues!$A$2:$A$10,0)),"")</f>
        <v/>
      </c>
      <c r="V111" s="43">
        <f>IFERROR(INDEX(Venues!$H$2:$H$10,MATCH(S111,Venues!$A$2:$A$10,0)),"")</f>
        <v/>
      </c>
      <c r="W111" s="15">
        <f>IF('Pilot offer'!$C$24="Yes",'Pilot offer'!$C$3,S111)</f>
        <v/>
      </c>
      <c r="X111" s="42">
        <f>IF('Pilot offer'!$C$24="Yes",'Pilot offer'!$C$5+'Pilot offer'!$C$6,T111)</f>
        <v/>
      </c>
      <c r="Y111" s="15">
        <f>IF('Pilot offer'!$C$24="Yes",'Pilot offer'!$C$8,U111)</f>
        <v/>
      </c>
      <c r="Z111" s="43">
        <f>IF('Pilot offer'!$C$24="Yes",'Pilot offer'!$C$11,"")</f>
        <v/>
      </c>
      <c r="AA111" s="15">
        <f>IF(X111="","",W111&amp;" · "&amp;TEXT(X111,"ddd d mmm, hh:mm")&amp;" · "&amp;Y111&amp;IF(Z111&lt;&gt;""," · £"&amp;TEXT(Z111,"0.00")&amp;" per player"," · price TBC (cost £"&amp;TEXT(V111,"0.00")&amp;" pp)"))</f>
        <v/>
      </c>
      <c r="AD111" s="44" t="n"/>
    </row>
    <row r="112">
      <c r="A112" s="13" t="n">
        <v>110</v>
      </c>
      <c r="B112" s="13" t="inlineStr">
        <is>
          <t>1 · E8 London Fields</t>
        </is>
      </c>
      <c r="C112" s="13" t="inlineStr">
        <is>
          <t>Leisure &amp; culture</t>
        </is>
      </c>
      <c r="D112" s="13" t="inlineStr">
        <is>
          <t>Local businesses</t>
        </is>
      </c>
      <c r="E112" s="13" t="inlineStr">
        <is>
          <t>Hackney Picturehouse</t>
        </is>
      </c>
      <c r="F112" s="13" t="inlineStr">
        <is>
          <t>amenity: cinema</t>
        </is>
      </c>
      <c r="G112" s="13" t="inlineStr">
        <is>
          <t>websites@www.picturehouses.com</t>
        </is>
      </c>
      <c r="H112" s="13" t="inlineStr">
        <is>
          <t>person_or_other</t>
        </is>
      </c>
      <c r="I112" s="13" t="n"/>
      <c r="J112" s="14" t="inlineStr">
        <is>
          <t>https://www.picturehouses.com/cinema/Hackney_Picturehouse</t>
        </is>
      </c>
      <c r="K112" s="13" t="inlineStr">
        <is>
          <t>Mare Street 270, London</t>
        </is>
      </c>
      <c r="L112" s="13" t="inlineStr">
        <is>
          <t>E8 1HE</t>
        </is>
      </c>
      <c r="M112" s="13" t="inlineStr">
        <is>
          <t>Hackney</t>
        </is>
      </c>
      <c r="N112" s="13" t="n">
        <v>9</v>
      </c>
      <c r="O112" s="15">
        <f>IFERROR(INDEX(Venues!$C$2:$C$10,MATCH(M112,Venues!$A$2:$A$10,0)),"Not checked")</f>
        <v/>
      </c>
      <c r="P112" s="15">
        <f>IFERROR(INDEX(Venues!$D$2:$D$10,MATCH(M112,Venues!$A$2:$A$10,0)),0)</f>
        <v/>
      </c>
      <c r="Q112" s="42">
        <f>IFERROR(INDEX(Venues!$E$2:$E$10,MATCH(M112,Venues!$A$2:$A$10,0)),"")</f>
        <v/>
      </c>
      <c r="R112" s="15">
        <f>IF(P112&gt;0,"Yes","No")</f>
        <v/>
      </c>
      <c r="S112" s="13" t="inlineStr">
        <is>
          <t>Hackney</t>
        </is>
      </c>
      <c r="T112" s="42">
        <f>IFERROR(INDEX(Venues!$E$2:$E$10,MATCH(S112,Venues!$A$2:$A$10,0)),"")</f>
        <v/>
      </c>
      <c r="U112" s="15">
        <f>IFERROR(INDEX(Venues!$F$2:$F$10,MATCH(S112,Venues!$A$2:$A$10,0)),"")</f>
        <v/>
      </c>
      <c r="V112" s="43">
        <f>IFERROR(INDEX(Venues!$H$2:$H$10,MATCH(S112,Venues!$A$2:$A$10,0)),"")</f>
        <v/>
      </c>
      <c r="W112" s="15">
        <f>IF('Pilot offer'!$C$24="Yes",'Pilot offer'!$C$3,S112)</f>
        <v/>
      </c>
      <c r="X112" s="42">
        <f>IF('Pilot offer'!$C$24="Yes",'Pilot offer'!$C$5+'Pilot offer'!$C$6,T112)</f>
        <v/>
      </c>
      <c r="Y112" s="15">
        <f>IF('Pilot offer'!$C$24="Yes",'Pilot offer'!$C$8,U112)</f>
        <v/>
      </c>
      <c r="Z112" s="43">
        <f>IF('Pilot offer'!$C$24="Yes",'Pilot offer'!$C$11,"")</f>
        <v/>
      </c>
      <c r="AA112" s="15">
        <f>IF(X112="","",W112&amp;" · "&amp;TEXT(X112,"ddd d mmm, hh:mm")&amp;" · "&amp;Y112&amp;IF(Z112&lt;&gt;""," · £"&amp;TEXT(Z112,"0.00")&amp;" per player"," · price TBC (cost £"&amp;TEXT(V112,"0.00")&amp;" pp)"))</f>
        <v/>
      </c>
      <c r="AD112" s="44" t="n"/>
    </row>
    <row r="113">
      <c r="A113" s="13" t="n">
        <v>111</v>
      </c>
      <c r="B113" s="13" t="inlineStr">
        <is>
          <t>1 · E8 London Fields</t>
        </is>
      </c>
      <c r="C113" s="13" t="inlineStr">
        <is>
          <t>Office &amp; professional</t>
        </is>
      </c>
      <c r="D113" s="13" t="inlineStr">
        <is>
          <t>Corporate</t>
        </is>
      </c>
      <c r="E113" s="13" t="inlineStr">
        <is>
          <t>Limitée PR Agency</t>
        </is>
      </c>
      <c r="F113" s="13" t="inlineStr">
        <is>
          <t>service</t>
        </is>
      </c>
      <c r="G113" s="13" t="inlineStr">
        <is>
          <t>press@limiteepr.com</t>
        </is>
      </c>
      <c r="H113" s="13" t="inlineStr">
        <is>
          <t>people_team</t>
        </is>
      </c>
      <c r="I113" s="13" t="inlineStr">
        <is>
          <t>+44 7384 028781</t>
        </is>
      </c>
      <c r="J113" s="14" t="inlineStr">
        <is>
          <t>http://www.limiteepr.com/</t>
        </is>
      </c>
      <c r="K113" s="13" t="inlineStr">
        <is>
          <t>Unit 9, 2nd Floor, Buzz 109, 290-296 Mare St, London E8 1HE, UK</t>
        </is>
      </c>
      <c r="L113" s="13" t="inlineStr">
        <is>
          <t>E8 1HE</t>
        </is>
      </c>
      <c r="M113" s="13" t="inlineStr">
        <is>
          <t>Hackney</t>
        </is>
      </c>
      <c r="N113" s="13" t="n">
        <v>8</v>
      </c>
      <c r="O113" s="15">
        <f>IFERROR(INDEX(Venues!$C$2:$C$10,MATCH(M113,Venues!$A$2:$A$10,0)),"Not checked")</f>
        <v/>
      </c>
      <c r="P113" s="15">
        <f>IFERROR(INDEX(Venues!$D$2:$D$10,MATCH(M113,Venues!$A$2:$A$10,0)),0)</f>
        <v/>
      </c>
      <c r="Q113" s="42">
        <f>IFERROR(INDEX(Venues!$E$2:$E$10,MATCH(M113,Venues!$A$2:$A$10,0)),"")</f>
        <v/>
      </c>
      <c r="R113" s="15">
        <f>IF(P113&gt;0,"Yes","No")</f>
        <v/>
      </c>
      <c r="S113" s="13" t="inlineStr">
        <is>
          <t>Hackney</t>
        </is>
      </c>
      <c r="T113" s="42">
        <f>IFERROR(INDEX(Venues!$E$2:$E$10,MATCH(S113,Venues!$A$2:$A$10,0)),"")</f>
        <v/>
      </c>
      <c r="U113" s="15">
        <f>IFERROR(INDEX(Venues!$F$2:$F$10,MATCH(S113,Venues!$A$2:$A$10,0)),"")</f>
        <v/>
      </c>
      <c r="V113" s="43">
        <f>IFERROR(INDEX(Venues!$H$2:$H$10,MATCH(S113,Venues!$A$2:$A$10,0)),"")</f>
        <v/>
      </c>
      <c r="W113" s="15">
        <f>IF('Pilot offer'!$C$24="Yes",'Pilot offer'!$C$3,S113)</f>
        <v/>
      </c>
      <c r="X113" s="42">
        <f>IF('Pilot offer'!$C$24="Yes",'Pilot offer'!$C$5+'Pilot offer'!$C$6,T113)</f>
        <v/>
      </c>
      <c r="Y113" s="15">
        <f>IF('Pilot offer'!$C$24="Yes",'Pilot offer'!$C$8,U113)</f>
        <v/>
      </c>
      <c r="Z113" s="43">
        <f>IF('Pilot offer'!$C$24="Yes",'Pilot offer'!$C$11,"")</f>
        <v/>
      </c>
      <c r="AA113" s="15">
        <f>IF(X113="","",W113&amp;" · "&amp;TEXT(X113,"ddd d mmm, hh:mm")&amp;" · "&amp;Y113&amp;IF(Z113&lt;&gt;""," · £"&amp;TEXT(Z113,"0.00")&amp;" per player"," · price TBC (cost £"&amp;TEXT(V113,"0.00")&amp;" pp)"))</f>
        <v/>
      </c>
      <c r="AD113" s="44" t="n"/>
    </row>
    <row r="114">
      <c r="A114" s="13" t="n">
        <v>112</v>
      </c>
      <c r="B114" s="13" t="inlineStr">
        <is>
          <t>1 · E8 London Fields</t>
        </is>
      </c>
      <c r="C114" s="13" t="inlineStr">
        <is>
          <t>Coworking / shared office</t>
        </is>
      </c>
      <c r="D114" s="13" t="inlineStr">
        <is>
          <t>Corporate</t>
        </is>
      </c>
      <c r="E114" s="13" t="inlineStr">
        <is>
          <t>Mainyard Studios [Hackney Central]</t>
        </is>
      </c>
      <c r="F114" s="13" t="inlineStr">
        <is>
          <t>coworking_space</t>
        </is>
      </c>
      <c r="G114" s="13" t="inlineStr">
        <is>
          <t>hello@mainyardstudios.co.uk</t>
        </is>
      </c>
      <c r="H114" s="13" t="inlineStr">
        <is>
          <t>general</t>
        </is>
      </c>
      <c r="I114" s="13" t="inlineStr">
        <is>
          <t>+44 333 344 0938</t>
        </is>
      </c>
      <c r="J114" s="14" t="inlineStr">
        <is>
          <t>https://mainyardstudios.co.uk/hackney-office-music-studio/</t>
        </is>
      </c>
      <c r="K114" s="13" t="inlineStr">
        <is>
          <t>280 Mare St, London E8 1HE, UK</t>
        </is>
      </c>
      <c r="L114" s="13" t="inlineStr">
        <is>
          <t>E8 1HE</t>
        </is>
      </c>
      <c r="M114" s="13" t="inlineStr">
        <is>
          <t>Hackney</t>
        </is>
      </c>
      <c r="N114" s="13" t="n">
        <v>8</v>
      </c>
      <c r="O114" s="15">
        <f>IFERROR(INDEX(Venues!$C$2:$C$10,MATCH(M114,Venues!$A$2:$A$10,0)),"Not checked")</f>
        <v/>
      </c>
      <c r="P114" s="15">
        <f>IFERROR(INDEX(Venues!$D$2:$D$10,MATCH(M114,Venues!$A$2:$A$10,0)),0)</f>
        <v/>
      </c>
      <c r="Q114" s="42">
        <f>IFERROR(INDEX(Venues!$E$2:$E$10,MATCH(M114,Venues!$A$2:$A$10,0)),"")</f>
        <v/>
      </c>
      <c r="R114" s="15">
        <f>IF(P114&gt;0,"Yes","No")</f>
        <v/>
      </c>
      <c r="S114" s="13" t="inlineStr">
        <is>
          <t>Hackney</t>
        </is>
      </c>
      <c r="T114" s="42">
        <f>IFERROR(INDEX(Venues!$E$2:$E$10,MATCH(S114,Venues!$A$2:$A$10,0)),"")</f>
        <v/>
      </c>
      <c r="U114" s="15">
        <f>IFERROR(INDEX(Venues!$F$2:$F$10,MATCH(S114,Venues!$A$2:$A$10,0)),"")</f>
        <v/>
      </c>
      <c r="V114" s="43">
        <f>IFERROR(INDEX(Venues!$H$2:$H$10,MATCH(S114,Venues!$A$2:$A$10,0)),"")</f>
        <v/>
      </c>
      <c r="W114" s="15">
        <f>IF('Pilot offer'!$C$24="Yes",'Pilot offer'!$C$3,S114)</f>
        <v/>
      </c>
      <c r="X114" s="42">
        <f>IF('Pilot offer'!$C$24="Yes",'Pilot offer'!$C$5+'Pilot offer'!$C$6,T114)</f>
        <v/>
      </c>
      <c r="Y114" s="15">
        <f>IF('Pilot offer'!$C$24="Yes",'Pilot offer'!$C$8,U114)</f>
        <v/>
      </c>
      <c r="Z114" s="43">
        <f>IF('Pilot offer'!$C$24="Yes",'Pilot offer'!$C$11,"")</f>
        <v/>
      </c>
      <c r="AA114" s="15">
        <f>IF(X114="","",W114&amp;" · "&amp;TEXT(X114,"ddd d mmm, hh:mm")&amp;" · "&amp;Y114&amp;IF(Z114&lt;&gt;""," · £"&amp;TEXT(Z114,"0.00")&amp;" per player"," · price TBC (cost £"&amp;TEXT(V114,"0.00")&amp;" pp)"))</f>
        <v/>
      </c>
      <c r="AD114" s="44" t="n"/>
    </row>
    <row r="115">
      <c r="A115" s="13" t="n">
        <v>113</v>
      </c>
      <c r="B115" s="13" t="inlineStr">
        <is>
          <t>1 · E8 London Fields</t>
        </is>
      </c>
      <c r="C115" s="13" t="inlineStr">
        <is>
          <t>Office &amp; professional</t>
        </is>
      </c>
      <c r="D115" s="13" t="inlineStr">
        <is>
          <t>Corporate</t>
        </is>
      </c>
      <c r="E115" s="13" t="inlineStr">
        <is>
          <t>RBN Solicitors</t>
        </is>
      </c>
      <c r="F115" s="13" t="inlineStr">
        <is>
          <t>consultant</t>
        </is>
      </c>
      <c r="G115" s="13" t="inlineStr">
        <is>
          <t>office@rbnsolicitors.co.uk</t>
        </is>
      </c>
      <c r="H115" s="13" t="inlineStr">
        <is>
          <t>general</t>
        </is>
      </c>
      <c r="I115" s="13" t="inlineStr">
        <is>
          <t>+44 20 3971 7334</t>
        </is>
      </c>
      <c r="J115" s="14" t="inlineStr">
        <is>
          <t>https://rbnsolicitors.co.uk/</t>
        </is>
      </c>
      <c r="K115" s="13" t="inlineStr">
        <is>
          <t>290-296 on the First Floor, Mare St, London E8 1HE, UK</t>
        </is>
      </c>
      <c r="L115" s="13" t="inlineStr">
        <is>
          <t>E8 1HE</t>
        </is>
      </c>
      <c r="M115" s="13" t="inlineStr">
        <is>
          <t>Hackney</t>
        </is>
      </c>
      <c r="N115" s="13" t="n">
        <v>8</v>
      </c>
      <c r="O115" s="15">
        <f>IFERROR(INDEX(Venues!$C$2:$C$10,MATCH(M115,Venues!$A$2:$A$10,0)),"Not checked")</f>
        <v/>
      </c>
      <c r="P115" s="15">
        <f>IFERROR(INDEX(Venues!$D$2:$D$10,MATCH(M115,Venues!$A$2:$A$10,0)),0)</f>
        <v/>
      </c>
      <c r="Q115" s="42">
        <f>IFERROR(INDEX(Venues!$E$2:$E$10,MATCH(M115,Venues!$A$2:$A$10,0)),"")</f>
        <v/>
      </c>
      <c r="R115" s="15">
        <f>IF(P115&gt;0,"Yes","No")</f>
        <v/>
      </c>
      <c r="S115" s="13" t="inlineStr">
        <is>
          <t>Hackney</t>
        </is>
      </c>
      <c r="T115" s="42">
        <f>IFERROR(INDEX(Venues!$E$2:$E$10,MATCH(S115,Venues!$A$2:$A$10,0)),"")</f>
        <v/>
      </c>
      <c r="U115" s="15">
        <f>IFERROR(INDEX(Venues!$F$2:$F$10,MATCH(S115,Venues!$A$2:$A$10,0)),"")</f>
        <v/>
      </c>
      <c r="V115" s="43">
        <f>IFERROR(INDEX(Venues!$H$2:$H$10,MATCH(S115,Venues!$A$2:$A$10,0)),"")</f>
        <v/>
      </c>
      <c r="W115" s="15">
        <f>IF('Pilot offer'!$C$24="Yes",'Pilot offer'!$C$3,S115)</f>
        <v/>
      </c>
      <c r="X115" s="42">
        <f>IF('Pilot offer'!$C$24="Yes",'Pilot offer'!$C$5+'Pilot offer'!$C$6,T115)</f>
        <v/>
      </c>
      <c r="Y115" s="15">
        <f>IF('Pilot offer'!$C$24="Yes",'Pilot offer'!$C$8,U115)</f>
        <v/>
      </c>
      <c r="Z115" s="43">
        <f>IF('Pilot offer'!$C$24="Yes",'Pilot offer'!$C$11,"")</f>
        <v/>
      </c>
      <c r="AA115" s="15">
        <f>IF(X115="","",W115&amp;" · "&amp;TEXT(X115,"ddd d mmm, hh:mm")&amp;" · "&amp;Y115&amp;IF(Z115&lt;&gt;""," · £"&amp;TEXT(Z115,"0.00")&amp;" per player"," · price TBC (cost £"&amp;TEXT(V115,"0.00")&amp;" pp)"))</f>
        <v/>
      </c>
      <c r="AD115" s="44" t="n"/>
    </row>
    <row r="116">
      <c r="A116" s="13" t="n">
        <v>114</v>
      </c>
      <c r="B116" s="13" t="inlineStr">
        <is>
          <t>1 · E8 London Fields</t>
        </is>
      </c>
      <c r="C116" s="13" t="inlineStr">
        <is>
          <t>Hospitality</t>
        </is>
      </c>
      <c r="D116" s="13" t="inlineStr">
        <is>
          <t>Local businesses</t>
        </is>
      </c>
      <c r="E116" s="13" t="inlineStr">
        <is>
          <t>The Crown</t>
        </is>
      </c>
      <c r="F116" s="13" t="inlineStr">
        <is>
          <t>amenity: pub</t>
        </is>
      </c>
      <c r="G116" s="13" t="inlineStr">
        <is>
          <t>info@thecrownhackney.co.uk</t>
        </is>
      </c>
      <c r="H116" s="13" t="inlineStr">
        <is>
          <t>general</t>
        </is>
      </c>
      <c r="I116" s="13" t="inlineStr">
        <is>
          <t>+44 20 8533 0372</t>
        </is>
      </c>
      <c r="J116" s="14" t="inlineStr">
        <is>
          <t>https://www.thecrownhackney.co.uk/</t>
        </is>
      </c>
      <c r="K116" s="13" t="inlineStr">
        <is>
          <t>Mare Street 418, London</t>
        </is>
      </c>
      <c r="L116" s="13" t="inlineStr">
        <is>
          <t>E8 1HP</t>
        </is>
      </c>
      <c r="M116" s="13" t="inlineStr">
        <is>
          <t>Hackney</t>
        </is>
      </c>
      <c r="N116" s="13" t="n">
        <v>6</v>
      </c>
      <c r="O116" s="15">
        <f>IFERROR(INDEX(Venues!$C$2:$C$10,MATCH(M116,Venues!$A$2:$A$10,0)),"Not checked")</f>
        <v/>
      </c>
      <c r="P116" s="15">
        <f>IFERROR(INDEX(Venues!$D$2:$D$10,MATCH(M116,Venues!$A$2:$A$10,0)),0)</f>
        <v/>
      </c>
      <c r="Q116" s="42">
        <f>IFERROR(INDEX(Venues!$E$2:$E$10,MATCH(M116,Venues!$A$2:$A$10,0)),"")</f>
        <v/>
      </c>
      <c r="R116" s="15">
        <f>IF(P116&gt;0,"Yes","No")</f>
        <v/>
      </c>
      <c r="S116" s="13" t="inlineStr">
        <is>
          <t>Hackney</t>
        </is>
      </c>
      <c r="T116" s="42">
        <f>IFERROR(INDEX(Venues!$E$2:$E$10,MATCH(S116,Venues!$A$2:$A$10,0)),"")</f>
        <v/>
      </c>
      <c r="U116" s="15">
        <f>IFERROR(INDEX(Venues!$F$2:$F$10,MATCH(S116,Venues!$A$2:$A$10,0)),"")</f>
        <v/>
      </c>
      <c r="V116" s="43">
        <f>IFERROR(INDEX(Venues!$H$2:$H$10,MATCH(S116,Venues!$A$2:$A$10,0)),"")</f>
        <v/>
      </c>
      <c r="W116" s="15">
        <f>IF('Pilot offer'!$C$24="Yes",'Pilot offer'!$C$3,S116)</f>
        <v/>
      </c>
      <c r="X116" s="42">
        <f>IF('Pilot offer'!$C$24="Yes",'Pilot offer'!$C$5+'Pilot offer'!$C$6,T116)</f>
        <v/>
      </c>
      <c r="Y116" s="15">
        <f>IF('Pilot offer'!$C$24="Yes",'Pilot offer'!$C$8,U116)</f>
        <v/>
      </c>
      <c r="Z116" s="43">
        <f>IF('Pilot offer'!$C$24="Yes",'Pilot offer'!$C$11,"")</f>
        <v/>
      </c>
      <c r="AA116" s="15">
        <f>IF(X116="","",W116&amp;" · "&amp;TEXT(X116,"ddd d mmm, hh:mm")&amp;" · "&amp;Y116&amp;IF(Z116&lt;&gt;""," · £"&amp;TEXT(Z116,"0.00")&amp;" per player"," · price TBC (cost £"&amp;TEXT(V116,"0.00")&amp;" pp)"))</f>
        <v/>
      </c>
      <c r="AD116" s="44" t="n"/>
    </row>
    <row r="117">
      <c r="A117" s="13" t="n">
        <v>115</v>
      </c>
      <c r="B117" s="13" t="inlineStr">
        <is>
          <t>1 · E8 London Fields</t>
        </is>
      </c>
      <c r="C117" s="13" t="inlineStr">
        <is>
          <t>Retail</t>
        </is>
      </c>
      <c r="D117" s="13" t="inlineStr">
        <is>
          <t>Local businesses</t>
        </is>
      </c>
      <c r="E117" s="13" t="inlineStr">
        <is>
          <t>Hackney Style Council</t>
        </is>
      </c>
      <c r="F117" s="13" t="inlineStr">
        <is>
          <t>shop: hairdresser</t>
        </is>
      </c>
      <c r="G117" s="13" t="inlineStr">
        <is>
          <t>hackneystylecouncil@gmail.com</t>
        </is>
      </c>
      <c r="H117" s="13" t="inlineStr">
        <is>
          <t>freemail</t>
        </is>
      </c>
      <c r="I117" s="13" t="inlineStr">
        <is>
          <t>+44 7376 269375</t>
        </is>
      </c>
      <c r="J117" s="14" t="inlineStr">
        <is>
          <t>https://hackneystylecouncil.com/</t>
        </is>
      </c>
      <c r="K117" s="13" t="inlineStr">
        <is>
          <t>Mare Street 352, London</t>
        </is>
      </c>
      <c r="L117" s="13" t="inlineStr">
        <is>
          <t>E8 1HR</t>
        </is>
      </c>
      <c r="M117" s="13" t="inlineStr">
        <is>
          <t>Hackney</t>
        </is>
      </c>
      <c r="N117" s="13" t="n">
        <v>6</v>
      </c>
      <c r="O117" s="15">
        <f>IFERROR(INDEX(Venues!$C$2:$C$10,MATCH(M117,Venues!$A$2:$A$10,0)),"Not checked")</f>
        <v/>
      </c>
      <c r="P117" s="15">
        <f>IFERROR(INDEX(Venues!$D$2:$D$10,MATCH(M117,Venues!$A$2:$A$10,0)),0)</f>
        <v/>
      </c>
      <c r="Q117" s="42">
        <f>IFERROR(INDEX(Venues!$E$2:$E$10,MATCH(M117,Venues!$A$2:$A$10,0)),"")</f>
        <v/>
      </c>
      <c r="R117" s="15">
        <f>IF(P117&gt;0,"Yes","No")</f>
        <v/>
      </c>
      <c r="S117" s="13" t="inlineStr">
        <is>
          <t>Hackney</t>
        </is>
      </c>
      <c r="T117" s="42">
        <f>IFERROR(INDEX(Venues!$E$2:$E$10,MATCH(S117,Venues!$A$2:$A$10,0)),"")</f>
        <v/>
      </c>
      <c r="U117" s="15">
        <f>IFERROR(INDEX(Venues!$F$2:$F$10,MATCH(S117,Venues!$A$2:$A$10,0)),"")</f>
        <v/>
      </c>
      <c r="V117" s="43">
        <f>IFERROR(INDEX(Venues!$H$2:$H$10,MATCH(S117,Venues!$A$2:$A$10,0)),"")</f>
        <v/>
      </c>
      <c r="W117" s="15">
        <f>IF('Pilot offer'!$C$24="Yes",'Pilot offer'!$C$3,S117)</f>
        <v/>
      </c>
      <c r="X117" s="42">
        <f>IF('Pilot offer'!$C$24="Yes",'Pilot offer'!$C$5+'Pilot offer'!$C$6,T117)</f>
        <v/>
      </c>
      <c r="Y117" s="15">
        <f>IF('Pilot offer'!$C$24="Yes",'Pilot offer'!$C$8,U117)</f>
        <v/>
      </c>
      <c r="Z117" s="43">
        <f>IF('Pilot offer'!$C$24="Yes",'Pilot offer'!$C$11,"")</f>
        <v/>
      </c>
      <c r="AA117" s="15">
        <f>IF(X117="","",W117&amp;" · "&amp;TEXT(X117,"ddd d mmm, hh:mm")&amp;" · "&amp;Y117&amp;IF(Z117&lt;&gt;""," · £"&amp;TEXT(Z117,"0.00")&amp;" per player"," · price TBC (cost £"&amp;TEXT(V117,"0.00")&amp;" pp)"))</f>
        <v/>
      </c>
      <c r="AD117" s="44" t="n"/>
    </row>
    <row r="118">
      <c r="A118" s="13" t="n">
        <v>116</v>
      </c>
      <c r="B118" s="13" t="inlineStr">
        <is>
          <t>1 · E8 London Fields</t>
        </is>
      </c>
      <c r="C118" s="13" t="inlineStr">
        <is>
          <t>Retail</t>
        </is>
      </c>
      <c r="D118" s="13" t="inlineStr">
        <is>
          <t>Local businesses</t>
        </is>
      </c>
      <c r="E118" s="13" t="inlineStr">
        <is>
          <t>Paper Dress Vintage</t>
        </is>
      </c>
      <c r="F118" s="13" t="inlineStr">
        <is>
          <t>shop: clothes</t>
        </is>
      </c>
      <c r="G118" s="13" t="inlineStr">
        <is>
          <t>hello@paperdressvintage.co.uk</t>
        </is>
      </c>
      <c r="H118" s="13" t="inlineStr">
        <is>
          <t>general</t>
        </is>
      </c>
      <c r="I118" s="13" t="inlineStr">
        <is>
          <t>+44 20 8510 0520</t>
        </is>
      </c>
      <c r="J118" s="14" t="inlineStr">
        <is>
          <t>https://www.paperdressvintage.co.uk/</t>
        </is>
      </c>
      <c r="K118" s="13" t="inlineStr">
        <is>
          <t>Mare Street 352a, London</t>
        </is>
      </c>
      <c r="L118" s="13" t="inlineStr">
        <is>
          <t>E8 1HR</t>
        </is>
      </c>
      <c r="M118" s="13" t="inlineStr">
        <is>
          <t>Hackney</t>
        </is>
      </c>
      <c r="N118" s="13" t="n">
        <v>6</v>
      </c>
      <c r="O118" s="15">
        <f>IFERROR(INDEX(Venues!$C$2:$C$10,MATCH(M118,Venues!$A$2:$A$10,0)),"Not checked")</f>
        <v/>
      </c>
      <c r="P118" s="15">
        <f>IFERROR(INDEX(Venues!$D$2:$D$10,MATCH(M118,Venues!$A$2:$A$10,0)),0)</f>
        <v/>
      </c>
      <c r="Q118" s="42">
        <f>IFERROR(INDEX(Venues!$E$2:$E$10,MATCH(M118,Venues!$A$2:$A$10,0)),"")</f>
        <v/>
      </c>
      <c r="R118" s="15">
        <f>IF(P118&gt;0,"Yes","No")</f>
        <v/>
      </c>
      <c r="S118" s="13" t="inlineStr">
        <is>
          <t>Hackney</t>
        </is>
      </c>
      <c r="T118" s="42">
        <f>IFERROR(INDEX(Venues!$E$2:$E$10,MATCH(S118,Venues!$A$2:$A$10,0)),"")</f>
        <v/>
      </c>
      <c r="U118" s="15">
        <f>IFERROR(INDEX(Venues!$F$2:$F$10,MATCH(S118,Venues!$A$2:$A$10,0)),"")</f>
        <v/>
      </c>
      <c r="V118" s="43">
        <f>IFERROR(INDEX(Venues!$H$2:$H$10,MATCH(S118,Venues!$A$2:$A$10,0)),"")</f>
        <v/>
      </c>
      <c r="W118" s="15">
        <f>IF('Pilot offer'!$C$24="Yes",'Pilot offer'!$C$3,S118)</f>
        <v/>
      </c>
      <c r="X118" s="42">
        <f>IF('Pilot offer'!$C$24="Yes",'Pilot offer'!$C$5+'Pilot offer'!$C$6,T118)</f>
        <v/>
      </c>
      <c r="Y118" s="15">
        <f>IF('Pilot offer'!$C$24="Yes",'Pilot offer'!$C$8,U118)</f>
        <v/>
      </c>
      <c r="Z118" s="43">
        <f>IF('Pilot offer'!$C$24="Yes",'Pilot offer'!$C$11,"")</f>
        <v/>
      </c>
      <c r="AA118" s="15">
        <f>IF(X118="","",W118&amp;" · "&amp;TEXT(X118,"ddd d mmm, hh:mm")&amp;" · "&amp;Y118&amp;IF(Z118&lt;&gt;""," · £"&amp;TEXT(Z118,"0.00")&amp;" per player"," · price TBC (cost £"&amp;TEXT(V118,"0.00")&amp;" pp)"))</f>
        <v/>
      </c>
      <c r="AD118" s="44" t="n"/>
    </row>
    <row r="119">
      <c r="A119" s="13" t="n">
        <v>117</v>
      </c>
      <c r="B119" s="13" t="inlineStr">
        <is>
          <t>1 · E8 London Fields</t>
        </is>
      </c>
      <c r="C119" s="13" t="inlineStr">
        <is>
          <t>Hospitality</t>
        </is>
      </c>
      <c r="D119" s="13" t="inlineStr">
        <is>
          <t>Local businesses</t>
        </is>
      </c>
      <c r="E119" s="13" t="inlineStr">
        <is>
          <t>Seaweed</t>
        </is>
      </c>
      <c r="F119" s="13" t="inlineStr">
        <is>
          <t>amenity: fast food</t>
        </is>
      </c>
      <c r="G119" s="13" t="inlineStr">
        <is>
          <t>info@seaweed-food.co.uk</t>
        </is>
      </c>
      <c r="H119" s="13" t="inlineStr">
        <is>
          <t>general</t>
        </is>
      </c>
      <c r="I119" s="13" t="inlineStr">
        <is>
          <t>+44 20 3062 8704</t>
        </is>
      </c>
      <c r="J119" s="14" t="inlineStr">
        <is>
          <t>https://seaweed-food.co.uk</t>
        </is>
      </c>
      <c r="K119" s="13" t="inlineStr">
        <is>
          <t>Mare Street 358, London</t>
        </is>
      </c>
      <c r="L119" s="13" t="inlineStr">
        <is>
          <t>E8 1HR</t>
        </is>
      </c>
      <c r="M119" s="13" t="inlineStr">
        <is>
          <t>Hackney</t>
        </is>
      </c>
      <c r="N119" s="13" t="n">
        <v>6</v>
      </c>
      <c r="O119" s="15">
        <f>IFERROR(INDEX(Venues!$C$2:$C$10,MATCH(M119,Venues!$A$2:$A$10,0)),"Not checked")</f>
        <v/>
      </c>
      <c r="P119" s="15">
        <f>IFERROR(INDEX(Venues!$D$2:$D$10,MATCH(M119,Venues!$A$2:$A$10,0)),0)</f>
        <v/>
      </c>
      <c r="Q119" s="42">
        <f>IFERROR(INDEX(Venues!$E$2:$E$10,MATCH(M119,Venues!$A$2:$A$10,0)),"")</f>
        <v/>
      </c>
      <c r="R119" s="15">
        <f>IF(P119&gt;0,"Yes","No")</f>
        <v/>
      </c>
      <c r="S119" s="13" t="inlineStr">
        <is>
          <t>Hackney</t>
        </is>
      </c>
      <c r="T119" s="42">
        <f>IFERROR(INDEX(Venues!$E$2:$E$10,MATCH(S119,Venues!$A$2:$A$10,0)),"")</f>
        <v/>
      </c>
      <c r="U119" s="15">
        <f>IFERROR(INDEX(Venues!$F$2:$F$10,MATCH(S119,Venues!$A$2:$A$10,0)),"")</f>
        <v/>
      </c>
      <c r="V119" s="43">
        <f>IFERROR(INDEX(Venues!$H$2:$H$10,MATCH(S119,Venues!$A$2:$A$10,0)),"")</f>
        <v/>
      </c>
      <c r="W119" s="15">
        <f>IF('Pilot offer'!$C$24="Yes",'Pilot offer'!$C$3,S119)</f>
        <v/>
      </c>
      <c r="X119" s="42">
        <f>IF('Pilot offer'!$C$24="Yes",'Pilot offer'!$C$5+'Pilot offer'!$C$6,T119)</f>
        <v/>
      </c>
      <c r="Y119" s="15">
        <f>IF('Pilot offer'!$C$24="Yes",'Pilot offer'!$C$8,U119)</f>
        <v/>
      </c>
      <c r="Z119" s="43">
        <f>IF('Pilot offer'!$C$24="Yes",'Pilot offer'!$C$11,"")</f>
        <v/>
      </c>
      <c r="AA119" s="15">
        <f>IF(X119="","",W119&amp;" · "&amp;TEXT(X119,"ddd d mmm, hh:mm")&amp;" · "&amp;Y119&amp;IF(Z119&lt;&gt;""," · £"&amp;TEXT(Z119,"0.00")&amp;" per player"," · price TBC (cost £"&amp;TEXT(V119,"0.00")&amp;" pp)"))</f>
        <v/>
      </c>
      <c r="AD119" s="44" t="n"/>
    </row>
    <row r="120">
      <c r="A120" s="13" t="n">
        <v>118</v>
      </c>
      <c r="B120" s="13" t="inlineStr">
        <is>
          <t>1 · E8 London Fields</t>
        </is>
      </c>
      <c r="C120" s="13" t="inlineStr">
        <is>
          <t>Hospitality</t>
        </is>
      </c>
      <c r="D120" s="13" t="inlineStr">
        <is>
          <t>Local businesses</t>
        </is>
      </c>
      <c r="E120" s="13" t="inlineStr">
        <is>
          <t>McDonald's</t>
        </is>
      </c>
      <c r="F120" s="13" t="inlineStr">
        <is>
          <t>amenity: fast food</t>
        </is>
      </c>
      <c r="G120" s="13" t="inlineStr">
        <is>
          <t>00109@uk.mcd.com</t>
        </is>
      </c>
      <c r="H120" s="13" t="inlineStr">
        <is>
          <t>openstreetmap_tag</t>
        </is>
      </c>
      <c r="I120" s="13" t="inlineStr">
        <is>
          <t>+44 20 8985 4102</t>
        </is>
      </c>
      <c r="J120" s="14" t="inlineStr">
        <is>
          <t>https://www.mcdonalds.com/gb/en-gb/location/hackney/hackney/359363-mare-street/8260109.html</t>
        </is>
      </c>
      <c r="K120" s="13" t="inlineStr">
        <is>
          <t>Mare Street 359-363, London</t>
        </is>
      </c>
      <c r="L120" s="13" t="inlineStr">
        <is>
          <t>E8 1HY</t>
        </is>
      </c>
      <c r="M120" s="13" t="inlineStr">
        <is>
          <t>Hackney</t>
        </is>
      </c>
      <c r="N120" s="13" t="n">
        <v>6</v>
      </c>
      <c r="O120" s="15">
        <f>IFERROR(INDEX(Venues!$C$2:$C$10,MATCH(M120,Venues!$A$2:$A$10,0)),"Not checked")</f>
        <v/>
      </c>
      <c r="P120" s="15">
        <f>IFERROR(INDEX(Venues!$D$2:$D$10,MATCH(M120,Venues!$A$2:$A$10,0)),0)</f>
        <v/>
      </c>
      <c r="Q120" s="42">
        <f>IFERROR(INDEX(Venues!$E$2:$E$10,MATCH(M120,Venues!$A$2:$A$10,0)),"")</f>
        <v/>
      </c>
      <c r="R120" s="15">
        <f>IF(P120&gt;0,"Yes","No")</f>
        <v/>
      </c>
      <c r="S120" s="13" t="inlineStr">
        <is>
          <t>Hackney</t>
        </is>
      </c>
      <c r="T120" s="42">
        <f>IFERROR(INDEX(Venues!$E$2:$E$10,MATCH(S120,Venues!$A$2:$A$10,0)),"")</f>
        <v/>
      </c>
      <c r="U120" s="15">
        <f>IFERROR(INDEX(Venues!$F$2:$F$10,MATCH(S120,Venues!$A$2:$A$10,0)),"")</f>
        <v/>
      </c>
      <c r="V120" s="43">
        <f>IFERROR(INDEX(Venues!$H$2:$H$10,MATCH(S120,Venues!$A$2:$A$10,0)),"")</f>
        <v/>
      </c>
      <c r="W120" s="15">
        <f>IF('Pilot offer'!$C$24="Yes",'Pilot offer'!$C$3,S120)</f>
        <v/>
      </c>
      <c r="X120" s="42">
        <f>IF('Pilot offer'!$C$24="Yes",'Pilot offer'!$C$5+'Pilot offer'!$C$6,T120)</f>
        <v/>
      </c>
      <c r="Y120" s="15">
        <f>IF('Pilot offer'!$C$24="Yes",'Pilot offer'!$C$8,U120)</f>
        <v/>
      </c>
      <c r="Z120" s="43">
        <f>IF('Pilot offer'!$C$24="Yes",'Pilot offer'!$C$11,"")</f>
        <v/>
      </c>
      <c r="AA120" s="15">
        <f>IF(X120="","",W120&amp;" · "&amp;TEXT(X120,"ddd d mmm, hh:mm")&amp;" · "&amp;Y120&amp;IF(Z120&lt;&gt;""," · £"&amp;TEXT(Z120,"0.00")&amp;" per player"," · price TBC (cost £"&amp;TEXT(V120,"0.00")&amp;" pp)"))</f>
        <v/>
      </c>
      <c r="AD120" s="44" t="n"/>
    </row>
    <row r="121">
      <c r="A121" s="13" t="n">
        <v>119</v>
      </c>
      <c r="B121" s="13" t="inlineStr">
        <is>
          <t>1 · E8 London Fields</t>
        </is>
      </c>
      <c r="C121" s="13" t="inlineStr">
        <is>
          <t>Hospitality</t>
        </is>
      </c>
      <c r="D121" s="13" t="inlineStr">
        <is>
          <t>Local businesses</t>
        </is>
      </c>
      <c r="E121" s="13" t="inlineStr">
        <is>
          <t>Palaette</t>
        </is>
      </c>
      <c r="F121" s="13" t="inlineStr">
        <is>
          <t>amenity: restaurant</t>
        </is>
      </c>
      <c r="G121" s="13" t="inlineStr">
        <is>
          <t>info@palaette.co.uk</t>
        </is>
      </c>
      <c r="H121" s="13" t="inlineStr">
        <is>
          <t>openstreetmap_tag</t>
        </is>
      </c>
      <c r="I121" s="13" t="inlineStr">
        <is>
          <t>+44 7395 327754</t>
        </is>
      </c>
      <c r="J121" s="14" t="inlineStr">
        <is>
          <t>https://www.palaette.co.uk/</t>
        </is>
      </c>
      <c r="K121" s="13" t="inlineStr">
        <is>
          <t>Mare Street 415, London</t>
        </is>
      </c>
      <c r="L121" s="13" t="inlineStr">
        <is>
          <t>E8 1HY</t>
        </is>
      </c>
      <c r="M121" s="13" t="inlineStr">
        <is>
          <t>Hackney</t>
        </is>
      </c>
      <c r="N121" s="13" t="n">
        <v>6</v>
      </c>
      <c r="O121" s="15">
        <f>IFERROR(INDEX(Venues!$C$2:$C$10,MATCH(M121,Venues!$A$2:$A$10,0)),"Not checked")</f>
        <v/>
      </c>
      <c r="P121" s="15">
        <f>IFERROR(INDEX(Venues!$D$2:$D$10,MATCH(M121,Venues!$A$2:$A$10,0)),0)</f>
        <v/>
      </c>
      <c r="Q121" s="42">
        <f>IFERROR(INDEX(Venues!$E$2:$E$10,MATCH(M121,Venues!$A$2:$A$10,0)),"")</f>
        <v/>
      </c>
      <c r="R121" s="15">
        <f>IF(P121&gt;0,"Yes","No")</f>
        <v/>
      </c>
      <c r="S121" s="13" t="inlineStr">
        <is>
          <t>Hackney</t>
        </is>
      </c>
      <c r="T121" s="42">
        <f>IFERROR(INDEX(Venues!$E$2:$E$10,MATCH(S121,Venues!$A$2:$A$10,0)),"")</f>
        <v/>
      </c>
      <c r="U121" s="15">
        <f>IFERROR(INDEX(Venues!$F$2:$F$10,MATCH(S121,Venues!$A$2:$A$10,0)),"")</f>
        <v/>
      </c>
      <c r="V121" s="43">
        <f>IFERROR(INDEX(Venues!$H$2:$H$10,MATCH(S121,Venues!$A$2:$A$10,0)),"")</f>
        <v/>
      </c>
      <c r="W121" s="15">
        <f>IF('Pilot offer'!$C$24="Yes",'Pilot offer'!$C$3,S121)</f>
        <v/>
      </c>
      <c r="X121" s="42">
        <f>IF('Pilot offer'!$C$24="Yes",'Pilot offer'!$C$5+'Pilot offer'!$C$6,T121)</f>
        <v/>
      </c>
      <c r="Y121" s="15">
        <f>IF('Pilot offer'!$C$24="Yes",'Pilot offer'!$C$8,U121)</f>
        <v/>
      </c>
      <c r="Z121" s="43">
        <f>IF('Pilot offer'!$C$24="Yes",'Pilot offer'!$C$11,"")</f>
        <v/>
      </c>
      <c r="AA121" s="15">
        <f>IF(X121="","",W121&amp;" · "&amp;TEXT(X121,"ddd d mmm, hh:mm")&amp;" · "&amp;Y121&amp;IF(Z121&lt;&gt;""," · £"&amp;TEXT(Z121,"0.00")&amp;" per player"," · price TBC (cost £"&amp;TEXT(V121,"0.00")&amp;" pp)"))</f>
        <v/>
      </c>
      <c r="AD121" s="44" t="n"/>
    </row>
    <row r="122">
      <c r="A122" s="13" t="n">
        <v>120</v>
      </c>
      <c r="B122" s="13" t="inlineStr">
        <is>
          <t>1 · E8 London Fields</t>
        </is>
      </c>
      <c r="C122" s="13" t="inlineStr">
        <is>
          <t>Hospitality</t>
        </is>
      </c>
      <c r="D122" s="13" t="inlineStr">
        <is>
          <t>Local businesses</t>
        </is>
      </c>
      <c r="E122" s="13" t="inlineStr">
        <is>
          <t>Pembury Tavern</t>
        </is>
      </c>
      <c r="F122" s="13" t="inlineStr">
        <is>
          <t>amenity: pub</t>
        </is>
      </c>
      <c r="G122" s="13" t="inlineStr">
        <is>
          <t>hello@pemburytavern.co.uk</t>
        </is>
      </c>
      <c r="H122" s="13" t="inlineStr">
        <is>
          <t>general</t>
        </is>
      </c>
      <c r="I122" s="13" t="inlineStr">
        <is>
          <t>+44 20 8986 8597</t>
        </is>
      </c>
      <c r="J122" s="14" t="inlineStr">
        <is>
          <t>https://pemburytavern.co.uk/</t>
        </is>
      </c>
      <c r="K122" s="13" t="inlineStr">
        <is>
          <t>Amhurst Road 90, London</t>
        </is>
      </c>
      <c r="L122" s="13" t="inlineStr">
        <is>
          <t>E8 1JH</t>
        </is>
      </c>
      <c r="M122" s="13" t="inlineStr">
        <is>
          <t>Hackney</t>
        </is>
      </c>
      <c r="N122" s="13" t="n">
        <v>11</v>
      </c>
      <c r="O122" s="15">
        <f>IFERROR(INDEX(Venues!$C$2:$C$10,MATCH(M122,Venues!$A$2:$A$10,0)),"Not checked")</f>
        <v/>
      </c>
      <c r="P122" s="15">
        <f>IFERROR(INDEX(Venues!$D$2:$D$10,MATCH(M122,Venues!$A$2:$A$10,0)),0)</f>
        <v/>
      </c>
      <c r="Q122" s="42">
        <f>IFERROR(INDEX(Venues!$E$2:$E$10,MATCH(M122,Venues!$A$2:$A$10,0)),"")</f>
        <v/>
      </c>
      <c r="R122" s="15">
        <f>IF(P122&gt;0,"Yes","No")</f>
        <v/>
      </c>
      <c r="S122" s="13" t="inlineStr">
        <is>
          <t>Hackney</t>
        </is>
      </c>
      <c r="T122" s="42">
        <f>IFERROR(INDEX(Venues!$E$2:$E$10,MATCH(S122,Venues!$A$2:$A$10,0)),"")</f>
        <v/>
      </c>
      <c r="U122" s="15">
        <f>IFERROR(INDEX(Venues!$F$2:$F$10,MATCH(S122,Venues!$A$2:$A$10,0)),"")</f>
        <v/>
      </c>
      <c r="V122" s="43">
        <f>IFERROR(INDEX(Venues!$H$2:$H$10,MATCH(S122,Venues!$A$2:$A$10,0)),"")</f>
        <v/>
      </c>
      <c r="W122" s="15">
        <f>IF('Pilot offer'!$C$24="Yes",'Pilot offer'!$C$3,S122)</f>
        <v/>
      </c>
      <c r="X122" s="42">
        <f>IF('Pilot offer'!$C$24="Yes",'Pilot offer'!$C$5+'Pilot offer'!$C$6,T122)</f>
        <v/>
      </c>
      <c r="Y122" s="15">
        <f>IF('Pilot offer'!$C$24="Yes",'Pilot offer'!$C$8,U122)</f>
        <v/>
      </c>
      <c r="Z122" s="43">
        <f>IF('Pilot offer'!$C$24="Yes",'Pilot offer'!$C$11,"")</f>
        <v/>
      </c>
      <c r="AA122" s="15">
        <f>IF(X122="","",W122&amp;" · "&amp;TEXT(X122,"ddd d mmm, hh:mm")&amp;" · "&amp;Y122&amp;IF(Z122&lt;&gt;""," · £"&amp;TEXT(Z122,"0.00")&amp;" per player"," · price TBC (cost £"&amp;TEXT(V122,"0.00")&amp;" pp)"))</f>
        <v/>
      </c>
      <c r="AD122" s="44" t="n"/>
    </row>
    <row r="123">
      <c r="A123" s="13" t="n">
        <v>121</v>
      </c>
      <c r="B123" s="13" t="inlineStr">
        <is>
          <t>1 · E8 London Fields</t>
        </is>
      </c>
      <c r="C123" s="13" t="inlineStr">
        <is>
          <t>Hospitality</t>
        </is>
      </c>
      <c r="D123" s="13" t="inlineStr">
        <is>
          <t>Local businesses</t>
        </is>
      </c>
      <c r="E123" s="13" t="inlineStr">
        <is>
          <t>.Kip</t>
        </is>
      </c>
      <c r="F123" s="13" t="inlineStr">
        <is>
          <t>tourism: hotel</t>
        </is>
      </c>
      <c r="G123" s="13" t="inlineStr">
        <is>
          <t>hello@getsomekip.com</t>
        </is>
      </c>
      <c r="H123" s="13" t="inlineStr">
        <is>
          <t>openstreetmap_tag</t>
        </is>
      </c>
      <c r="I123" s="13" t="inlineStr">
        <is>
          <t>+44 20 8629 7884</t>
        </is>
      </c>
      <c r="J123" s="14" t="inlineStr">
        <is>
          <t>https://getsomekip.com/</t>
        </is>
      </c>
      <c r="K123" s="13" t="inlineStr">
        <is>
          <t>Amhurst Road 2, London</t>
        </is>
      </c>
      <c r="L123" s="13" t="inlineStr">
        <is>
          <t>E8 1JW</t>
        </is>
      </c>
      <c r="M123" s="13" t="inlineStr">
        <is>
          <t>Hackney</t>
        </is>
      </c>
      <c r="N123" s="13" t="n">
        <v>8</v>
      </c>
      <c r="O123" s="15">
        <f>IFERROR(INDEX(Venues!$C$2:$C$10,MATCH(M123,Venues!$A$2:$A$10,0)),"Not checked")</f>
        <v/>
      </c>
      <c r="P123" s="15">
        <f>IFERROR(INDEX(Venues!$D$2:$D$10,MATCH(M123,Venues!$A$2:$A$10,0)),0)</f>
        <v/>
      </c>
      <c r="Q123" s="42">
        <f>IFERROR(INDEX(Venues!$E$2:$E$10,MATCH(M123,Venues!$A$2:$A$10,0)),"")</f>
        <v/>
      </c>
      <c r="R123" s="15">
        <f>IF(P123&gt;0,"Yes","No")</f>
        <v/>
      </c>
      <c r="S123" s="13" t="inlineStr">
        <is>
          <t>Hackney</t>
        </is>
      </c>
      <c r="T123" s="42">
        <f>IFERROR(INDEX(Venues!$E$2:$E$10,MATCH(S123,Venues!$A$2:$A$10,0)),"")</f>
        <v/>
      </c>
      <c r="U123" s="15">
        <f>IFERROR(INDEX(Venues!$F$2:$F$10,MATCH(S123,Venues!$A$2:$A$10,0)),"")</f>
        <v/>
      </c>
      <c r="V123" s="43">
        <f>IFERROR(INDEX(Venues!$H$2:$H$10,MATCH(S123,Venues!$A$2:$A$10,0)),"")</f>
        <v/>
      </c>
      <c r="W123" s="15">
        <f>IF('Pilot offer'!$C$24="Yes",'Pilot offer'!$C$3,S123)</f>
        <v/>
      </c>
      <c r="X123" s="42">
        <f>IF('Pilot offer'!$C$24="Yes",'Pilot offer'!$C$5+'Pilot offer'!$C$6,T123)</f>
        <v/>
      </c>
      <c r="Y123" s="15">
        <f>IF('Pilot offer'!$C$24="Yes",'Pilot offer'!$C$8,U123)</f>
        <v/>
      </c>
      <c r="Z123" s="43">
        <f>IF('Pilot offer'!$C$24="Yes",'Pilot offer'!$C$11,"")</f>
        <v/>
      </c>
      <c r="AA123" s="15">
        <f>IF(X123="","",W123&amp;" · "&amp;TEXT(X123,"ddd d mmm, hh:mm")&amp;" · "&amp;Y123&amp;IF(Z123&lt;&gt;""," · £"&amp;TEXT(Z123,"0.00")&amp;" per player"," · price TBC (cost £"&amp;TEXT(V123,"0.00")&amp;" pp)"))</f>
        <v/>
      </c>
      <c r="AD123" s="44" t="n"/>
    </row>
    <row r="124">
      <c r="A124" s="13" t="n">
        <v>122</v>
      </c>
      <c r="B124" s="13" t="inlineStr">
        <is>
          <t>1 · E8 London Fields</t>
        </is>
      </c>
      <c r="C124" s="13" t="inlineStr">
        <is>
          <t>Hospitality</t>
        </is>
      </c>
      <c r="D124" s="13" t="inlineStr">
        <is>
          <t>Local businesses</t>
        </is>
      </c>
      <c r="E124" s="13" t="inlineStr">
        <is>
          <t>Hash E8</t>
        </is>
      </c>
      <c r="F124" s="13" t="inlineStr">
        <is>
          <t>amenity: cafe</t>
        </is>
      </c>
      <c r="G124" s="13" t="inlineStr">
        <is>
          <t>hashe8@hotmail.com</t>
        </is>
      </c>
      <c r="H124" s="13" t="inlineStr">
        <is>
          <t>openstreetmap_tag</t>
        </is>
      </c>
      <c r="I124" s="13" t="n"/>
      <c r="J124" s="13" t="n"/>
      <c r="K124" s="13" t="inlineStr">
        <is>
          <t>Dalston Lane 170c, London</t>
        </is>
      </c>
      <c r="L124" s="13" t="inlineStr">
        <is>
          <t>E8 1NG</t>
        </is>
      </c>
      <c r="M124" s="13" t="inlineStr">
        <is>
          <t>Hackney</t>
        </is>
      </c>
      <c r="N124" s="13" t="n">
        <v>17</v>
      </c>
      <c r="O124" s="15">
        <f>IFERROR(INDEX(Venues!$C$2:$C$10,MATCH(M124,Venues!$A$2:$A$10,0)),"Not checked")</f>
        <v/>
      </c>
      <c r="P124" s="15">
        <f>IFERROR(INDEX(Venues!$D$2:$D$10,MATCH(M124,Venues!$A$2:$A$10,0)),0)</f>
        <v/>
      </c>
      <c r="Q124" s="42">
        <f>IFERROR(INDEX(Venues!$E$2:$E$10,MATCH(M124,Venues!$A$2:$A$10,0)),"")</f>
        <v/>
      </c>
      <c r="R124" s="15">
        <f>IF(P124&gt;0,"Yes","No")</f>
        <v/>
      </c>
      <c r="S124" s="13" t="inlineStr">
        <is>
          <t>Hackney</t>
        </is>
      </c>
      <c r="T124" s="42">
        <f>IFERROR(INDEX(Venues!$E$2:$E$10,MATCH(S124,Venues!$A$2:$A$10,0)),"")</f>
        <v/>
      </c>
      <c r="U124" s="15">
        <f>IFERROR(INDEX(Venues!$F$2:$F$10,MATCH(S124,Venues!$A$2:$A$10,0)),"")</f>
        <v/>
      </c>
      <c r="V124" s="43">
        <f>IFERROR(INDEX(Venues!$H$2:$H$10,MATCH(S124,Venues!$A$2:$A$10,0)),"")</f>
        <v/>
      </c>
      <c r="W124" s="15">
        <f>IF('Pilot offer'!$C$24="Yes",'Pilot offer'!$C$3,S124)</f>
        <v/>
      </c>
      <c r="X124" s="42">
        <f>IF('Pilot offer'!$C$24="Yes",'Pilot offer'!$C$5+'Pilot offer'!$C$6,T124)</f>
        <v/>
      </c>
      <c r="Y124" s="15">
        <f>IF('Pilot offer'!$C$24="Yes",'Pilot offer'!$C$8,U124)</f>
        <v/>
      </c>
      <c r="Z124" s="43">
        <f>IF('Pilot offer'!$C$24="Yes",'Pilot offer'!$C$11,"")</f>
        <v/>
      </c>
      <c r="AA124" s="15">
        <f>IF(X124="","",W124&amp;" · "&amp;TEXT(X124,"ddd d mmm, hh:mm")&amp;" · "&amp;Y124&amp;IF(Z124&lt;&gt;""," · £"&amp;TEXT(Z124,"0.00")&amp;" per player"," · price TBC (cost £"&amp;TEXT(V124,"0.00")&amp;" pp)"))</f>
        <v/>
      </c>
      <c r="AD124" s="44" t="n"/>
    </row>
    <row r="125">
      <c r="A125" s="13" t="n">
        <v>123</v>
      </c>
      <c r="B125" s="13" t="inlineStr">
        <is>
          <t>1 · E8 London Fields</t>
        </is>
      </c>
      <c r="C125" s="13" t="inlineStr">
        <is>
          <t>Coworking / shared office</t>
        </is>
      </c>
      <c r="D125" s="13" t="inlineStr">
        <is>
          <t>Corporate</t>
        </is>
      </c>
      <c r="E125" s="13" t="inlineStr">
        <is>
          <t>Millers Junction</t>
        </is>
      </c>
      <c r="F125" s="13" t="inlineStr">
        <is>
          <t>coworking_space</t>
        </is>
      </c>
      <c r="G125" s="13" t="inlineStr">
        <is>
          <t>info@printclublondon.com</t>
        </is>
      </c>
      <c r="H125" s="13" t="inlineStr">
        <is>
          <t>general</t>
        </is>
      </c>
      <c r="I125" s="13" t="inlineStr">
        <is>
          <t>+44 20 7254 9028</t>
        </is>
      </c>
      <c r="J125" s="14" t="inlineStr">
        <is>
          <t>https://printclublondon.com/millers-junction-creative-deskspace/</t>
        </is>
      </c>
      <c r="K125" s="13" t="inlineStr">
        <is>
          <t>10, 28 Millers Ave., London E8 2DS, UK</t>
        </is>
      </c>
      <c r="L125" s="13" t="inlineStr">
        <is>
          <t>E8 2DS</t>
        </is>
      </c>
      <c r="M125" s="13" t="inlineStr">
        <is>
          <t>Rosemary Gardens 3G - Islington</t>
        </is>
      </c>
      <c r="N125" s="13" t="n">
        <v>28</v>
      </c>
      <c r="O125" s="15">
        <f>IFERROR(INDEX(Venues!$C$2:$C$10,MATCH(M125,Venues!$A$2:$A$10,0)),"Not checked")</f>
        <v/>
      </c>
      <c r="P125" s="15">
        <f>IFERROR(INDEX(Venues!$D$2:$D$10,MATCH(M125,Venues!$A$2:$A$10,0)),0)</f>
        <v/>
      </c>
      <c r="Q125" s="42">
        <f>IFERROR(INDEX(Venues!$E$2:$E$10,MATCH(M125,Venues!$A$2:$A$10,0)),"")</f>
        <v/>
      </c>
      <c r="R125" s="15">
        <f>IF(P125&gt;0,"Yes","No")</f>
        <v/>
      </c>
      <c r="S125" s="13" t="inlineStr">
        <is>
          <t>COLA Shoreditch Park</t>
        </is>
      </c>
      <c r="T125" s="42">
        <f>IFERROR(INDEX(Venues!$E$2:$E$10,MATCH(S125,Venues!$A$2:$A$10,0)),"")</f>
        <v/>
      </c>
      <c r="U125" s="15">
        <f>IFERROR(INDEX(Venues!$F$2:$F$10,MATCH(S125,Venues!$A$2:$A$10,0)),"")</f>
        <v/>
      </c>
      <c r="V125" s="43">
        <f>IFERROR(INDEX(Venues!$H$2:$H$10,MATCH(S125,Venues!$A$2:$A$10,0)),"")</f>
        <v/>
      </c>
      <c r="W125" s="15">
        <f>IF('Pilot offer'!$C$24="Yes",'Pilot offer'!$C$3,S125)</f>
        <v/>
      </c>
      <c r="X125" s="42">
        <f>IF('Pilot offer'!$C$24="Yes",'Pilot offer'!$C$5+'Pilot offer'!$C$6,T125)</f>
        <v/>
      </c>
      <c r="Y125" s="15">
        <f>IF('Pilot offer'!$C$24="Yes",'Pilot offer'!$C$8,U125)</f>
        <v/>
      </c>
      <c r="Z125" s="43">
        <f>IF('Pilot offer'!$C$24="Yes",'Pilot offer'!$C$11,"")</f>
        <v/>
      </c>
      <c r="AA125" s="15">
        <f>IF(X125="","",W125&amp;" · "&amp;TEXT(X125,"ddd d mmm, hh:mm")&amp;" · "&amp;Y125&amp;IF(Z125&lt;&gt;""," · £"&amp;TEXT(Z125,"0.00")&amp;" per player"," · price TBC (cost £"&amp;TEXT(V125,"0.00")&amp;" pp)"))</f>
        <v/>
      </c>
      <c r="AD125" s="44" t="n"/>
    </row>
    <row r="126">
      <c r="A126" s="13" t="n">
        <v>124</v>
      </c>
      <c r="B126" s="13" t="inlineStr">
        <is>
          <t>1 · E8 London Fields</t>
        </is>
      </c>
      <c r="C126" s="13" t="inlineStr">
        <is>
          <t>Office &amp; professional</t>
        </is>
      </c>
      <c r="D126" s="13" t="inlineStr">
        <is>
          <t>Corporate</t>
        </is>
      </c>
      <c r="E126" s="13" t="inlineStr">
        <is>
          <t>Regnum Solicitors</t>
        </is>
      </c>
      <c r="F126" s="13" t="inlineStr">
        <is>
          <t>consultant</t>
        </is>
      </c>
      <c r="G126" s="13" t="inlineStr">
        <is>
          <t>info@regnumsolicitors.com</t>
        </is>
      </c>
      <c r="H126" s="13" t="inlineStr">
        <is>
          <t>general</t>
        </is>
      </c>
      <c r="I126" s="13" t="inlineStr">
        <is>
          <t>+44 20 7923 3855</t>
        </is>
      </c>
      <c r="J126" s="14" t="inlineStr">
        <is>
          <t>http://www.regnumsolicitors.com/</t>
        </is>
      </c>
      <c r="K126" s="13" t="inlineStr">
        <is>
          <t>Kinetica, 13, Unit 7, Ramsgate St, London E8 2FD, UK</t>
        </is>
      </c>
      <c r="L126" s="13" t="inlineStr">
        <is>
          <t>E8 2FD</t>
        </is>
      </c>
      <c r="M126" s="13" t="inlineStr">
        <is>
          <t>Rosemary Gardens 3G - Islington</t>
        </is>
      </c>
      <c r="N126" s="13" t="n">
        <v>23</v>
      </c>
      <c r="O126" s="15">
        <f>IFERROR(INDEX(Venues!$C$2:$C$10,MATCH(M126,Venues!$A$2:$A$10,0)),"Not checked")</f>
        <v/>
      </c>
      <c r="P126" s="15">
        <f>IFERROR(INDEX(Venues!$D$2:$D$10,MATCH(M126,Venues!$A$2:$A$10,0)),0)</f>
        <v/>
      </c>
      <c r="Q126" s="42">
        <f>IFERROR(INDEX(Venues!$E$2:$E$10,MATCH(M126,Venues!$A$2:$A$10,0)),"")</f>
        <v/>
      </c>
      <c r="R126" s="15">
        <f>IF(P126&gt;0,"Yes","No")</f>
        <v/>
      </c>
      <c r="S126" s="13" t="inlineStr">
        <is>
          <t>COLA Shoreditch Park</t>
        </is>
      </c>
      <c r="T126" s="42">
        <f>IFERROR(INDEX(Venues!$E$2:$E$10,MATCH(S126,Venues!$A$2:$A$10,0)),"")</f>
        <v/>
      </c>
      <c r="U126" s="15">
        <f>IFERROR(INDEX(Venues!$F$2:$F$10,MATCH(S126,Venues!$A$2:$A$10,0)),"")</f>
        <v/>
      </c>
      <c r="V126" s="43">
        <f>IFERROR(INDEX(Venues!$H$2:$H$10,MATCH(S126,Venues!$A$2:$A$10,0)),"")</f>
        <v/>
      </c>
      <c r="W126" s="15">
        <f>IF('Pilot offer'!$C$24="Yes",'Pilot offer'!$C$3,S126)</f>
        <v/>
      </c>
      <c r="X126" s="42">
        <f>IF('Pilot offer'!$C$24="Yes",'Pilot offer'!$C$5+'Pilot offer'!$C$6,T126)</f>
        <v/>
      </c>
      <c r="Y126" s="15">
        <f>IF('Pilot offer'!$C$24="Yes",'Pilot offer'!$C$8,U126)</f>
        <v/>
      </c>
      <c r="Z126" s="43">
        <f>IF('Pilot offer'!$C$24="Yes",'Pilot offer'!$C$11,"")</f>
        <v/>
      </c>
      <c r="AA126" s="15">
        <f>IF(X126="","",W126&amp;" · "&amp;TEXT(X126,"ddd d mmm, hh:mm")&amp;" · "&amp;Y126&amp;IF(Z126&lt;&gt;""," · £"&amp;TEXT(Z126,"0.00")&amp;" per player"," · price TBC (cost £"&amp;TEXT(V126,"0.00")&amp;" pp)"))</f>
        <v/>
      </c>
      <c r="AD126" s="44" t="n"/>
    </row>
    <row r="127">
      <c r="A127" s="13" t="n">
        <v>125</v>
      </c>
      <c r="B127" s="13" t="inlineStr">
        <is>
          <t>1 · E8 London Fields</t>
        </is>
      </c>
      <c r="C127" s="13" t="inlineStr">
        <is>
          <t>Office &amp; professional</t>
        </is>
      </c>
      <c r="D127" s="13" t="inlineStr">
        <is>
          <t>Corporate</t>
        </is>
      </c>
      <c r="E127" s="13" t="inlineStr">
        <is>
          <t>Bhatt Murphy Solicitors</t>
        </is>
      </c>
      <c r="F127" s="13" t="inlineStr">
        <is>
          <t>lawyer</t>
        </is>
      </c>
      <c r="G127" s="13" t="inlineStr">
        <is>
          <t>mail@bhattmurphy.co.uk</t>
        </is>
      </c>
      <c r="H127" s="13" t="inlineStr">
        <is>
          <t>general</t>
        </is>
      </c>
      <c r="I127" s="13" t="inlineStr">
        <is>
          <t>+44 20 7729 1115</t>
        </is>
      </c>
      <c r="J127" s="14" t="inlineStr">
        <is>
          <t>https://bhattmurphy.co.uk/</t>
        </is>
      </c>
      <c r="K127" s="13" t="inlineStr">
        <is>
          <t>10 Tyssen St, London E8 2FE, UK</t>
        </is>
      </c>
      <c r="L127" s="13" t="inlineStr">
        <is>
          <t>E8 2FE</t>
        </is>
      </c>
      <c r="M127" s="13" t="inlineStr">
        <is>
          <t>Rosemary Gardens 3G - Islington</t>
        </is>
      </c>
      <c r="N127" s="13" t="n">
        <v>22</v>
      </c>
      <c r="O127" s="15">
        <f>IFERROR(INDEX(Venues!$C$2:$C$10,MATCH(M127,Venues!$A$2:$A$10,0)),"Not checked")</f>
        <v/>
      </c>
      <c r="P127" s="15">
        <f>IFERROR(INDEX(Venues!$D$2:$D$10,MATCH(M127,Venues!$A$2:$A$10,0)),0)</f>
        <v/>
      </c>
      <c r="Q127" s="42">
        <f>IFERROR(INDEX(Venues!$E$2:$E$10,MATCH(M127,Venues!$A$2:$A$10,0)),"")</f>
        <v/>
      </c>
      <c r="R127" s="15">
        <f>IF(P127&gt;0,"Yes","No")</f>
        <v/>
      </c>
      <c r="S127" s="13" t="inlineStr">
        <is>
          <t>COLA Shoreditch Park</t>
        </is>
      </c>
      <c r="T127" s="42">
        <f>IFERROR(INDEX(Venues!$E$2:$E$10,MATCH(S127,Venues!$A$2:$A$10,0)),"")</f>
        <v/>
      </c>
      <c r="U127" s="15">
        <f>IFERROR(INDEX(Venues!$F$2:$F$10,MATCH(S127,Venues!$A$2:$A$10,0)),"")</f>
        <v/>
      </c>
      <c r="V127" s="43">
        <f>IFERROR(INDEX(Venues!$H$2:$H$10,MATCH(S127,Venues!$A$2:$A$10,0)),"")</f>
        <v/>
      </c>
      <c r="W127" s="15">
        <f>IF('Pilot offer'!$C$24="Yes",'Pilot offer'!$C$3,S127)</f>
        <v/>
      </c>
      <c r="X127" s="42">
        <f>IF('Pilot offer'!$C$24="Yes",'Pilot offer'!$C$5+'Pilot offer'!$C$6,T127)</f>
        <v/>
      </c>
      <c r="Y127" s="15">
        <f>IF('Pilot offer'!$C$24="Yes",'Pilot offer'!$C$8,U127)</f>
        <v/>
      </c>
      <c r="Z127" s="43">
        <f>IF('Pilot offer'!$C$24="Yes",'Pilot offer'!$C$11,"")</f>
        <v/>
      </c>
      <c r="AA127" s="15">
        <f>IF(X127="","",W127&amp;" · "&amp;TEXT(X127,"ddd d mmm, hh:mm")&amp;" · "&amp;Y127&amp;IF(Z127&lt;&gt;""," · £"&amp;TEXT(Z127,"0.00")&amp;" per player"," · price TBC (cost £"&amp;TEXT(V127,"0.00")&amp;" pp)"))</f>
        <v/>
      </c>
      <c r="AD127" s="44" t="n"/>
    </row>
    <row r="128">
      <c r="A128" s="13" t="n">
        <v>126</v>
      </c>
      <c r="B128" s="13" t="inlineStr">
        <is>
          <t>1 · E8 London Fields</t>
        </is>
      </c>
      <c r="C128" s="13" t="inlineStr">
        <is>
          <t>Hospitality</t>
        </is>
      </c>
      <c r="D128" s="13" t="inlineStr">
        <is>
          <t>Local businesses</t>
        </is>
      </c>
      <c r="E128" s="13" t="inlineStr">
        <is>
          <t>Casa Fofò</t>
        </is>
      </c>
      <c r="F128" s="13" t="inlineStr">
        <is>
          <t>amenity: restaurant</t>
        </is>
      </c>
      <c r="G128" s="13" t="inlineStr">
        <is>
          <t>info@casafofolondon.co.uk</t>
        </is>
      </c>
      <c r="H128" s="13" t="inlineStr">
        <is>
          <t>general</t>
        </is>
      </c>
      <c r="I128" s="13" t="inlineStr">
        <is>
          <t>+44 20 3021 0747</t>
        </is>
      </c>
      <c r="J128" s="14" t="inlineStr">
        <is>
          <t>https://www.casafofolondon.co.uk/</t>
        </is>
      </c>
      <c r="K128" s="13" t="inlineStr">
        <is>
          <t>Sandringham Road 158, London</t>
        </is>
      </c>
      <c r="L128" s="13" t="inlineStr">
        <is>
          <t>E8 2HS</t>
        </is>
      </c>
      <c r="M128" s="13" t="inlineStr">
        <is>
          <t>Hackney</t>
        </is>
      </c>
      <c r="N128" s="13" t="n">
        <v>16</v>
      </c>
      <c r="O128" s="15">
        <f>IFERROR(INDEX(Venues!$C$2:$C$10,MATCH(M128,Venues!$A$2:$A$10,0)),"Not checked")</f>
        <v/>
      </c>
      <c r="P128" s="15">
        <f>IFERROR(INDEX(Venues!$D$2:$D$10,MATCH(M128,Venues!$A$2:$A$10,0)),0)</f>
        <v/>
      </c>
      <c r="Q128" s="42">
        <f>IFERROR(INDEX(Venues!$E$2:$E$10,MATCH(M128,Venues!$A$2:$A$10,0)),"")</f>
        <v/>
      </c>
      <c r="R128" s="15">
        <f>IF(P128&gt;0,"Yes","No")</f>
        <v/>
      </c>
      <c r="S128" s="13" t="inlineStr">
        <is>
          <t>Hackney</t>
        </is>
      </c>
      <c r="T128" s="42">
        <f>IFERROR(INDEX(Venues!$E$2:$E$10,MATCH(S128,Venues!$A$2:$A$10,0)),"")</f>
        <v/>
      </c>
      <c r="U128" s="15">
        <f>IFERROR(INDEX(Venues!$F$2:$F$10,MATCH(S128,Venues!$A$2:$A$10,0)),"")</f>
        <v/>
      </c>
      <c r="V128" s="43">
        <f>IFERROR(INDEX(Venues!$H$2:$H$10,MATCH(S128,Venues!$A$2:$A$10,0)),"")</f>
        <v/>
      </c>
      <c r="W128" s="15">
        <f>IF('Pilot offer'!$C$24="Yes",'Pilot offer'!$C$3,S128)</f>
        <v/>
      </c>
      <c r="X128" s="42">
        <f>IF('Pilot offer'!$C$24="Yes",'Pilot offer'!$C$5+'Pilot offer'!$C$6,T128)</f>
        <v/>
      </c>
      <c r="Y128" s="15">
        <f>IF('Pilot offer'!$C$24="Yes",'Pilot offer'!$C$8,U128)</f>
        <v/>
      </c>
      <c r="Z128" s="43">
        <f>IF('Pilot offer'!$C$24="Yes",'Pilot offer'!$C$11,"")</f>
        <v/>
      </c>
      <c r="AA128" s="15">
        <f>IF(X128="","",W128&amp;" · "&amp;TEXT(X128,"ddd d mmm, hh:mm")&amp;" · "&amp;Y128&amp;IF(Z128&lt;&gt;""," · £"&amp;TEXT(Z128,"0.00")&amp;" per player"," · price TBC (cost £"&amp;TEXT(V128,"0.00")&amp;" pp)"))</f>
        <v/>
      </c>
      <c r="AD128" s="44" t="n"/>
    </row>
    <row r="129">
      <c r="A129" s="13" t="n">
        <v>127</v>
      </c>
      <c r="B129" s="13" t="inlineStr">
        <is>
          <t>1 · E8 London Fields</t>
        </is>
      </c>
      <c r="C129" s="13" t="inlineStr">
        <is>
          <t>Office &amp; professional</t>
        </is>
      </c>
      <c r="D129" s="13" t="inlineStr">
        <is>
          <t>Corporate</t>
        </is>
      </c>
      <c r="E129" s="13" t="inlineStr">
        <is>
          <t>Swan MarketingLTD</t>
        </is>
      </c>
      <c r="F129" s="13" t="inlineStr">
        <is>
          <t>corporate_office</t>
        </is>
      </c>
      <c r="G129" s="13" t="inlineStr">
        <is>
          <t>charleigh@swan.marketing</t>
        </is>
      </c>
      <c r="H129" s="13" t="inlineStr">
        <is>
          <t>person_or_other</t>
        </is>
      </c>
      <c r="I129" s="13" t="inlineStr">
        <is>
          <t>+44 113 243 4308</t>
        </is>
      </c>
      <c r="J129" s="14" t="inlineStr">
        <is>
          <t>http://www.swan.marketing/</t>
        </is>
      </c>
      <c r="K129" s="13" t="inlineStr">
        <is>
          <t>69 Dalston Ln, London E8 2NG, UK</t>
        </is>
      </c>
      <c r="L129" s="13" t="inlineStr">
        <is>
          <t>E8 2NG</t>
        </is>
      </c>
      <c r="M129" s="13" t="inlineStr">
        <is>
          <t>Hackney</t>
        </is>
      </c>
      <c r="N129" s="13" t="n">
        <v>22</v>
      </c>
      <c r="O129" s="15">
        <f>IFERROR(INDEX(Venues!$C$2:$C$10,MATCH(M129,Venues!$A$2:$A$10,0)),"Not checked")</f>
        <v/>
      </c>
      <c r="P129" s="15">
        <f>IFERROR(INDEX(Venues!$D$2:$D$10,MATCH(M129,Venues!$A$2:$A$10,0)),0)</f>
        <v/>
      </c>
      <c r="Q129" s="42">
        <f>IFERROR(INDEX(Venues!$E$2:$E$10,MATCH(M129,Venues!$A$2:$A$10,0)),"")</f>
        <v/>
      </c>
      <c r="R129" s="15">
        <f>IF(P129&gt;0,"Yes","No")</f>
        <v/>
      </c>
      <c r="S129" s="13" t="inlineStr">
        <is>
          <t>Hackney</t>
        </is>
      </c>
      <c r="T129" s="42">
        <f>IFERROR(INDEX(Venues!$E$2:$E$10,MATCH(S129,Venues!$A$2:$A$10,0)),"")</f>
        <v/>
      </c>
      <c r="U129" s="15">
        <f>IFERROR(INDEX(Venues!$F$2:$F$10,MATCH(S129,Venues!$A$2:$A$10,0)),"")</f>
        <v/>
      </c>
      <c r="V129" s="43">
        <f>IFERROR(INDEX(Venues!$H$2:$H$10,MATCH(S129,Venues!$A$2:$A$10,0)),"")</f>
        <v/>
      </c>
      <c r="W129" s="15">
        <f>IF('Pilot offer'!$C$24="Yes",'Pilot offer'!$C$3,S129)</f>
        <v/>
      </c>
      <c r="X129" s="42">
        <f>IF('Pilot offer'!$C$24="Yes",'Pilot offer'!$C$5+'Pilot offer'!$C$6,T129)</f>
        <v/>
      </c>
      <c r="Y129" s="15">
        <f>IF('Pilot offer'!$C$24="Yes",'Pilot offer'!$C$8,U129)</f>
        <v/>
      </c>
      <c r="Z129" s="43">
        <f>IF('Pilot offer'!$C$24="Yes",'Pilot offer'!$C$11,"")</f>
        <v/>
      </c>
      <c r="AA129" s="15">
        <f>IF(X129="","",W129&amp;" · "&amp;TEXT(X129,"ddd d mmm, hh:mm")&amp;" · "&amp;Y129&amp;IF(Z129&lt;&gt;""," · £"&amp;TEXT(Z129,"0.00")&amp;" per player"," · price TBC (cost £"&amp;TEXT(V129,"0.00")&amp;" pp)"))</f>
        <v/>
      </c>
      <c r="AD129" s="44" t="n"/>
    </row>
    <row r="130">
      <c r="A130" s="13" t="n">
        <v>128</v>
      </c>
      <c r="B130" s="13" t="inlineStr">
        <is>
          <t>1 · E8 London Fields</t>
        </is>
      </c>
      <c r="C130" s="13" t="inlineStr">
        <is>
          <t>Office &amp; professional</t>
        </is>
      </c>
      <c r="D130" s="13" t="inlineStr">
        <is>
          <t>Corporate</t>
        </is>
      </c>
      <c r="E130" s="13" t="inlineStr">
        <is>
          <t>Progress Accountancy &amp; Advice Ltd</t>
        </is>
      </c>
      <c r="F130" s="13" t="inlineStr">
        <is>
          <t>finance</t>
        </is>
      </c>
      <c r="G130" s="13" t="inlineStr">
        <is>
          <t>office@progresstax.co.uk</t>
        </is>
      </c>
      <c r="H130" s="13" t="inlineStr">
        <is>
          <t>general</t>
        </is>
      </c>
      <c r="I130" s="13" t="inlineStr">
        <is>
          <t>+44 7927 707500</t>
        </is>
      </c>
      <c r="J130" s="14" t="inlineStr">
        <is>
          <t>http://www.progresstax.co.uk/</t>
        </is>
      </c>
      <c r="K130" s="13" t="inlineStr">
        <is>
          <t>1st floor, 83 Kingsland High St, London E8 2PB, UK</t>
        </is>
      </c>
      <c r="L130" s="13" t="inlineStr">
        <is>
          <t>E8 2PB</t>
        </is>
      </c>
      <c r="M130" s="13" t="inlineStr">
        <is>
          <t>Rosemary Gardens 3G - Islington</t>
        </is>
      </c>
      <c r="N130" s="13" t="n">
        <v>22</v>
      </c>
      <c r="O130" s="15">
        <f>IFERROR(INDEX(Venues!$C$2:$C$10,MATCH(M130,Venues!$A$2:$A$10,0)),"Not checked")</f>
        <v/>
      </c>
      <c r="P130" s="15">
        <f>IFERROR(INDEX(Venues!$D$2:$D$10,MATCH(M130,Venues!$A$2:$A$10,0)),0)</f>
        <v/>
      </c>
      <c r="Q130" s="42">
        <f>IFERROR(INDEX(Venues!$E$2:$E$10,MATCH(M130,Venues!$A$2:$A$10,0)),"")</f>
        <v/>
      </c>
      <c r="R130" s="15">
        <f>IF(P130&gt;0,"Yes","No")</f>
        <v/>
      </c>
      <c r="S130" s="13" t="inlineStr">
        <is>
          <t>COLA Shoreditch Park</t>
        </is>
      </c>
      <c r="T130" s="42">
        <f>IFERROR(INDEX(Venues!$E$2:$E$10,MATCH(S130,Venues!$A$2:$A$10,0)),"")</f>
        <v/>
      </c>
      <c r="U130" s="15">
        <f>IFERROR(INDEX(Venues!$F$2:$F$10,MATCH(S130,Venues!$A$2:$A$10,0)),"")</f>
        <v/>
      </c>
      <c r="V130" s="43">
        <f>IFERROR(INDEX(Venues!$H$2:$H$10,MATCH(S130,Venues!$A$2:$A$10,0)),"")</f>
        <v/>
      </c>
      <c r="W130" s="15">
        <f>IF('Pilot offer'!$C$24="Yes",'Pilot offer'!$C$3,S130)</f>
        <v/>
      </c>
      <c r="X130" s="42">
        <f>IF('Pilot offer'!$C$24="Yes",'Pilot offer'!$C$5+'Pilot offer'!$C$6,T130)</f>
        <v/>
      </c>
      <c r="Y130" s="15">
        <f>IF('Pilot offer'!$C$24="Yes",'Pilot offer'!$C$8,U130)</f>
        <v/>
      </c>
      <c r="Z130" s="43">
        <f>IF('Pilot offer'!$C$24="Yes",'Pilot offer'!$C$11,"")</f>
        <v/>
      </c>
      <c r="AA130" s="15">
        <f>IF(X130="","",W130&amp;" · "&amp;TEXT(X130,"ddd d mmm, hh:mm")&amp;" · "&amp;Y130&amp;IF(Z130&lt;&gt;""," · £"&amp;TEXT(Z130,"0.00")&amp;" per player"," · price TBC (cost £"&amp;TEXT(V130,"0.00")&amp;" pp)"))</f>
        <v/>
      </c>
      <c r="AD130" s="44" t="n"/>
    </row>
    <row r="131">
      <c r="A131" s="13" t="n">
        <v>129</v>
      </c>
      <c r="B131" s="13" t="inlineStr">
        <is>
          <t>1 · E8 London Fields</t>
        </is>
      </c>
      <c r="C131" s="13" t="inlineStr">
        <is>
          <t>Office &amp; professional</t>
        </is>
      </c>
      <c r="D131" s="13" t="inlineStr">
        <is>
          <t>Corporate</t>
        </is>
      </c>
      <c r="E131" s="13" t="inlineStr">
        <is>
          <t>Hackney CVS</t>
        </is>
      </c>
      <c r="F131" s="13" t="inlineStr">
        <is>
          <t>charity</t>
        </is>
      </c>
      <c r="G131" s="13" t="inlineStr">
        <is>
          <t>reception@hcvs.org.uk</t>
        </is>
      </c>
      <c r="H131" s="13" t="inlineStr">
        <is>
          <t>general</t>
        </is>
      </c>
      <c r="I131" s="13" t="inlineStr">
        <is>
          <t>+44 20 7923 1962</t>
        </is>
      </c>
      <c r="J131" s="14" t="inlineStr">
        <is>
          <t>https://hcvs.org.uk/</t>
        </is>
      </c>
      <c r="K131" s="13" t="inlineStr">
        <is>
          <t>24-30 Dalston Lane, London</t>
        </is>
      </c>
      <c r="L131" s="13" t="inlineStr">
        <is>
          <t>E8 3AZ</t>
        </is>
      </c>
      <c r="M131" s="13" t="inlineStr">
        <is>
          <t>Rosemary Gardens 3G - Islington</t>
        </is>
      </c>
      <c r="N131" s="13" t="n">
        <v>20</v>
      </c>
      <c r="O131" s="15">
        <f>IFERROR(INDEX(Venues!$C$2:$C$10,MATCH(M131,Venues!$A$2:$A$10,0)),"Not checked")</f>
        <v/>
      </c>
      <c r="P131" s="15">
        <f>IFERROR(INDEX(Venues!$D$2:$D$10,MATCH(M131,Venues!$A$2:$A$10,0)),0)</f>
        <v/>
      </c>
      <c r="Q131" s="42">
        <f>IFERROR(INDEX(Venues!$E$2:$E$10,MATCH(M131,Venues!$A$2:$A$10,0)),"")</f>
        <v/>
      </c>
      <c r="R131" s="15">
        <f>IF(P131&gt;0,"Yes","No")</f>
        <v/>
      </c>
      <c r="S131" s="13" t="inlineStr">
        <is>
          <t>COLA Shoreditch Park</t>
        </is>
      </c>
      <c r="T131" s="42">
        <f>IFERROR(INDEX(Venues!$E$2:$E$10,MATCH(S131,Venues!$A$2:$A$10,0)),"")</f>
        <v/>
      </c>
      <c r="U131" s="15">
        <f>IFERROR(INDEX(Venues!$F$2:$F$10,MATCH(S131,Venues!$A$2:$A$10,0)),"")</f>
        <v/>
      </c>
      <c r="V131" s="43">
        <f>IFERROR(INDEX(Venues!$H$2:$H$10,MATCH(S131,Venues!$A$2:$A$10,0)),"")</f>
        <v/>
      </c>
      <c r="W131" s="15">
        <f>IF('Pilot offer'!$C$24="Yes",'Pilot offer'!$C$3,S131)</f>
        <v/>
      </c>
      <c r="X131" s="42">
        <f>IF('Pilot offer'!$C$24="Yes",'Pilot offer'!$C$5+'Pilot offer'!$C$6,T131)</f>
        <v/>
      </c>
      <c r="Y131" s="15">
        <f>IF('Pilot offer'!$C$24="Yes",'Pilot offer'!$C$8,U131)</f>
        <v/>
      </c>
      <c r="Z131" s="43">
        <f>IF('Pilot offer'!$C$24="Yes",'Pilot offer'!$C$11,"")</f>
        <v/>
      </c>
      <c r="AA131" s="15">
        <f>IF(X131="","",W131&amp;" · "&amp;TEXT(X131,"ddd d mmm, hh:mm")&amp;" · "&amp;Y131&amp;IF(Z131&lt;&gt;""," · £"&amp;TEXT(Z131,"0.00")&amp;" per player"," · price TBC (cost £"&amp;TEXT(V131,"0.00")&amp;" pp)"))</f>
        <v/>
      </c>
      <c r="AD131" s="44" t="n"/>
    </row>
    <row r="132">
      <c r="A132" s="13" t="n">
        <v>130</v>
      </c>
      <c r="B132" s="13" t="inlineStr">
        <is>
          <t>1 · E8 London Fields</t>
        </is>
      </c>
      <c r="C132" s="13" t="inlineStr">
        <is>
          <t>Hospitality</t>
        </is>
      </c>
      <c r="D132" s="13" t="inlineStr">
        <is>
          <t>Local businesses</t>
        </is>
      </c>
      <c r="E132" s="13" t="inlineStr">
        <is>
          <t>The Prince Arthur</t>
        </is>
      </c>
      <c r="F132" s="13" t="inlineStr">
        <is>
          <t>amenity: pub</t>
        </is>
      </c>
      <c r="G132" s="13" t="inlineStr">
        <is>
          <t>theprincearthure8@tinydancergroup.co.uk</t>
        </is>
      </c>
      <c r="H132" s="13" t="inlineStr">
        <is>
          <t>openstreetmap_tag</t>
        </is>
      </c>
      <c r="I132" s="13" t="inlineStr">
        <is>
          <t>+44 20 7249 1119</t>
        </is>
      </c>
      <c r="J132" s="14" t="inlineStr">
        <is>
          <t>https://www.theprincearthure8.com/</t>
        </is>
      </c>
      <c r="K132" s="13" t="inlineStr">
        <is>
          <t>Forest Road 95, London</t>
        </is>
      </c>
      <c r="L132" s="13" t="inlineStr">
        <is>
          <t>E8 3BH</t>
        </is>
      </c>
      <c r="M132" s="13" t="inlineStr">
        <is>
          <t>Hackney</t>
        </is>
      </c>
      <c r="N132" s="13" t="n">
        <v>19</v>
      </c>
      <c r="O132" s="15">
        <f>IFERROR(INDEX(Venues!$C$2:$C$10,MATCH(M132,Venues!$A$2:$A$10,0)),"Not checked")</f>
        <v/>
      </c>
      <c r="P132" s="15">
        <f>IFERROR(INDEX(Venues!$D$2:$D$10,MATCH(M132,Venues!$A$2:$A$10,0)),0)</f>
        <v/>
      </c>
      <c r="Q132" s="42">
        <f>IFERROR(INDEX(Venues!$E$2:$E$10,MATCH(M132,Venues!$A$2:$A$10,0)),"")</f>
        <v/>
      </c>
      <c r="R132" s="15">
        <f>IF(P132&gt;0,"Yes","No")</f>
        <v/>
      </c>
      <c r="S132" s="13" t="inlineStr">
        <is>
          <t>Hackney</t>
        </is>
      </c>
      <c r="T132" s="42">
        <f>IFERROR(INDEX(Venues!$E$2:$E$10,MATCH(S132,Venues!$A$2:$A$10,0)),"")</f>
        <v/>
      </c>
      <c r="U132" s="15">
        <f>IFERROR(INDEX(Venues!$F$2:$F$10,MATCH(S132,Venues!$A$2:$A$10,0)),"")</f>
        <v/>
      </c>
      <c r="V132" s="43">
        <f>IFERROR(INDEX(Venues!$H$2:$H$10,MATCH(S132,Venues!$A$2:$A$10,0)),"")</f>
        <v/>
      </c>
      <c r="W132" s="15">
        <f>IF('Pilot offer'!$C$24="Yes",'Pilot offer'!$C$3,S132)</f>
        <v/>
      </c>
      <c r="X132" s="42">
        <f>IF('Pilot offer'!$C$24="Yes",'Pilot offer'!$C$5+'Pilot offer'!$C$6,T132)</f>
        <v/>
      </c>
      <c r="Y132" s="15">
        <f>IF('Pilot offer'!$C$24="Yes",'Pilot offer'!$C$8,U132)</f>
        <v/>
      </c>
      <c r="Z132" s="43">
        <f>IF('Pilot offer'!$C$24="Yes",'Pilot offer'!$C$11,"")</f>
        <v/>
      </c>
      <c r="AA132" s="15">
        <f>IF(X132="","",W132&amp;" · "&amp;TEXT(X132,"ddd d mmm, hh:mm")&amp;" · "&amp;Y132&amp;IF(Z132&lt;&gt;""," · £"&amp;TEXT(Z132,"0.00")&amp;" per player"," · price TBC (cost £"&amp;TEXT(V132,"0.00")&amp;" pp)"))</f>
        <v/>
      </c>
      <c r="AD132" s="44" t="n"/>
    </row>
    <row r="133">
      <c r="A133" s="13" t="n">
        <v>131</v>
      </c>
      <c r="B133" s="13" t="inlineStr">
        <is>
          <t>1 · E8 London Fields</t>
        </is>
      </c>
      <c r="C133" s="13" t="inlineStr">
        <is>
          <t>Hospitality</t>
        </is>
      </c>
      <c r="D133" s="13" t="inlineStr">
        <is>
          <t>Local businesses</t>
        </is>
      </c>
      <c r="E133" s="13" t="inlineStr">
        <is>
          <t>Café Route</t>
        </is>
      </c>
      <c r="F133" s="13" t="inlineStr">
        <is>
          <t>amenity: restaurant</t>
        </is>
      </c>
      <c r="G133" s="13" t="inlineStr">
        <is>
          <t>contact@caferoute.co.uk</t>
        </is>
      </c>
      <c r="H133" s="13" t="inlineStr">
        <is>
          <t>openstreetmap_tag</t>
        </is>
      </c>
      <c r="I133" s="13" t="inlineStr">
        <is>
          <t>+44 20 7249 6202</t>
        </is>
      </c>
      <c r="J133" s="14" t="inlineStr">
        <is>
          <t>http://www.caferoute.co.uk/</t>
        </is>
      </c>
      <c r="K133" s="13" t="inlineStr">
        <is>
          <t>Dalston Square, London</t>
        </is>
      </c>
      <c r="L133" s="13" t="inlineStr">
        <is>
          <t>E8 3BQ</t>
        </is>
      </c>
      <c r="M133" s="13" t="inlineStr">
        <is>
          <t>Rosemary Gardens 3G - Islington</t>
        </is>
      </c>
      <c r="N133" s="13" t="n">
        <v>19</v>
      </c>
      <c r="O133" s="15">
        <f>IFERROR(INDEX(Venues!$C$2:$C$10,MATCH(M133,Venues!$A$2:$A$10,0)),"Not checked")</f>
        <v/>
      </c>
      <c r="P133" s="15">
        <f>IFERROR(INDEX(Venues!$D$2:$D$10,MATCH(M133,Venues!$A$2:$A$10,0)),0)</f>
        <v/>
      </c>
      <c r="Q133" s="42">
        <f>IFERROR(INDEX(Venues!$E$2:$E$10,MATCH(M133,Venues!$A$2:$A$10,0)),"")</f>
        <v/>
      </c>
      <c r="R133" s="15">
        <f>IF(P133&gt;0,"Yes","No")</f>
        <v/>
      </c>
      <c r="S133" s="13" t="inlineStr">
        <is>
          <t>COLA Shoreditch Park</t>
        </is>
      </c>
      <c r="T133" s="42">
        <f>IFERROR(INDEX(Venues!$E$2:$E$10,MATCH(S133,Venues!$A$2:$A$10,0)),"")</f>
        <v/>
      </c>
      <c r="U133" s="15">
        <f>IFERROR(INDEX(Venues!$F$2:$F$10,MATCH(S133,Venues!$A$2:$A$10,0)),"")</f>
        <v/>
      </c>
      <c r="V133" s="43">
        <f>IFERROR(INDEX(Venues!$H$2:$H$10,MATCH(S133,Venues!$A$2:$A$10,0)),"")</f>
        <v/>
      </c>
      <c r="W133" s="15">
        <f>IF('Pilot offer'!$C$24="Yes",'Pilot offer'!$C$3,S133)</f>
        <v/>
      </c>
      <c r="X133" s="42">
        <f>IF('Pilot offer'!$C$24="Yes",'Pilot offer'!$C$5+'Pilot offer'!$C$6,T133)</f>
        <v/>
      </c>
      <c r="Y133" s="15">
        <f>IF('Pilot offer'!$C$24="Yes",'Pilot offer'!$C$8,U133)</f>
        <v/>
      </c>
      <c r="Z133" s="43">
        <f>IF('Pilot offer'!$C$24="Yes",'Pilot offer'!$C$11,"")</f>
        <v/>
      </c>
      <c r="AA133" s="15">
        <f>IF(X133="","",W133&amp;" · "&amp;TEXT(X133,"ddd d mmm, hh:mm")&amp;" · "&amp;Y133&amp;IF(Z133&lt;&gt;""," · £"&amp;TEXT(Z133,"0.00")&amp;" per player"," · price TBC (cost £"&amp;TEXT(V133,"0.00")&amp;" pp)"))</f>
        <v/>
      </c>
      <c r="AD133" s="44" t="n"/>
    </row>
    <row r="134">
      <c r="A134" s="13" t="n">
        <v>132</v>
      </c>
      <c r="B134" s="13" t="inlineStr">
        <is>
          <t>1 · E8 London Fields</t>
        </is>
      </c>
      <c r="C134" s="13" t="inlineStr">
        <is>
          <t>Retail</t>
        </is>
      </c>
      <c r="D134" s="13" t="inlineStr">
        <is>
          <t>Local businesses</t>
        </is>
      </c>
      <c r="E134" s="13" t="inlineStr">
        <is>
          <t>Newcomer Wines Dalston</t>
        </is>
      </c>
      <c r="F134" s="13" t="inlineStr">
        <is>
          <t>shop: wine</t>
        </is>
      </c>
      <c r="G134" s="13" t="inlineStr">
        <is>
          <t>orders@newcomerwines.com</t>
        </is>
      </c>
      <c r="H134" s="13" t="inlineStr">
        <is>
          <t>commercial</t>
        </is>
      </c>
      <c r="I134" s="13" t="inlineStr">
        <is>
          <t>+44 20 7249 2177</t>
        </is>
      </c>
      <c r="J134" s="14" t="inlineStr">
        <is>
          <t>https://www.newcomerwines.com</t>
        </is>
      </c>
      <c r="K134" s="13" t="inlineStr">
        <is>
          <t>Dalston Lane 5, London</t>
        </is>
      </c>
      <c r="L134" s="13" t="inlineStr">
        <is>
          <t>E8 3DF</t>
        </is>
      </c>
      <c r="M134" s="13" t="inlineStr">
        <is>
          <t>Rosemary Gardens 3G - Islington</t>
        </is>
      </c>
      <c r="N134" s="13" t="n">
        <v>19</v>
      </c>
      <c r="O134" s="15">
        <f>IFERROR(INDEX(Venues!$C$2:$C$10,MATCH(M134,Venues!$A$2:$A$10,0)),"Not checked")</f>
        <v/>
      </c>
      <c r="P134" s="15">
        <f>IFERROR(INDEX(Venues!$D$2:$D$10,MATCH(M134,Venues!$A$2:$A$10,0)),0)</f>
        <v/>
      </c>
      <c r="Q134" s="42">
        <f>IFERROR(INDEX(Venues!$E$2:$E$10,MATCH(M134,Venues!$A$2:$A$10,0)),"")</f>
        <v/>
      </c>
      <c r="R134" s="15">
        <f>IF(P134&gt;0,"Yes","No")</f>
        <v/>
      </c>
      <c r="S134" s="13" t="inlineStr">
        <is>
          <t>COLA Shoreditch Park</t>
        </is>
      </c>
      <c r="T134" s="42">
        <f>IFERROR(INDEX(Venues!$E$2:$E$10,MATCH(S134,Venues!$A$2:$A$10,0)),"")</f>
        <v/>
      </c>
      <c r="U134" s="15">
        <f>IFERROR(INDEX(Venues!$F$2:$F$10,MATCH(S134,Venues!$A$2:$A$10,0)),"")</f>
        <v/>
      </c>
      <c r="V134" s="43">
        <f>IFERROR(INDEX(Venues!$H$2:$H$10,MATCH(S134,Venues!$A$2:$A$10,0)),"")</f>
        <v/>
      </c>
      <c r="W134" s="15">
        <f>IF('Pilot offer'!$C$24="Yes",'Pilot offer'!$C$3,S134)</f>
        <v/>
      </c>
      <c r="X134" s="42">
        <f>IF('Pilot offer'!$C$24="Yes",'Pilot offer'!$C$5+'Pilot offer'!$C$6,T134)</f>
        <v/>
      </c>
      <c r="Y134" s="15">
        <f>IF('Pilot offer'!$C$24="Yes",'Pilot offer'!$C$8,U134)</f>
        <v/>
      </c>
      <c r="Z134" s="43">
        <f>IF('Pilot offer'!$C$24="Yes",'Pilot offer'!$C$11,"")</f>
        <v/>
      </c>
      <c r="AA134" s="15">
        <f>IF(X134="","",W134&amp;" · "&amp;TEXT(X134,"ddd d mmm, hh:mm")&amp;" · "&amp;Y134&amp;IF(Z134&lt;&gt;""," · £"&amp;TEXT(Z134,"0.00")&amp;" per player"," · price TBC (cost £"&amp;TEXT(V134,"0.00")&amp;" pp)"))</f>
        <v/>
      </c>
      <c r="AD134" s="44" t="n"/>
    </row>
    <row r="135">
      <c r="A135" s="13" t="n">
        <v>133</v>
      </c>
      <c r="B135" s="13" t="inlineStr">
        <is>
          <t>1 · E8 London Fields</t>
        </is>
      </c>
      <c r="C135" s="13" t="inlineStr">
        <is>
          <t>Leisure &amp; culture</t>
        </is>
      </c>
      <c r="D135" s="13" t="inlineStr">
        <is>
          <t>Local businesses</t>
        </is>
      </c>
      <c r="E135" s="13" t="inlineStr">
        <is>
          <t>Arcola Theatre</t>
        </is>
      </c>
      <c r="F135" s="13" t="inlineStr">
        <is>
          <t>amenity: theatre</t>
        </is>
      </c>
      <c r="G135" s="13" t="inlineStr">
        <is>
          <t>press@arcolatheatre.com</t>
        </is>
      </c>
      <c r="H135" s="13" t="inlineStr">
        <is>
          <t>people_team</t>
        </is>
      </c>
      <c r="I135" s="13" t="inlineStr">
        <is>
          <t>+44 20 7503 1646</t>
        </is>
      </c>
      <c r="J135" s="14" t="inlineStr">
        <is>
          <t>https://www.arcolatheatre.com/</t>
        </is>
      </c>
      <c r="K135" s="13" t="inlineStr">
        <is>
          <t>Ashwin Street 24, London</t>
        </is>
      </c>
      <c r="L135" s="13" t="inlineStr">
        <is>
          <t>E8 3DL</t>
        </is>
      </c>
      <c r="M135" s="13" t="inlineStr">
        <is>
          <t>Rosemary Gardens 3G - Islington</t>
        </is>
      </c>
      <c r="N135" s="13" t="n">
        <v>20</v>
      </c>
      <c r="O135" s="15">
        <f>IFERROR(INDEX(Venues!$C$2:$C$10,MATCH(M135,Venues!$A$2:$A$10,0)),"Not checked")</f>
        <v/>
      </c>
      <c r="P135" s="15">
        <f>IFERROR(INDEX(Venues!$D$2:$D$10,MATCH(M135,Venues!$A$2:$A$10,0)),0)</f>
        <v/>
      </c>
      <c r="Q135" s="42">
        <f>IFERROR(INDEX(Venues!$E$2:$E$10,MATCH(M135,Venues!$A$2:$A$10,0)),"")</f>
        <v/>
      </c>
      <c r="R135" s="15">
        <f>IF(P135&gt;0,"Yes","No")</f>
        <v/>
      </c>
      <c r="S135" s="13" t="inlineStr">
        <is>
          <t>COLA Shoreditch Park</t>
        </is>
      </c>
      <c r="T135" s="42">
        <f>IFERROR(INDEX(Venues!$E$2:$E$10,MATCH(S135,Venues!$A$2:$A$10,0)),"")</f>
        <v/>
      </c>
      <c r="U135" s="15">
        <f>IFERROR(INDEX(Venues!$F$2:$F$10,MATCH(S135,Venues!$A$2:$A$10,0)),"")</f>
        <v/>
      </c>
      <c r="V135" s="43">
        <f>IFERROR(INDEX(Venues!$H$2:$H$10,MATCH(S135,Venues!$A$2:$A$10,0)),"")</f>
        <v/>
      </c>
      <c r="W135" s="15">
        <f>IF('Pilot offer'!$C$24="Yes",'Pilot offer'!$C$3,S135)</f>
        <v/>
      </c>
      <c r="X135" s="42">
        <f>IF('Pilot offer'!$C$24="Yes",'Pilot offer'!$C$5+'Pilot offer'!$C$6,T135)</f>
        <v/>
      </c>
      <c r="Y135" s="15">
        <f>IF('Pilot offer'!$C$24="Yes",'Pilot offer'!$C$8,U135)</f>
        <v/>
      </c>
      <c r="Z135" s="43">
        <f>IF('Pilot offer'!$C$24="Yes",'Pilot offer'!$C$11,"")</f>
        <v/>
      </c>
      <c r="AA135" s="15">
        <f>IF(X135="","",W135&amp;" · "&amp;TEXT(X135,"ddd d mmm, hh:mm")&amp;" · "&amp;Y135&amp;IF(Z135&lt;&gt;""," · £"&amp;TEXT(Z135,"0.00")&amp;" per player"," · price TBC (cost £"&amp;TEXT(V135,"0.00")&amp;" pp)"))</f>
        <v/>
      </c>
      <c r="AD135" s="44" t="n"/>
    </row>
    <row r="136">
      <c r="A136" s="13" t="n">
        <v>134</v>
      </c>
      <c r="B136" s="13" t="inlineStr">
        <is>
          <t>1 · E8 London Fields</t>
        </is>
      </c>
      <c r="C136" s="13" t="inlineStr">
        <is>
          <t>Office &amp; professional</t>
        </is>
      </c>
      <c r="D136" s="13" t="inlineStr">
        <is>
          <t>Local businesses</t>
        </is>
      </c>
      <c r="E136" s="13" t="inlineStr">
        <is>
          <t>Fair Finance</t>
        </is>
      </c>
      <c r="F136" s="13" t="inlineStr">
        <is>
          <t>amenity: bank</t>
        </is>
      </c>
      <c r="G136" s="13" t="inlineStr">
        <is>
          <t>enquiries@fairfinance.org.uk</t>
        </is>
      </c>
      <c r="H136" s="13" t="inlineStr">
        <is>
          <t>general</t>
        </is>
      </c>
      <c r="I136" s="13" t="inlineStr">
        <is>
          <t>+44 20 8988 0627</t>
        </is>
      </c>
      <c r="J136" s="14" t="inlineStr">
        <is>
          <t>http://www.fairfinance.org.uk/</t>
        </is>
      </c>
      <c r="K136" s="13" t="inlineStr">
        <is>
          <t>Ashwin Street 18, London</t>
        </is>
      </c>
      <c r="L136" s="13" t="inlineStr">
        <is>
          <t>E8 3DL</t>
        </is>
      </c>
      <c r="M136" s="13" t="inlineStr">
        <is>
          <t>Rosemary Gardens 3G - Islington</t>
        </is>
      </c>
      <c r="N136" s="13" t="n">
        <v>20</v>
      </c>
      <c r="O136" s="15">
        <f>IFERROR(INDEX(Venues!$C$2:$C$10,MATCH(M136,Venues!$A$2:$A$10,0)),"Not checked")</f>
        <v/>
      </c>
      <c r="P136" s="15">
        <f>IFERROR(INDEX(Venues!$D$2:$D$10,MATCH(M136,Venues!$A$2:$A$10,0)),0)</f>
        <v/>
      </c>
      <c r="Q136" s="42">
        <f>IFERROR(INDEX(Venues!$E$2:$E$10,MATCH(M136,Venues!$A$2:$A$10,0)),"")</f>
        <v/>
      </c>
      <c r="R136" s="15">
        <f>IF(P136&gt;0,"Yes","No")</f>
        <v/>
      </c>
      <c r="S136" s="13" t="inlineStr">
        <is>
          <t>COLA Shoreditch Park</t>
        </is>
      </c>
      <c r="T136" s="42">
        <f>IFERROR(INDEX(Venues!$E$2:$E$10,MATCH(S136,Venues!$A$2:$A$10,0)),"")</f>
        <v/>
      </c>
      <c r="U136" s="15">
        <f>IFERROR(INDEX(Venues!$F$2:$F$10,MATCH(S136,Venues!$A$2:$A$10,0)),"")</f>
        <v/>
      </c>
      <c r="V136" s="43">
        <f>IFERROR(INDEX(Venues!$H$2:$H$10,MATCH(S136,Venues!$A$2:$A$10,0)),"")</f>
        <v/>
      </c>
      <c r="W136" s="15">
        <f>IF('Pilot offer'!$C$24="Yes",'Pilot offer'!$C$3,S136)</f>
        <v/>
      </c>
      <c r="X136" s="42">
        <f>IF('Pilot offer'!$C$24="Yes",'Pilot offer'!$C$5+'Pilot offer'!$C$6,T136)</f>
        <v/>
      </c>
      <c r="Y136" s="15">
        <f>IF('Pilot offer'!$C$24="Yes",'Pilot offer'!$C$8,U136)</f>
        <v/>
      </c>
      <c r="Z136" s="43">
        <f>IF('Pilot offer'!$C$24="Yes",'Pilot offer'!$C$11,"")</f>
        <v/>
      </c>
      <c r="AA136" s="15">
        <f>IF(X136="","",W136&amp;" · "&amp;TEXT(X136,"ddd d mmm, hh:mm")&amp;" · "&amp;Y136&amp;IF(Z136&lt;&gt;""," · £"&amp;TEXT(Z136,"0.00")&amp;" per player"," · price TBC (cost £"&amp;TEXT(V136,"0.00")&amp;" pp)"))</f>
        <v/>
      </c>
      <c r="AD136" s="44" t="n"/>
    </row>
    <row r="137">
      <c r="A137" s="13" t="n">
        <v>135</v>
      </c>
      <c r="B137" s="13" t="inlineStr">
        <is>
          <t>1 · E8 London Fields</t>
        </is>
      </c>
      <c r="C137" s="13" t="inlineStr">
        <is>
          <t>Leisure &amp; culture</t>
        </is>
      </c>
      <c r="D137" s="13" t="inlineStr">
        <is>
          <t>Local businesses</t>
        </is>
      </c>
      <c r="E137" s="13" t="inlineStr">
        <is>
          <t>V22 Studios</t>
        </is>
      </c>
      <c r="F137" s="13" t="inlineStr">
        <is>
          <t>amenity: arts centre</t>
        </is>
      </c>
      <c r="G137" s="13" t="inlineStr">
        <is>
          <t>studioenquiries@v22collecttion.com</t>
        </is>
      </c>
      <c r="H137" s="13" t="inlineStr">
        <is>
          <t>openstreetmap_tag</t>
        </is>
      </c>
      <c r="I137" s="13" t="n"/>
      <c r="J137" s="14" t="inlineStr">
        <is>
          <t>http://www.v22collection.com/v22-dalston/</t>
        </is>
      </c>
      <c r="K137" s="13" t="inlineStr">
        <is>
          <t>Ashwin Street 10-16, London</t>
        </is>
      </c>
      <c r="L137" s="13" t="inlineStr">
        <is>
          <t>E8 3DL</t>
        </is>
      </c>
      <c r="M137" s="13" t="inlineStr">
        <is>
          <t>Rosemary Gardens 3G - Islington</t>
        </is>
      </c>
      <c r="N137" s="13" t="n">
        <v>20</v>
      </c>
      <c r="O137" s="15">
        <f>IFERROR(INDEX(Venues!$C$2:$C$10,MATCH(M137,Venues!$A$2:$A$10,0)),"Not checked")</f>
        <v/>
      </c>
      <c r="P137" s="15">
        <f>IFERROR(INDEX(Venues!$D$2:$D$10,MATCH(M137,Venues!$A$2:$A$10,0)),0)</f>
        <v/>
      </c>
      <c r="Q137" s="42">
        <f>IFERROR(INDEX(Venues!$E$2:$E$10,MATCH(M137,Venues!$A$2:$A$10,0)),"")</f>
        <v/>
      </c>
      <c r="R137" s="15">
        <f>IF(P137&gt;0,"Yes","No")</f>
        <v/>
      </c>
      <c r="S137" s="13" t="inlineStr">
        <is>
          <t>COLA Shoreditch Park</t>
        </is>
      </c>
      <c r="T137" s="42">
        <f>IFERROR(INDEX(Venues!$E$2:$E$10,MATCH(S137,Venues!$A$2:$A$10,0)),"")</f>
        <v/>
      </c>
      <c r="U137" s="15">
        <f>IFERROR(INDEX(Venues!$F$2:$F$10,MATCH(S137,Venues!$A$2:$A$10,0)),"")</f>
        <v/>
      </c>
      <c r="V137" s="43">
        <f>IFERROR(INDEX(Venues!$H$2:$H$10,MATCH(S137,Venues!$A$2:$A$10,0)),"")</f>
        <v/>
      </c>
      <c r="W137" s="15">
        <f>IF('Pilot offer'!$C$24="Yes",'Pilot offer'!$C$3,S137)</f>
        <v/>
      </c>
      <c r="X137" s="42">
        <f>IF('Pilot offer'!$C$24="Yes",'Pilot offer'!$C$5+'Pilot offer'!$C$6,T137)</f>
        <v/>
      </c>
      <c r="Y137" s="15">
        <f>IF('Pilot offer'!$C$24="Yes",'Pilot offer'!$C$8,U137)</f>
        <v/>
      </c>
      <c r="Z137" s="43">
        <f>IF('Pilot offer'!$C$24="Yes",'Pilot offer'!$C$11,"")</f>
        <v/>
      </c>
      <c r="AA137" s="15">
        <f>IF(X137="","",W137&amp;" · "&amp;TEXT(X137,"ddd d mmm, hh:mm")&amp;" · "&amp;Y137&amp;IF(Z137&lt;&gt;""," · £"&amp;TEXT(Z137,"0.00")&amp;" per player"," · price TBC (cost £"&amp;TEXT(V137,"0.00")&amp;" pp)"))</f>
        <v/>
      </c>
      <c r="AD137" s="44" t="n"/>
    </row>
    <row r="138">
      <c r="A138" s="13" t="n">
        <v>136</v>
      </c>
      <c r="B138" s="13" t="inlineStr">
        <is>
          <t>1 · E8 London Fields</t>
        </is>
      </c>
      <c r="C138" s="13" t="inlineStr">
        <is>
          <t>Education</t>
        </is>
      </c>
      <c r="D138" s="13" t="inlineStr">
        <is>
          <t>Local businesses</t>
        </is>
      </c>
      <c r="E138" s="13" t="inlineStr">
        <is>
          <t>Gayhurst Community School</t>
        </is>
      </c>
      <c r="F138" s="13" t="inlineStr">
        <is>
          <t>amenity: school</t>
        </is>
      </c>
      <c r="G138" s="13" t="inlineStr">
        <is>
          <t>admin@gayhurst.hackney.sch.uk</t>
        </is>
      </c>
      <c r="H138" s="13" t="inlineStr">
        <is>
          <t>general</t>
        </is>
      </c>
      <c r="I138" s="13" t="inlineStr">
        <is>
          <t>+44 20 7254 6138</t>
        </is>
      </c>
      <c r="J138" s="14" t="inlineStr">
        <is>
          <t>https://www.gayhurst.hackney.sch.uk/</t>
        </is>
      </c>
      <c r="K138" s="13" t="inlineStr">
        <is>
          <t>Gayhurst Road, London</t>
        </is>
      </c>
      <c r="L138" s="13" t="inlineStr">
        <is>
          <t>E8 3EN</t>
        </is>
      </c>
      <c r="M138" s="13" t="inlineStr">
        <is>
          <t>Hackney</t>
        </is>
      </c>
      <c r="N138" s="13" t="n">
        <v>18</v>
      </c>
      <c r="O138" s="15">
        <f>IFERROR(INDEX(Venues!$C$2:$C$10,MATCH(M138,Venues!$A$2:$A$10,0)),"Not checked")</f>
        <v/>
      </c>
      <c r="P138" s="15">
        <f>IFERROR(INDEX(Venues!$D$2:$D$10,MATCH(M138,Venues!$A$2:$A$10,0)),0)</f>
        <v/>
      </c>
      <c r="Q138" s="42">
        <f>IFERROR(INDEX(Venues!$E$2:$E$10,MATCH(M138,Venues!$A$2:$A$10,0)),"")</f>
        <v/>
      </c>
      <c r="R138" s="15">
        <f>IF(P138&gt;0,"Yes","No")</f>
        <v/>
      </c>
      <c r="S138" s="13" t="inlineStr">
        <is>
          <t>Hackney</t>
        </is>
      </c>
      <c r="T138" s="42">
        <f>IFERROR(INDEX(Venues!$E$2:$E$10,MATCH(S138,Venues!$A$2:$A$10,0)),"")</f>
        <v/>
      </c>
      <c r="U138" s="15">
        <f>IFERROR(INDEX(Venues!$F$2:$F$10,MATCH(S138,Venues!$A$2:$A$10,0)),"")</f>
        <v/>
      </c>
      <c r="V138" s="43">
        <f>IFERROR(INDEX(Venues!$H$2:$H$10,MATCH(S138,Venues!$A$2:$A$10,0)),"")</f>
        <v/>
      </c>
      <c r="W138" s="15">
        <f>IF('Pilot offer'!$C$24="Yes",'Pilot offer'!$C$3,S138)</f>
        <v/>
      </c>
      <c r="X138" s="42">
        <f>IF('Pilot offer'!$C$24="Yes",'Pilot offer'!$C$5+'Pilot offer'!$C$6,T138)</f>
        <v/>
      </c>
      <c r="Y138" s="15">
        <f>IF('Pilot offer'!$C$24="Yes",'Pilot offer'!$C$8,U138)</f>
        <v/>
      </c>
      <c r="Z138" s="43">
        <f>IF('Pilot offer'!$C$24="Yes",'Pilot offer'!$C$11,"")</f>
        <v/>
      </c>
      <c r="AA138" s="15">
        <f>IF(X138="","",W138&amp;" · "&amp;TEXT(X138,"ddd d mmm, hh:mm")&amp;" · "&amp;Y138&amp;IF(Z138&lt;&gt;""," · £"&amp;TEXT(Z138,"0.00")&amp;" per player"," · price TBC (cost £"&amp;TEXT(V138,"0.00")&amp;" pp)"))</f>
        <v/>
      </c>
      <c r="AD138" s="44" t="n"/>
    </row>
    <row r="139">
      <c r="A139" s="13" t="n">
        <v>137</v>
      </c>
      <c r="B139" s="13" t="inlineStr">
        <is>
          <t>1 · E8 London Fields</t>
        </is>
      </c>
      <c r="C139" s="13" t="inlineStr">
        <is>
          <t>Hospitality</t>
        </is>
      </c>
      <c r="D139" s="13" t="inlineStr">
        <is>
          <t>Local businesses</t>
        </is>
      </c>
      <c r="E139" s="13" t="inlineStr">
        <is>
          <t>Hoxton Beach</t>
        </is>
      </c>
      <c r="F139" s="13" t="inlineStr">
        <is>
          <t>amenity: cafe</t>
        </is>
      </c>
      <c r="G139" s="13" t="inlineStr">
        <is>
          <t>hoxtonhome@gmail.com</t>
        </is>
      </c>
      <c r="H139" s="13" t="inlineStr">
        <is>
          <t>freemail</t>
        </is>
      </c>
      <c r="I139" s="13" t="n"/>
      <c r="J139" s="14" t="inlineStr">
        <is>
          <t>https://hoxtonbeach.com/</t>
        </is>
      </c>
      <c r="K139" s="13" t="inlineStr">
        <is>
          <t>London Fields West Side, London</t>
        </is>
      </c>
      <c r="L139" s="13" t="inlineStr">
        <is>
          <t>E8 3EU</t>
        </is>
      </c>
      <c r="M139" s="13" t="inlineStr">
        <is>
          <t>Hackney</t>
        </is>
      </c>
      <c r="N139" s="13" t="n">
        <v>17</v>
      </c>
      <c r="O139" s="15">
        <f>IFERROR(INDEX(Venues!$C$2:$C$10,MATCH(M139,Venues!$A$2:$A$10,0)),"Not checked")</f>
        <v/>
      </c>
      <c r="P139" s="15">
        <f>IFERROR(INDEX(Venues!$D$2:$D$10,MATCH(M139,Venues!$A$2:$A$10,0)),0)</f>
        <v/>
      </c>
      <c r="Q139" s="42">
        <f>IFERROR(INDEX(Venues!$E$2:$E$10,MATCH(M139,Venues!$A$2:$A$10,0)),"")</f>
        <v/>
      </c>
      <c r="R139" s="15">
        <f>IF(P139&gt;0,"Yes","No")</f>
        <v/>
      </c>
      <c r="S139" s="13" t="inlineStr">
        <is>
          <t>Hackney</t>
        </is>
      </c>
      <c r="T139" s="42">
        <f>IFERROR(INDEX(Venues!$E$2:$E$10,MATCH(S139,Venues!$A$2:$A$10,0)),"")</f>
        <v/>
      </c>
      <c r="U139" s="15">
        <f>IFERROR(INDEX(Venues!$F$2:$F$10,MATCH(S139,Venues!$A$2:$A$10,0)),"")</f>
        <v/>
      </c>
      <c r="V139" s="43">
        <f>IFERROR(INDEX(Venues!$H$2:$H$10,MATCH(S139,Venues!$A$2:$A$10,0)),"")</f>
        <v/>
      </c>
      <c r="W139" s="15">
        <f>IF('Pilot offer'!$C$24="Yes",'Pilot offer'!$C$3,S139)</f>
        <v/>
      </c>
      <c r="X139" s="42">
        <f>IF('Pilot offer'!$C$24="Yes",'Pilot offer'!$C$5+'Pilot offer'!$C$6,T139)</f>
        <v/>
      </c>
      <c r="Y139" s="15">
        <f>IF('Pilot offer'!$C$24="Yes",'Pilot offer'!$C$8,U139)</f>
        <v/>
      </c>
      <c r="Z139" s="43">
        <f>IF('Pilot offer'!$C$24="Yes",'Pilot offer'!$C$11,"")</f>
        <v/>
      </c>
      <c r="AA139" s="15">
        <f>IF(X139="","",W139&amp;" · "&amp;TEXT(X139,"ddd d mmm, hh:mm")&amp;" · "&amp;Y139&amp;IF(Z139&lt;&gt;""," · £"&amp;TEXT(Z139,"0.00")&amp;" per player"," · price TBC (cost £"&amp;TEXT(V139,"0.00")&amp;" pp)"))</f>
        <v/>
      </c>
      <c r="AD139" s="44" t="n"/>
    </row>
    <row r="140">
      <c r="A140" s="13" t="n">
        <v>138</v>
      </c>
      <c r="B140" s="13" t="inlineStr">
        <is>
          <t>1 · E8 London Fields</t>
        </is>
      </c>
      <c r="C140" s="13" t="inlineStr">
        <is>
          <t>Leisure &amp; culture</t>
        </is>
      </c>
      <c r="D140" s="13" t="inlineStr">
        <is>
          <t>Local businesses</t>
        </is>
      </c>
      <c r="E140" s="13" t="inlineStr">
        <is>
          <t>London Fields Lido</t>
        </is>
      </c>
      <c r="F140" s="13" t="inlineStr">
        <is>
          <t>leisure: sports centre</t>
        </is>
      </c>
      <c r="G140" s="13" t="inlineStr">
        <is>
          <t>london-fields-lido@gll.org</t>
        </is>
      </c>
      <c r="H140" s="13" t="inlineStr">
        <is>
          <t>openstreetmap_tag</t>
        </is>
      </c>
      <c r="I140" s="13" t="inlineStr">
        <is>
          <t>+44 20 7254 9038</t>
        </is>
      </c>
      <c r="J140" s="14" t="inlineStr">
        <is>
          <t>https://www.better.org.uk/leisure-centre/london/hackney/london-fields-lido</t>
        </is>
      </c>
      <c r="K140" s="13" t="inlineStr">
        <is>
          <t>London Fields West Side, London</t>
        </is>
      </c>
      <c r="L140" s="13" t="inlineStr">
        <is>
          <t>E8 3EU</t>
        </is>
      </c>
      <c r="M140" s="13" t="inlineStr">
        <is>
          <t>Hackney</t>
        </is>
      </c>
      <c r="N140" s="13" t="n">
        <v>16</v>
      </c>
      <c r="O140" s="15">
        <f>IFERROR(INDEX(Venues!$C$2:$C$10,MATCH(M140,Venues!$A$2:$A$10,0)),"Not checked")</f>
        <v/>
      </c>
      <c r="P140" s="15">
        <f>IFERROR(INDEX(Venues!$D$2:$D$10,MATCH(M140,Venues!$A$2:$A$10,0)),0)</f>
        <v/>
      </c>
      <c r="Q140" s="42">
        <f>IFERROR(INDEX(Venues!$E$2:$E$10,MATCH(M140,Venues!$A$2:$A$10,0)),"")</f>
        <v/>
      </c>
      <c r="R140" s="15">
        <f>IF(P140&gt;0,"Yes","No")</f>
        <v/>
      </c>
      <c r="S140" s="13" t="inlineStr">
        <is>
          <t>Hackney</t>
        </is>
      </c>
      <c r="T140" s="42">
        <f>IFERROR(INDEX(Venues!$E$2:$E$10,MATCH(S140,Venues!$A$2:$A$10,0)),"")</f>
        <v/>
      </c>
      <c r="U140" s="15">
        <f>IFERROR(INDEX(Venues!$F$2:$F$10,MATCH(S140,Venues!$A$2:$A$10,0)),"")</f>
        <v/>
      </c>
      <c r="V140" s="43">
        <f>IFERROR(INDEX(Venues!$H$2:$H$10,MATCH(S140,Venues!$A$2:$A$10,0)),"")</f>
        <v/>
      </c>
      <c r="W140" s="15">
        <f>IF('Pilot offer'!$C$24="Yes",'Pilot offer'!$C$3,S140)</f>
        <v/>
      </c>
      <c r="X140" s="42">
        <f>IF('Pilot offer'!$C$24="Yes",'Pilot offer'!$C$5+'Pilot offer'!$C$6,T140)</f>
        <v/>
      </c>
      <c r="Y140" s="15">
        <f>IF('Pilot offer'!$C$24="Yes",'Pilot offer'!$C$8,U140)</f>
        <v/>
      </c>
      <c r="Z140" s="43">
        <f>IF('Pilot offer'!$C$24="Yes",'Pilot offer'!$C$11,"")</f>
        <v/>
      </c>
      <c r="AA140" s="15">
        <f>IF(X140="","",W140&amp;" · "&amp;TEXT(X140,"ddd d mmm, hh:mm")&amp;" · "&amp;Y140&amp;IF(Z140&lt;&gt;""," · £"&amp;TEXT(Z140,"0.00")&amp;" per player"," · price TBC (cost £"&amp;TEXT(V140,"0.00")&amp;" pp)"))</f>
        <v/>
      </c>
      <c r="AD140" s="44" t="n"/>
    </row>
    <row r="141">
      <c r="A141" s="13" t="n">
        <v>139</v>
      </c>
      <c r="B141" s="13" t="inlineStr">
        <is>
          <t>1 · E8 London Fields</t>
        </is>
      </c>
      <c r="C141" s="13" t="inlineStr">
        <is>
          <t>Leisure &amp; culture</t>
        </is>
      </c>
      <c r="D141" s="13" t="inlineStr">
        <is>
          <t>Local businesses</t>
        </is>
      </c>
      <c r="E141" s="13" t="inlineStr">
        <is>
          <t>GYMPODS Dalston</t>
        </is>
      </c>
      <c r="F141" s="13" t="inlineStr">
        <is>
          <t>leisure: fitness centre</t>
        </is>
      </c>
      <c r="G141" s="13" t="inlineStr">
        <is>
          <t>info@gympods.com</t>
        </is>
      </c>
      <c r="H141" s="13" t="inlineStr">
        <is>
          <t>openstreetmap_tag</t>
        </is>
      </c>
      <c r="I141" s="13" t="inlineStr">
        <is>
          <t>+44 20 4547 3964</t>
        </is>
      </c>
      <c r="J141" s="14" t="inlineStr">
        <is>
          <t>https://gympods.com/about/dalston</t>
        </is>
      </c>
      <c r="K141" s="13" t="inlineStr">
        <is>
          <t>Dalston Square, London</t>
        </is>
      </c>
      <c r="L141" s="13" t="inlineStr">
        <is>
          <t>E8 3FS</t>
        </is>
      </c>
      <c r="M141" s="13" t="inlineStr">
        <is>
          <t>Rosemary Gardens 3G - Islington</t>
        </is>
      </c>
      <c r="N141" s="13" t="n">
        <v>18</v>
      </c>
      <c r="O141" s="15">
        <f>IFERROR(INDEX(Venues!$C$2:$C$10,MATCH(M141,Venues!$A$2:$A$10,0)),"Not checked")</f>
        <v/>
      </c>
      <c r="P141" s="15">
        <f>IFERROR(INDEX(Venues!$D$2:$D$10,MATCH(M141,Venues!$A$2:$A$10,0)),0)</f>
        <v/>
      </c>
      <c r="Q141" s="42">
        <f>IFERROR(INDEX(Venues!$E$2:$E$10,MATCH(M141,Venues!$A$2:$A$10,0)),"")</f>
        <v/>
      </c>
      <c r="R141" s="15">
        <f>IF(P141&gt;0,"Yes","No")</f>
        <v/>
      </c>
      <c r="S141" s="13" t="inlineStr">
        <is>
          <t>COLA Shoreditch Park</t>
        </is>
      </c>
      <c r="T141" s="42">
        <f>IFERROR(INDEX(Venues!$E$2:$E$10,MATCH(S141,Venues!$A$2:$A$10,0)),"")</f>
        <v/>
      </c>
      <c r="U141" s="15">
        <f>IFERROR(INDEX(Venues!$F$2:$F$10,MATCH(S141,Venues!$A$2:$A$10,0)),"")</f>
        <v/>
      </c>
      <c r="V141" s="43">
        <f>IFERROR(INDEX(Venues!$H$2:$H$10,MATCH(S141,Venues!$A$2:$A$10,0)),"")</f>
        <v/>
      </c>
      <c r="W141" s="15">
        <f>IF('Pilot offer'!$C$24="Yes",'Pilot offer'!$C$3,S141)</f>
        <v/>
      </c>
      <c r="X141" s="42">
        <f>IF('Pilot offer'!$C$24="Yes",'Pilot offer'!$C$5+'Pilot offer'!$C$6,T141)</f>
        <v/>
      </c>
      <c r="Y141" s="15">
        <f>IF('Pilot offer'!$C$24="Yes",'Pilot offer'!$C$8,U141)</f>
        <v/>
      </c>
      <c r="Z141" s="43">
        <f>IF('Pilot offer'!$C$24="Yes",'Pilot offer'!$C$11,"")</f>
        <v/>
      </c>
      <c r="AA141" s="15">
        <f>IF(X141="","",W141&amp;" · "&amp;TEXT(X141,"ddd d mmm, hh:mm")&amp;" · "&amp;Y141&amp;IF(Z141&lt;&gt;""," · £"&amp;TEXT(Z141,"0.00")&amp;" per player"," · price TBC (cost £"&amp;TEXT(V141,"0.00")&amp;" pp)"))</f>
        <v/>
      </c>
      <c r="AD141" s="44" t="n"/>
    </row>
    <row r="142">
      <c r="A142" s="13" t="n">
        <v>140</v>
      </c>
      <c r="B142" s="13" t="inlineStr">
        <is>
          <t>1 · E8 London Fields</t>
        </is>
      </c>
      <c r="C142" s="13" t="inlineStr">
        <is>
          <t>Office &amp; professional</t>
        </is>
      </c>
      <c r="D142" s="13" t="inlineStr">
        <is>
          <t>Corporate</t>
        </is>
      </c>
      <c r="E142" s="13" t="inlineStr">
        <is>
          <t>Dream Random</t>
        </is>
      </c>
      <c r="F142" s="13" t="inlineStr">
        <is>
          <t>service</t>
        </is>
      </c>
      <c r="G142" s="13" t="inlineStr">
        <is>
          <t>info@dreamrandom.com</t>
        </is>
      </c>
      <c r="H142" s="13" t="inlineStr">
        <is>
          <t>general</t>
        </is>
      </c>
      <c r="I142" s="13" t="inlineStr">
        <is>
          <t>+44 20 7628 6861</t>
        </is>
      </c>
      <c r="J142" s="14" t="inlineStr">
        <is>
          <t>https://www.dreamrandom.com/</t>
        </is>
      </c>
      <c r="K142" s="13" t="inlineStr">
        <is>
          <t>7, Monohaus, 143 Mare St, London E8 3FW, UK</t>
        </is>
      </c>
      <c r="L142" s="13" t="inlineStr">
        <is>
          <t>E8 3FW</t>
        </is>
      </c>
      <c r="M142" s="13" t="inlineStr">
        <is>
          <t>Hackney</t>
        </is>
      </c>
      <c r="N142" s="13" t="n">
        <v>18</v>
      </c>
      <c r="O142" s="15">
        <f>IFERROR(INDEX(Venues!$C$2:$C$10,MATCH(M142,Venues!$A$2:$A$10,0)),"Not checked")</f>
        <v/>
      </c>
      <c r="P142" s="15">
        <f>IFERROR(INDEX(Venues!$D$2:$D$10,MATCH(M142,Venues!$A$2:$A$10,0)),0)</f>
        <v/>
      </c>
      <c r="Q142" s="42">
        <f>IFERROR(INDEX(Venues!$E$2:$E$10,MATCH(M142,Venues!$A$2:$A$10,0)),"")</f>
        <v/>
      </c>
      <c r="R142" s="15">
        <f>IF(P142&gt;0,"Yes","No")</f>
        <v/>
      </c>
      <c r="S142" s="13" t="inlineStr">
        <is>
          <t>Hackney</t>
        </is>
      </c>
      <c r="T142" s="42">
        <f>IFERROR(INDEX(Venues!$E$2:$E$10,MATCH(S142,Venues!$A$2:$A$10,0)),"")</f>
        <v/>
      </c>
      <c r="U142" s="15">
        <f>IFERROR(INDEX(Venues!$F$2:$F$10,MATCH(S142,Venues!$A$2:$A$10,0)),"")</f>
        <v/>
      </c>
      <c r="V142" s="43">
        <f>IFERROR(INDEX(Venues!$H$2:$H$10,MATCH(S142,Venues!$A$2:$A$10,0)),"")</f>
        <v/>
      </c>
      <c r="W142" s="15">
        <f>IF('Pilot offer'!$C$24="Yes",'Pilot offer'!$C$3,S142)</f>
        <v/>
      </c>
      <c r="X142" s="42">
        <f>IF('Pilot offer'!$C$24="Yes",'Pilot offer'!$C$5+'Pilot offer'!$C$6,T142)</f>
        <v/>
      </c>
      <c r="Y142" s="15">
        <f>IF('Pilot offer'!$C$24="Yes",'Pilot offer'!$C$8,U142)</f>
        <v/>
      </c>
      <c r="Z142" s="43">
        <f>IF('Pilot offer'!$C$24="Yes",'Pilot offer'!$C$11,"")</f>
        <v/>
      </c>
      <c r="AA142" s="15">
        <f>IF(X142="","",W142&amp;" · "&amp;TEXT(X142,"ddd d mmm, hh:mm")&amp;" · "&amp;Y142&amp;IF(Z142&lt;&gt;""," · £"&amp;TEXT(Z142,"0.00")&amp;" per player"," · price TBC (cost £"&amp;TEXT(V142,"0.00")&amp;" pp)"))</f>
        <v/>
      </c>
      <c r="AD142" s="44" t="n"/>
    </row>
    <row r="143">
      <c r="A143" s="13" t="n">
        <v>141</v>
      </c>
      <c r="B143" s="13" t="inlineStr">
        <is>
          <t>1 · E8 London Fields</t>
        </is>
      </c>
      <c r="C143" s="13" t="inlineStr">
        <is>
          <t>Coworking / shared office</t>
        </is>
      </c>
      <c r="D143" s="13" t="inlineStr">
        <is>
          <t>Corporate</t>
        </is>
      </c>
      <c r="E143" s="13" t="inlineStr">
        <is>
          <t>Ramen Space</t>
        </is>
      </c>
      <c r="F143" s="13" t="inlineStr">
        <is>
          <t>coworking_space</t>
        </is>
      </c>
      <c r="G143" s="13" t="inlineStr">
        <is>
          <t>charlie@ramenclub.com</t>
        </is>
      </c>
      <c r="H143" s="13" t="inlineStr">
        <is>
          <t>person_or_other</t>
        </is>
      </c>
      <c r="I143" s="13" t="n"/>
      <c r="J143" s="14" t="inlineStr">
        <is>
          <t>https://ramenclub.com/ramen-space</t>
        </is>
      </c>
      <c r="K143" s="13" t="inlineStr">
        <is>
          <t>Unit 6, Sledge Tower, Dalston Square, London E8 3GP, UK</t>
        </is>
      </c>
      <c r="L143" s="13" t="inlineStr">
        <is>
          <t>E8 3GP</t>
        </is>
      </c>
      <c r="M143" s="13" t="inlineStr">
        <is>
          <t>Rosemary Gardens 3G - Islington</t>
        </is>
      </c>
      <c r="N143" s="13" t="n">
        <v>18</v>
      </c>
      <c r="O143" s="15">
        <f>IFERROR(INDEX(Venues!$C$2:$C$10,MATCH(M143,Venues!$A$2:$A$10,0)),"Not checked")</f>
        <v/>
      </c>
      <c r="P143" s="15">
        <f>IFERROR(INDEX(Venues!$D$2:$D$10,MATCH(M143,Venues!$A$2:$A$10,0)),0)</f>
        <v/>
      </c>
      <c r="Q143" s="42">
        <f>IFERROR(INDEX(Venues!$E$2:$E$10,MATCH(M143,Venues!$A$2:$A$10,0)),"")</f>
        <v/>
      </c>
      <c r="R143" s="15">
        <f>IF(P143&gt;0,"Yes","No")</f>
        <v/>
      </c>
      <c r="S143" s="13" t="inlineStr">
        <is>
          <t>COLA Shoreditch Park</t>
        </is>
      </c>
      <c r="T143" s="42">
        <f>IFERROR(INDEX(Venues!$E$2:$E$10,MATCH(S143,Venues!$A$2:$A$10,0)),"")</f>
        <v/>
      </c>
      <c r="U143" s="15">
        <f>IFERROR(INDEX(Venues!$F$2:$F$10,MATCH(S143,Venues!$A$2:$A$10,0)),"")</f>
        <v/>
      </c>
      <c r="V143" s="43">
        <f>IFERROR(INDEX(Venues!$H$2:$H$10,MATCH(S143,Venues!$A$2:$A$10,0)),"")</f>
        <v/>
      </c>
      <c r="W143" s="15">
        <f>IF('Pilot offer'!$C$24="Yes",'Pilot offer'!$C$3,S143)</f>
        <v/>
      </c>
      <c r="X143" s="42">
        <f>IF('Pilot offer'!$C$24="Yes",'Pilot offer'!$C$5+'Pilot offer'!$C$6,T143)</f>
        <v/>
      </c>
      <c r="Y143" s="15">
        <f>IF('Pilot offer'!$C$24="Yes",'Pilot offer'!$C$8,U143)</f>
        <v/>
      </c>
      <c r="Z143" s="43">
        <f>IF('Pilot offer'!$C$24="Yes",'Pilot offer'!$C$11,"")</f>
        <v/>
      </c>
      <c r="AA143" s="15">
        <f>IF(X143="","",W143&amp;" · "&amp;TEXT(X143,"ddd d mmm, hh:mm")&amp;" · "&amp;Y143&amp;IF(Z143&lt;&gt;""," · £"&amp;TEXT(Z143,"0.00")&amp;" per player"," · price TBC (cost £"&amp;TEXT(V143,"0.00")&amp;" pp)"))</f>
        <v/>
      </c>
      <c r="AD143" s="44" t="n"/>
    </row>
    <row r="144">
      <c r="A144" s="13" t="n">
        <v>142</v>
      </c>
      <c r="B144" s="13" t="inlineStr">
        <is>
          <t>1 · E8 London Fields</t>
        </is>
      </c>
      <c r="C144" s="13" t="inlineStr">
        <is>
          <t>Leisure &amp; culture</t>
        </is>
      </c>
      <c r="D144" s="13" t="inlineStr">
        <is>
          <t>Local businesses</t>
        </is>
      </c>
      <c r="E144" s="13" t="inlineStr">
        <is>
          <t>Rumble</t>
        </is>
      </c>
      <c r="F144" s="13" t="inlineStr">
        <is>
          <t>leisure: fitness centre</t>
        </is>
      </c>
      <c r="G144" s="13" t="inlineStr">
        <is>
          <t>info@rumble-gym.com</t>
        </is>
      </c>
      <c r="H144" s="13" t="inlineStr">
        <is>
          <t>general</t>
        </is>
      </c>
      <c r="I144" s="13" t="inlineStr">
        <is>
          <t>+44 20 8063 8404</t>
        </is>
      </c>
      <c r="J144" s="14" t="inlineStr">
        <is>
          <t>https://www.rumble.fitness/Dalston</t>
        </is>
      </c>
      <c r="K144" s="13" t="inlineStr">
        <is>
          <t>Dalston Square, London</t>
        </is>
      </c>
      <c r="L144" s="13" t="inlineStr">
        <is>
          <t>E8 3GP</t>
        </is>
      </c>
      <c r="M144" s="13" t="inlineStr">
        <is>
          <t>Rosemary Gardens 3G - Islington</t>
        </is>
      </c>
      <c r="N144" s="13" t="n">
        <v>18</v>
      </c>
      <c r="O144" s="15">
        <f>IFERROR(INDEX(Venues!$C$2:$C$10,MATCH(M144,Venues!$A$2:$A$10,0)),"Not checked")</f>
        <v/>
      </c>
      <c r="P144" s="15">
        <f>IFERROR(INDEX(Venues!$D$2:$D$10,MATCH(M144,Venues!$A$2:$A$10,0)),0)</f>
        <v/>
      </c>
      <c r="Q144" s="42">
        <f>IFERROR(INDEX(Venues!$E$2:$E$10,MATCH(M144,Venues!$A$2:$A$10,0)),"")</f>
        <v/>
      </c>
      <c r="R144" s="15">
        <f>IF(P144&gt;0,"Yes","No")</f>
        <v/>
      </c>
      <c r="S144" s="13" t="inlineStr">
        <is>
          <t>COLA Shoreditch Park</t>
        </is>
      </c>
      <c r="T144" s="42">
        <f>IFERROR(INDEX(Venues!$E$2:$E$10,MATCH(S144,Venues!$A$2:$A$10,0)),"")</f>
        <v/>
      </c>
      <c r="U144" s="15">
        <f>IFERROR(INDEX(Venues!$F$2:$F$10,MATCH(S144,Venues!$A$2:$A$10,0)),"")</f>
        <v/>
      </c>
      <c r="V144" s="43">
        <f>IFERROR(INDEX(Venues!$H$2:$H$10,MATCH(S144,Venues!$A$2:$A$10,0)),"")</f>
        <v/>
      </c>
      <c r="W144" s="15">
        <f>IF('Pilot offer'!$C$24="Yes",'Pilot offer'!$C$3,S144)</f>
        <v/>
      </c>
      <c r="X144" s="42">
        <f>IF('Pilot offer'!$C$24="Yes",'Pilot offer'!$C$5+'Pilot offer'!$C$6,T144)</f>
        <v/>
      </c>
      <c r="Y144" s="15">
        <f>IF('Pilot offer'!$C$24="Yes",'Pilot offer'!$C$8,U144)</f>
        <v/>
      </c>
      <c r="Z144" s="43">
        <f>IF('Pilot offer'!$C$24="Yes",'Pilot offer'!$C$11,"")</f>
        <v/>
      </c>
      <c r="AA144" s="15">
        <f>IF(X144="","",W144&amp;" · "&amp;TEXT(X144,"ddd d mmm, hh:mm")&amp;" · "&amp;Y144&amp;IF(Z144&lt;&gt;""," · £"&amp;TEXT(Z144,"0.00")&amp;" per player"," · price TBC (cost £"&amp;TEXT(V144,"0.00")&amp;" pp)"))</f>
        <v/>
      </c>
      <c r="AD144" s="44" t="n"/>
    </row>
    <row r="145">
      <c r="A145" s="13" t="n">
        <v>143</v>
      </c>
      <c r="B145" s="13" t="inlineStr">
        <is>
          <t>1 · E8 London Fields</t>
        </is>
      </c>
      <c r="C145" s="13" t="inlineStr">
        <is>
          <t>Hospitality</t>
        </is>
      </c>
      <c r="D145" s="13" t="inlineStr">
        <is>
          <t>Local businesses</t>
        </is>
      </c>
      <c r="E145" s="13" t="inlineStr">
        <is>
          <t>Turtle Bay</t>
        </is>
      </c>
      <c r="F145" s="13" t="inlineStr">
        <is>
          <t>amenity: restaurant</t>
        </is>
      </c>
      <c r="G145" s="13" t="inlineStr">
        <is>
          <t>dalston@turtlebay.co.uk</t>
        </is>
      </c>
      <c r="H145" s="13" t="inlineStr">
        <is>
          <t>openstreetmap_tag</t>
        </is>
      </c>
      <c r="I145" s="13" t="inlineStr">
        <is>
          <t>+44 20 7249 7766</t>
        </is>
      </c>
      <c r="J145" s="14" t="inlineStr">
        <is>
          <t>https://www.turtlebay.co.uk/</t>
        </is>
      </c>
      <c r="K145" s="13" t="inlineStr">
        <is>
          <t>Dalston Square, London</t>
        </is>
      </c>
      <c r="L145" s="13" t="inlineStr">
        <is>
          <t>E8 3GP</t>
        </is>
      </c>
      <c r="M145" s="13" t="inlineStr">
        <is>
          <t>Rosemary Gardens 3G - Islington</t>
        </is>
      </c>
      <c r="N145" s="13" t="n">
        <v>18</v>
      </c>
      <c r="O145" s="15">
        <f>IFERROR(INDEX(Venues!$C$2:$C$10,MATCH(M145,Venues!$A$2:$A$10,0)),"Not checked")</f>
        <v/>
      </c>
      <c r="P145" s="15">
        <f>IFERROR(INDEX(Venues!$D$2:$D$10,MATCH(M145,Venues!$A$2:$A$10,0)),0)</f>
        <v/>
      </c>
      <c r="Q145" s="42">
        <f>IFERROR(INDEX(Venues!$E$2:$E$10,MATCH(M145,Venues!$A$2:$A$10,0)),"")</f>
        <v/>
      </c>
      <c r="R145" s="15">
        <f>IF(P145&gt;0,"Yes","No")</f>
        <v/>
      </c>
      <c r="S145" s="13" t="inlineStr">
        <is>
          <t>COLA Shoreditch Park</t>
        </is>
      </c>
      <c r="T145" s="42">
        <f>IFERROR(INDEX(Venues!$E$2:$E$10,MATCH(S145,Venues!$A$2:$A$10,0)),"")</f>
        <v/>
      </c>
      <c r="U145" s="15">
        <f>IFERROR(INDEX(Venues!$F$2:$F$10,MATCH(S145,Venues!$A$2:$A$10,0)),"")</f>
        <v/>
      </c>
      <c r="V145" s="43">
        <f>IFERROR(INDEX(Venues!$H$2:$H$10,MATCH(S145,Venues!$A$2:$A$10,0)),"")</f>
        <v/>
      </c>
      <c r="W145" s="15">
        <f>IF('Pilot offer'!$C$24="Yes",'Pilot offer'!$C$3,S145)</f>
        <v/>
      </c>
      <c r="X145" s="42">
        <f>IF('Pilot offer'!$C$24="Yes",'Pilot offer'!$C$5+'Pilot offer'!$C$6,T145)</f>
        <v/>
      </c>
      <c r="Y145" s="15">
        <f>IF('Pilot offer'!$C$24="Yes",'Pilot offer'!$C$8,U145)</f>
        <v/>
      </c>
      <c r="Z145" s="43">
        <f>IF('Pilot offer'!$C$24="Yes",'Pilot offer'!$C$11,"")</f>
        <v/>
      </c>
      <c r="AA145" s="15">
        <f>IF(X145="","",W145&amp;" · "&amp;TEXT(X145,"ddd d mmm, hh:mm")&amp;" · "&amp;Y145&amp;IF(Z145&lt;&gt;""," · £"&amp;TEXT(Z145,"0.00")&amp;" per player"," · price TBC (cost £"&amp;TEXT(V145,"0.00")&amp;" pp)"))</f>
        <v/>
      </c>
      <c r="AD145" s="44" t="n"/>
    </row>
    <row r="146">
      <c r="A146" s="13" t="n">
        <v>144</v>
      </c>
      <c r="B146" s="13" t="inlineStr">
        <is>
          <t>1 · E8 London Fields</t>
        </is>
      </c>
      <c r="C146" s="13" t="inlineStr">
        <is>
          <t>Hospitality</t>
        </is>
      </c>
      <c r="D146" s="13" t="inlineStr">
        <is>
          <t>Local businesses</t>
        </is>
      </c>
      <c r="E146" s="13" t="inlineStr">
        <is>
          <t>The Good Front Room</t>
        </is>
      </c>
      <c r="F146" s="13" t="inlineStr">
        <is>
          <t>amenity: restaurant</t>
        </is>
      </c>
      <c r="G146" s="13" t="inlineStr">
        <is>
          <t>hello@thegoodfrontroom.co.uk</t>
        </is>
      </c>
      <c r="H146" s="13" t="inlineStr">
        <is>
          <t>openstreetmap_tag</t>
        </is>
      </c>
      <c r="I146" s="13" t="inlineStr">
        <is>
          <t>+44 20 3978 0209</t>
        </is>
      </c>
      <c r="J146" s="14" t="inlineStr">
        <is>
          <t>https://www.thegoodfrontroom.co.uk/</t>
        </is>
      </c>
      <c r="K146" s="13" t="inlineStr">
        <is>
          <t>Dalston Square 1, London</t>
        </is>
      </c>
      <c r="L146" s="13" t="inlineStr">
        <is>
          <t>E8 3GU</t>
        </is>
      </c>
      <c r="M146" s="13" t="inlineStr">
        <is>
          <t>Rosemary Gardens 3G - Islington</t>
        </is>
      </c>
      <c r="N146" s="13" t="n">
        <v>18</v>
      </c>
      <c r="O146" s="15">
        <f>IFERROR(INDEX(Venues!$C$2:$C$10,MATCH(M146,Venues!$A$2:$A$10,0)),"Not checked")</f>
        <v/>
      </c>
      <c r="P146" s="15">
        <f>IFERROR(INDEX(Venues!$D$2:$D$10,MATCH(M146,Venues!$A$2:$A$10,0)),0)</f>
        <v/>
      </c>
      <c r="Q146" s="42">
        <f>IFERROR(INDEX(Venues!$E$2:$E$10,MATCH(M146,Venues!$A$2:$A$10,0)),"")</f>
        <v/>
      </c>
      <c r="R146" s="15">
        <f>IF(P146&gt;0,"Yes","No")</f>
        <v/>
      </c>
      <c r="S146" s="13" t="inlineStr">
        <is>
          <t>COLA Shoreditch Park</t>
        </is>
      </c>
      <c r="T146" s="42">
        <f>IFERROR(INDEX(Venues!$E$2:$E$10,MATCH(S146,Venues!$A$2:$A$10,0)),"")</f>
        <v/>
      </c>
      <c r="U146" s="15">
        <f>IFERROR(INDEX(Venues!$F$2:$F$10,MATCH(S146,Venues!$A$2:$A$10,0)),"")</f>
        <v/>
      </c>
      <c r="V146" s="43">
        <f>IFERROR(INDEX(Venues!$H$2:$H$10,MATCH(S146,Venues!$A$2:$A$10,0)),"")</f>
        <v/>
      </c>
      <c r="W146" s="15">
        <f>IF('Pilot offer'!$C$24="Yes",'Pilot offer'!$C$3,S146)</f>
        <v/>
      </c>
      <c r="X146" s="42">
        <f>IF('Pilot offer'!$C$24="Yes",'Pilot offer'!$C$5+'Pilot offer'!$C$6,T146)</f>
        <v/>
      </c>
      <c r="Y146" s="15">
        <f>IF('Pilot offer'!$C$24="Yes",'Pilot offer'!$C$8,U146)</f>
        <v/>
      </c>
      <c r="Z146" s="43">
        <f>IF('Pilot offer'!$C$24="Yes",'Pilot offer'!$C$11,"")</f>
        <v/>
      </c>
      <c r="AA146" s="15">
        <f>IF(X146="","",W146&amp;" · "&amp;TEXT(X146,"ddd d mmm, hh:mm")&amp;" · "&amp;Y146&amp;IF(Z146&lt;&gt;""," · £"&amp;TEXT(Z146,"0.00")&amp;" per player"," · price TBC (cost £"&amp;TEXT(V146,"0.00")&amp;" pp)"))</f>
        <v/>
      </c>
      <c r="AD146" s="44" t="n"/>
    </row>
    <row r="147">
      <c r="A147" s="13" t="n">
        <v>145</v>
      </c>
      <c r="B147" s="13" t="inlineStr">
        <is>
          <t>1 · E8 London Fields</t>
        </is>
      </c>
      <c r="C147" s="13" t="inlineStr">
        <is>
          <t>Office &amp; professional</t>
        </is>
      </c>
      <c r="D147" s="13" t="inlineStr">
        <is>
          <t>Corporate</t>
        </is>
      </c>
      <c r="E147" s="13" t="inlineStr">
        <is>
          <t>Grant Colson Financial Planning</t>
        </is>
      </c>
      <c r="F147" s="13" t="inlineStr">
        <is>
          <t>finance</t>
        </is>
      </c>
      <c r="G147" s="13" t="inlineStr">
        <is>
          <t>info@grantcolson.co.uk</t>
        </is>
      </c>
      <c r="H147" s="13" t="inlineStr">
        <is>
          <t>general</t>
        </is>
      </c>
      <c r="I147" s="13" t="n"/>
      <c r="J147" s="14" t="inlineStr">
        <is>
          <t>https://www.grantcolson.co.uk/</t>
        </is>
      </c>
      <c r="K147" s="13" t="inlineStr">
        <is>
          <t>Mare St, Studios, London E8 3JS, UK</t>
        </is>
      </c>
      <c r="L147" s="13" t="inlineStr">
        <is>
          <t>E8 3JS</t>
        </is>
      </c>
      <c r="M147" s="13" t="inlineStr">
        <is>
          <t>Hackney</t>
        </is>
      </c>
      <c r="N147" s="13" t="n">
        <v>14</v>
      </c>
      <c r="O147" s="15">
        <f>IFERROR(INDEX(Venues!$C$2:$C$10,MATCH(M147,Venues!$A$2:$A$10,0)),"Not checked")</f>
        <v/>
      </c>
      <c r="P147" s="15">
        <f>IFERROR(INDEX(Venues!$D$2:$D$10,MATCH(M147,Venues!$A$2:$A$10,0)),0)</f>
        <v/>
      </c>
      <c r="Q147" s="42">
        <f>IFERROR(INDEX(Venues!$E$2:$E$10,MATCH(M147,Venues!$A$2:$A$10,0)),"")</f>
        <v/>
      </c>
      <c r="R147" s="15">
        <f>IF(P147&gt;0,"Yes","No")</f>
        <v/>
      </c>
      <c r="S147" s="13" t="inlineStr">
        <is>
          <t>Hackney</t>
        </is>
      </c>
      <c r="T147" s="42">
        <f>IFERROR(INDEX(Venues!$E$2:$E$10,MATCH(S147,Venues!$A$2:$A$10,0)),"")</f>
        <v/>
      </c>
      <c r="U147" s="15">
        <f>IFERROR(INDEX(Venues!$F$2:$F$10,MATCH(S147,Venues!$A$2:$A$10,0)),"")</f>
        <v/>
      </c>
      <c r="V147" s="43">
        <f>IFERROR(INDEX(Venues!$H$2:$H$10,MATCH(S147,Venues!$A$2:$A$10,0)),"")</f>
        <v/>
      </c>
      <c r="W147" s="15">
        <f>IF('Pilot offer'!$C$24="Yes",'Pilot offer'!$C$3,S147)</f>
        <v/>
      </c>
      <c r="X147" s="42">
        <f>IF('Pilot offer'!$C$24="Yes",'Pilot offer'!$C$5+'Pilot offer'!$C$6,T147)</f>
        <v/>
      </c>
      <c r="Y147" s="15">
        <f>IF('Pilot offer'!$C$24="Yes",'Pilot offer'!$C$8,U147)</f>
        <v/>
      </c>
      <c r="Z147" s="43">
        <f>IF('Pilot offer'!$C$24="Yes",'Pilot offer'!$C$11,"")</f>
        <v/>
      </c>
      <c r="AA147" s="15">
        <f>IF(X147="","",W147&amp;" · "&amp;TEXT(X147,"ddd d mmm, hh:mm")&amp;" · "&amp;Y147&amp;IF(Z147&lt;&gt;""," · £"&amp;TEXT(Z147,"0.00")&amp;" per player"," · price TBC (cost £"&amp;TEXT(V147,"0.00")&amp;" pp)"))</f>
        <v/>
      </c>
      <c r="AD147" s="44" t="n"/>
    </row>
    <row r="148">
      <c r="A148" s="13" t="n">
        <v>146</v>
      </c>
      <c r="B148" s="13" t="inlineStr">
        <is>
          <t>1 · E8 London Fields</t>
        </is>
      </c>
      <c r="C148" s="13" t="inlineStr">
        <is>
          <t>Coworking / shared office</t>
        </is>
      </c>
      <c r="D148" s="13" t="inlineStr">
        <is>
          <t>Local businesses</t>
        </is>
      </c>
      <c r="E148" s="13" t="inlineStr">
        <is>
          <t>The Tomlinson Centre</t>
        </is>
      </c>
      <c r="F148" s="13" t="inlineStr">
        <is>
          <t>amenity: conference centre</t>
        </is>
      </c>
      <c r="G148" s="13" t="inlineStr">
        <is>
          <t>info@thetomlinsoncentre.co.uk</t>
        </is>
      </c>
      <c r="H148" s="13" t="inlineStr">
        <is>
          <t>openstreetmap_tag</t>
        </is>
      </c>
      <c r="I148" s="13" t="inlineStr">
        <is>
          <t>+44 20 3076 1504</t>
        </is>
      </c>
      <c r="J148" s="14" t="inlineStr">
        <is>
          <t>https://www.thetomlinsoncentre.co.uk/</t>
        </is>
      </c>
      <c r="K148" s="13" t="inlineStr">
        <is>
          <t>Queensbridge Road, London</t>
        </is>
      </c>
      <c r="L148" s="13" t="inlineStr">
        <is>
          <t>E8 3ND</t>
        </is>
      </c>
      <c r="M148" s="13" t="inlineStr">
        <is>
          <t>COLA Shoreditch Park</t>
        </is>
      </c>
      <c r="N148" s="13" t="n">
        <v>16</v>
      </c>
      <c r="O148" s="15">
        <f>IFERROR(INDEX(Venues!$C$2:$C$10,MATCH(M148,Venues!$A$2:$A$10,0)),"Not checked")</f>
        <v/>
      </c>
      <c r="P148" s="15">
        <f>IFERROR(INDEX(Venues!$D$2:$D$10,MATCH(M148,Venues!$A$2:$A$10,0)),0)</f>
        <v/>
      </c>
      <c r="Q148" s="42">
        <f>IFERROR(INDEX(Venues!$E$2:$E$10,MATCH(M148,Venues!$A$2:$A$10,0)),"")</f>
        <v/>
      </c>
      <c r="R148" s="15">
        <f>IF(P148&gt;0,"Yes","No")</f>
        <v/>
      </c>
      <c r="S148" s="13" t="inlineStr">
        <is>
          <t>COLA Shoreditch Park</t>
        </is>
      </c>
      <c r="T148" s="42">
        <f>IFERROR(INDEX(Venues!$E$2:$E$10,MATCH(S148,Venues!$A$2:$A$10,0)),"")</f>
        <v/>
      </c>
      <c r="U148" s="15">
        <f>IFERROR(INDEX(Venues!$F$2:$F$10,MATCH(S148,Venues!$A$2:$A$10,0)),"")</f>
        <v/>
      </c>
      <c r="V148" s="43">
        <f>IFERROR(INDEX(Venues!$H$2:$H$10,MATCH(S148,Venues!$A$2:$A$10,0)),"")</f>
        <v/>
      </c>
      <c r="W148" s="15">
        <f>IF('Pilot offer'!$C$24="Yes",'Pilot offer'!$C$3,S148)</f>
        <v/>
      </c>
      <c r="X148" s="42">
        <f>IF('Pilot offer'!$C$24="Yes",'Pilot offer'!$C$5+'Pilot offer'!$C$6,T148)</f>
        <v/>
      </c>
      <c r="Y148" s="15">
        <f>IF('Pilot offer'!$C$24="Yes",'Pilot offer'!$C$8,U148)</f>
        <v/>
      </c>
      <c r="Z148" s="43">
        <f>IF('Pilot offer'!$C$24="Yes",'Pilot offer'!$C$11,"")</f>
        <v/>
      </c>
      <c r="AA148" s="15">
        <f>IF(X148="","",W148&amp;" · "&amp;TEXT(X148,"ddd d mmm, hh:mm")&amp;" · "&amp;Y148&amp;IF(Z148&lt;&gt;""," · £"&amp;TEXT(Z148,"0.00")&amp;" per player"," · price TBC (cost £"&amp;TEXT(V148,"0.00")&amp;" pp)"))</f>
        <v/>
      </c>
      <c r="AD148" s="44" t="n"/>
    </row>
    <row r="149">
      <c r="A149" s="13" t="n">
        <v>147</v>
      </c>
      <c r="B149" s="13" t="inlineStr">
        <is>
          <t>1 · E8 London Fields</t>
        </is>
      </c>
      <c r="C149" s="13" t="inlineStr">
        <is>
          <t>Office &amp; professional</t>
        </is>
      </c>
      <c r="D149" s="13" t="inlineStr">
        <is>
          <t>Corporate</t>
        </is>
      </c>
      <c r="E149" s="13" t="inlineStr">
        <is>
          <t>Emerald Life</t>
        </is>
      </c>
      <c r="F149" s="13" t="inlineStr">
        <is>
          <t>service</t>
        </is>
      </c>
      <c r="G149" s="13" t="inlineStr">
        <is>
          <t>marketing@emeraldlife.co.uk</t>
        </is>
      </c>
      <c r="H149" s="13" t="inlineStr">
        <is>
          <t>people_team</t>
        </is>
      </c>
      <c r="I149" s="13" t="inlineStr">
        <is>
          <t>+44 330 113 7109</t>
        </is>
      </c>
      <c r="J149" s="14" t="inlineStr">
        <is>
          <t>https://www.emeraldlife.co.uk/</t>
        </is>
      </c>
      <c r="K149" s="13" t="inlineStr">
        <is>
          <t>286 Queensbridge Rd, London E8 3NH, UK</t>
        </is>
      </c>
      <c r="L149" s="13" t="inlineStr">
        <is>
          <t>E8 3NH</t>
        </is>
      </c>
      <c r="M149" s="13" t="inlineStr">
        <is>
          <t>COLA Shoreditch Park</t>
        </is>
      </c>
      <c r="N149" s="13" t="n">
        <v>19</v>
      </c>
      <c r="O149" s="15">
        <f>IFERROR(INDEX(Venues!$C$2:$C$10,MATCH(M149,Venues!$A$2:$A$10,0)),"Not checked")</f>
        <v/>
      </c>
      <c r="P149" s="15">
        <f>IFERROR(INDEX(Venues!$D$2:$D$10,MATCH(M149,Venues!$A$2:$A$10,0)),0)</f>
        <v/>
      </c>
      <c r="Q149" s="42">
        <f>IFERROR(INDEX(Venues!$E$2:$E$10,MATCH(M149,Venues!$A$2:$A$10,0)),"")</f>
        <v/>
      </c>
      <c r="R149" s="15">
        <f>IF(P149&gt;0,"Yes","No")</f>
        <v/>
      </c>
      <c r="S149" s="13" t="inlineStr">
        <is>
          <t>COLA Shoreditch Park</t>
        </is>
      </c>
      <c r="T149" s="42">
        <f>IFERROR(INDEX(Venues!$E$2:$E$10,MATCH(S149,Venues!$A$2:$A$10,0)),"")</f>
        <v/>
      </c>
      <c r="U149" s="15">
        <f>IFERROR(INDEX(Venues!$F$2:$F$10,MATCH(S149,Venues!$A$2:$A$10,0)),"")</f>
        <v/>
      </c>
      <c r="V149" s="43">
        <f>IFERROR(INDEX(Venues!$H$2:$H$10,MATCH(S149,Venues!$A$2:$A$10,0)),"")</f>
        <v/>
      </c>
      <c r="W149" s="15">
        <f>IF('Pilot offer'!$C$24="Yes",'Pilot offer'!$C$3,S149)</f>
        <v/>
      </c>
      <c r="X149" s="42">
        <f>IF('Pilot offer'!$C$24="Yes",'Pilot offer'!$C$5+'Pilot offer'!$C$6,T149)</f>
        <v/>
      </c>
      <c r="Y149" s="15">
        <f>IF('Pilot offer'!$C$24="Yes",'Pilot offer'!$C$8,U149)</f>
        <v/>
      </c>
      <c r="Z149" s="43">
        <f>IF('Pilot offer'!$C$24="Yes",'Pilot offer'!$C$11,"")</f>
        <v/>
      </c>
      <c r="AA149" s="15">
        <f>IF(X149="","",W149&amp;" · "&amp;TEXT(X149,"ddd d mmm, hh:mm")&amp;" · "&amp;Y149&amp;IF(Z149&lt;&gt;""," · £"&amp;TEXT(Z149,"0.00")&amp;" per player"," · price TBC (cost £"&amp;TEXT(V149,"0.00")&amp;" pp)"))</f>
        <v/>
      </c>
      <c r="AD149" s="44" t="n"/>
    </row>
    <row r="150">
      <c r="A150" s="13" t="n">
        <v>148</v>
      </c>
      <c r="B150" s="13" t="inlineStr">
        <is>
          <t>1 · E8 London Fields</t>
        </is>
      </c>
      <c r="C150" s="13" t="inlineStr">
        <is>
          <t>Retail</t>
        </is>
      </c>
      <c r="D150" s="13" t="inlineStr">
        <is>
          <t>Local businesses</t>
        </is>
      </c>
      <c r="E150" s="13" t="inlineStr">
        <is>
          <t>Pophams Bakery</t>
        </is>
      </c>
      <c r="F150" s="13" t="inlineStr">
        <is>
          <t>shop: bakery</t>
        </is>
      </c>
      <c r="G150" s="13" t="inlineStr">
        <is>
          <t>hello@pophamsbakery.com</t>
        </is>
      </c>
      <c r="H150" s="13" t="inlineStr">
        <is>
          <t>general</t>
        </is>
      </c>
      <c r="I150" s="13" t="n"/>
      <c r="J150" s="14" t="inlineStr">
        <is>
          <t>https://www.pophamsbakery.com/</t>
        </is>
      </c>
      <c r="K150" s="13" t="inlineStr">
        <is>
          <t>Richmond Road 197, London</t>
        </is>
      </c>
      <c r="L150" s="13" t="inlineStr">
        <is>
          <t>E8 3NJ</t>
        </is>
      </c>
      <c r="M150" s="13" t="inlineStr">
        <is>
          <t>Hackney</t>
        </is>
      </c>
      <c r="N150" s="13" t="n">
        <v>12</v>
      </c>
      <c r="O150" s="15">
        <f>IFERROR(INDEX(Venues!$C$2:$C$10,MATCH(M150,Venues!$A$2:$A$10,0)),"Not checked")</f>
        <v/>
      </c>
      <c r="P150" s="15">
        <f>IFERROR(INDEX(Venues!$D$2:$D$10,MATCH(M150,Venues!$A$2:$A$10,0)),0)</f>
        <v/>
      </c>
      <c r="Q150" s="42">
        <f>IFERROR(INDEX(Venues!$E$2:$E$10,MATCH(M150,Venues!$A$2:$A$10,0)),"")</f>
        <v/>
      </c>
      <c r="R150" s="15">
        <f>IF(P150&gt;0,"Yes","No")</f>
        <v/>
      </c>
      <c r="S150" s="13" t="inlineStr">
        <is>
          <t>Hackney</t>
        </is>
      </c>
      <c r="T150" s="42">
        <f>IFERROR(INDEX(Venues!$E$2:$E$10,MATCH(S150,Venues!$A$2:$A$10,0)),"")</f>
        <v/>
      </c>
      <c r="U150" s="15">
        <f>IFERROR(INDEX(Venues!$F$2:$F$10,MATCH(S150,Venues!$A$2:$A$10,0)),"")</f>
        <v/>
      </c>
      <c r="V150" s="43">
        <f>IFERROR(INDEX(Venues!$H$2:$H$10,MATCH(S150,Venues!$A$2:$A$10,0)),"")</f>
        <v/>
      </c>
      <c r="W150" s="15">
        <f>IF('Pilot offer'!$C$24="Yes",'Pilot offer'!$C$3,S150)</f>
        <v/>
      </c>
      <c r="X150" s="42">
        <f>IF('Pilot offer'!$C$24="Yes",'Pilot offer'!$C$5+'Pilot offer'!$C$6,T150)</f>
        <v/>
      </c>
      <c r="Y150" s="15">
        <f>IF('Pilot offer'!$C$24="Yes",'Pilot offer'!$C$8,U150)</f>
        <v/>
      </c>
      <c r="Z150" s="43">
        <f>IF('Pilot offer'!$C$24="Yes",'Pilot offer'!$C$11,"")</f>
        <v/>
      </c>
      <c r="AA150" s="15">
        <f>IF(X150="","",W150&amp;" · "&amp;TEXT(X150,"ddd d mmm, hh:mm")&amp;" · "&amp;Y150&amp;IF(Z150&lt;&gt;""," · £"&amp;TEXT(Z150,"0.00")&amp;" per player"," · price TBC (cost £"&amp;TEXT(V150,"0.00")&amp;" pp)"))</f>
        <v/>
      </c>
      <c r="AD150" s="44" t="n"/>
    </row>
    <row r="151">
      <c r="A151" s="13" t="n">
        <v>149</v>
      </c>
      <c r="B151" s="13" t="inlineStr">
        <is>
          <t>1 · E8 London Fields</t>
        </is>
      </c>
      <c r="C151" s="13" t="inlineStr">
        <is>
          <t>Hospitality</t>
        </is>
      </c>
      <c r="D151" s="13" t="inlineStr">
        <is>
          <t>Local businesses</t>
        </is>
      </c>
      <c r="E151" s="13" t="inlineStr">
        <is>
          <t>Pub on the Park</t>
        </is>
      </c>
      <c r="F151" s="13" t="inlineStr">
        <is>
          <t>amenity: pub</t>
        </is>
      </c>
      <c r="G151" s="13" t="inlineStr">
        <is>
          <t>info@pubonthepark.com</t>
        </is>
      </c>
      <c r="H151" s="13" t="inlineStr">
        <is>
          <t>general</t>
        </is>
      </c>
      <c r="I151" s="13" t="inlineStr">
        <is>
          <t>+44 20 7923 3398</t>
        </is>
      </c>
      <c r="J151" s="14" t="inlineStr">
        <is>
          <t>https://pubonthepark.com/</t>
        </is>
      </c>
      <c r="K151" s="13" t="inlineStr">
        <is>
          <t>Martello Street 19, London</t>
        </is>
      </c>
      <c r="L151" s="13" t="inlineStr">
        <is>
          <t>E8 3PE</t>
        </is>
      </c>
      <c r="M151" s="13" t="inlineStr">
        <is>
          <t>Hackney</t>
        </is>
      </c>
      <c r="N151" s="13" t="n">
        <v>15</v>
      </c>
      <c r="O151" s="15">
        <f>IFERROR(INDEX(Venues!$C$2:$C$10,MATCH(M151,Venues!$A$2:$A$10,0)),"Not checked")</f>
        <v/>
      </c>
      <c r="P151" s="15">
        <f>IFERROR(INDEX(Venues!$D$2:$D$10,MATCH(M151,Venues!$A$2:$A$10,0)),0)</f>
        <v/>
      </c>
      <c r="Q151" s="42">
        <f>IFERROR(INDEX(Venues!$E$2:$E$10,MATCH(M151,Venues!$A$2:$A$10,0)),"")</f>
        <v/>
      </c>
      <c r="R151" s="15">
        <f>IF(P151&gt;0,"Yes","No")</f>
        <v/>
      </c>
      <c r="S151" s="13" t="inlineStr">
        <is>
          <t>Hackney</t>
        </is>
      </c>
      <c r="T151" s="42">
        <f>IFERROR(INDEX(Venues!$E$2:$E$10,MATCH(S151,Venues!$A$2:$A$10,0)),"")</f>
        <v/>
      </c>
      <c r="U151" s="15">
        <f>IFERROR(INDEX(Venues!$F$2:$F$10,MATCH(S151,Venues!$A$2:$A$10,0)),"")</f>
        <v/>
      </c>
      <c r="V151" s="43">
        <f>IFERROR(INDEX(Venues!$H$2:$H$10,MATCH(S151,Venues!$A$2:$A$10,0)),"")</f>
        <v/>
      </c>
      <c r="W151" s="15">
        <f>IF('Pilot offer'!$C$24="Yes",'Pilot offer'!$C$3,S151)</f>
        <v/>
      </c>
      <c r="X151" s="42">
        <f>IF('Pilot offer'!$C$24="Yes",'Pilot offer'!$C$5+'Pilot offer'!$C$6,T151)</f>
        <v/>
      </c>
      <c r="Y151" s="15">
        <f>IF('Pilot offer'!$C$24="Yes",'Pilot offer'!$C$8,U151)</f>
        <v/>
      </c>
      <c r="Z151" s="43">
        <f>IF('Pilot offer'!$C$24="Yes",'Pilot offer'!$C$11,"")</f>
        <v/>
      </c>
      <c r="AA151" s="15">
        <f>IF(X151="","",W151&amp;" · "&amp;TEXT(X151,"ddd d mmm, hh:mm")&amp;" · "&amp;Y151&amp;IF(Z151&lt;&gt;""," · £"&amp;TEXT(Z151,"0.00")&amp;" per player"," · price TBC (cost £"&amp;TEXT(V151,"0.00")&amp;" pp)"))</f>
        <v/>
      </c>
      <c r="AD151" s="44" t="n"/>
    </row>
    <row r="152">
      <c r="A152" s="13" t="n">
        <v>150</v>
      </c>
      <c r="B152" s="13" t="inlineStr">
        <is>
          <t>1 · E8 London Fields</t>
        </is>
      </c>
      <c r="C152" s="13" t="inlineStr">
        <is>
          <t>Leisure &amp; culture</t>
        </is>
      </c>
      <c r="D152" s="13" t="inlineStr">
        <is>
          <t>Local businesses</t>
        </is>
      </c>
      <c r="E152" s="13" t="inlineStr">
        <is>
          <t>Hotpod Yoga</t>
        </is>
      </c>
      <c r="F152" s="13" t="inlineStr">
        <is>
          <t>leisure: fitness centre</t>
        </is>
      </c>
      <c r="G152" s="13" t="inlineStr">
        <is>
          <t>info@hotpodyoga.com</t>
        </is>
      </c>
      <c r="H152" s="13" t="inlineStr">
        <is>
          <t>general</t>
        </is>
      </c>
      <c r="I152" s="13" t="inlineStr">
        <is>
          <t>+44 7517 067008</t>
        </is>
      </c>
      <c r="J152" s="14" t="inlineStr">
        <is>
          <t>https://hotpodyoga.com/studios/hackney/</t>
        </is>
      </c>
      <c r="K152" s="13" t="inlineStr">
        <is>
          <t>Mentmore Terrace 406, London</t>
        </is>
      </c>
      <c r="L152" s="13" t="inlineStr">
        <is>
          <t>E8 3PH</t>
        </is>
      </c>
      <c r="M152" s="13" t="inlineStr">
        <is>
          <t>Hackney</t>
        </is>
      </c>
      <c r="N152" s="13" t="n">
        <v>14</v>
      </c>
      <c r="O152" s="15">
        <f>IFERROR(INDEX(Venues!$C$2:$C$10,MATCH(M152,Venues!$A$2:$A$10,0)),"Not checked")</f>
        <v/>
      </c>
      <c r="P152" s="15">
        <f>IFERROR(INDEX(Venues!$D$2:$D$10,MATCH(M152,Venues!$A$2:$A$10,0)),0)</f>
        <v/>
      </c>
      <c r="Q152" s="42">
        <f>IFERROR(INDEX(Venues!$E$2:$E$10,MATCH(M152,Venues!$A$2:$A$10,0)),"")</f>
        <v/>
      </c>
      <c r="R152" s="15">
        <f>IF(P152&gt;0,"Yes","No")</f>
        <v/>
      </c>
      <c r="S152" s="13" t="inlineStr">
        <is>
          <t>Hackney</t>
        </is>
      </c>
      <c r="T152" s="42">
        <f>IFERROR(INDEX(Venues!$E$2:$E$10,MATCH(S152,Venues!$A$2:$A$10,0)),"")</f>
        <v/>
      </c>
      <c r="U152" s="15">
        <f>IFERROR(INDEX(Venues!$F$2:$F$10,MATCH(S152,Venues!$A$2:$A$10,0)),"")</f>
        <v/>
      </c>
      <c r="V152" s="43">
        <f>IFERROR(INDEX(Venues!$H$2:$H$10,MATCH(S152,Venues!$A$2:$A$10,0)),"")</f>
        <v/>
      </c>
      <c r="W152" s="15">
        <f>IF('Pilot offer'!$C$24="Yes",'Pilot offer'!$C$3,S152)</f>
        <v/>
      </c>
      <c r="X152" s="42">
        <f>IF('Pilot offer'!$C$24="Yes",'Pilot offer'!$C$5+'Pilot offer'!$C$6,T152)</f>
        <v/>
      </c>
      <c r="Y152" s="15">
        <f>IF('Pilot offer'!$C$24="Yes",'Pilot offer'!$C$8,U152)</f>
        <v/>
      </c>
      <c r="Z152" s="43">
        <f>IF('Pilot offer'!$C$24="Yes",'Pilot offer'!$C$11,"")</f>
        <v/>
      </c>
      <c r="AA152" s="15">
        <f>IF(X152="","",W152&amp;" · "&amp;TEXT(X152,"ddd d mmm, hh:mm")&amp;" · "&amp;Y152&amp;IF(Z152&lt;&gt;""," · £"&amp;TEXT(Z152,"0.00")&amp;" per player"," · price TBC (cost £"&amp;TEXT(V152,"0.00")&amp;" pp)"))</f>
        <v/>
      </c>
      <c r="AD152" s="44" t="n"/>
    </row>
    <row r="153">
      <c r="A153" s="13" t="n">
        <v>151</v>
      </c>
      <c r="B153" s="13" t="inlineStr">
        <is>
          <t>1 · E8 London Fields</t>
        </is>
      </c>
      <c r="C153" s="13" t="inlineStr">
        <is>
          <t>Retail</t>
        </is>
      </c>
      <c r="D153" s="13" t="inlineStr">
        <is>
          <t>Local businesses</t>
        </is>
      </c>
      <c r="E153" s="13" t="inlineStr">
        <is>
          <t>The Fine Cider Company</t>
        </is>
      </c>
      <c r="F153" s="13" t="inlineStr">
        <is>
          <t>shop: alcohol</t>
        </is>
      </c>
      <c r="G153" s="13" t="inlineStr">
        <is>
          <t>info@thefinecider.company</t>
        </is>
      </c>
      <c r="H153" s="13" t="inlineStr">
        <is>
          <t>general</t>
        </is>
      </c>
      <c r="I153" s="13" t="inlineStr">
        <is>
          <t>+44 20 3336 7721</t>
        </is>
      </c>
      <c r="J153" s="14" t="inlineStr">
        <is>
          <t>https://thefinecider.company/</t>
        </is>
      </c>
      <c r="K153" s="13" t="inlineStr">
        <is>
          <t>Mentmore Terrace 399, London</t>
        </is>
      </c>
      <c r="L153" s="13" t="inlineStr">
        <is>
          <t>E8 3PH</t>
        </is>
      </c>
      <c r="M153" s="13" t="inlineStr">
        <is>
          <t>Hackney</t>
        </is>
      </c>
      <c r="N153" s="13" t="n">
        <v>15</v>
      </c>
      <c r="O153" s="15">
        <f>IFERROR(INDEX(Venues!$C$2:$C$10,MATCH(M153,Venues!$A$2:$A$10,0)),"Not checked")</f>
        <v/>
      </c>
      <c r="P153" s="15">
        <f>IFERROR(INDEX(Venues!$D$2:$D$10,MATCH(M153,Venues!$A$2:$A$10,0)),0)</f>
        <v/>
      </c>
      <c r="Q153" s="42">
        <f>IFERROR(INDEX(Venues!$E$2:$E$10,MATCH(M153,Venues!$A$2:$A$10,0)),"")</f>
        <v/>
      </c>
      <c r="R153" s="15">
        <f>IF(P153&gt;0,"Yes","No")</f>
        <v/>
      </c>
      <c r="S153" s="13" t="inlineStr">
        <is>
          <t>Hackney</t>
        </is>
      </c>
      <c r="T153" s="42">
        <f>IFERROR(INDEX(Venues!$E$2:$E$10,MATCH(S153,Venues!$A$2:$A$10,0)),"")</f>
        <v/>
      </c>
      <c r="U153" s="15">
        <f>IFERROR(INDEX(Venues!$F$2:$F$10,MATCH(S153,Venues!$A$2:$A$10,0)),"")</f>
        <v/>
      </c>
      <c r="V153" s="43">
        <f>IFERROR(INDEX(Venues!$H$2:$H$10,MATCH(S153,Venues!$A$2:$A$10,0)),"")</f>
        <v/>
      </c>
      <c r="W153" s="15">
        <f>IF('Pilot offer'!$C$24="Yes",'Pilot offer'!$C$3,S153)</f>
        <v/>
      </c>
      <c r="X153" s="42">
        <f>IF('Pilot offer'!$C$24="Yes",'Pilot offer'!$C$5+'Pilot offer'!$C$6,T153)</f>
        <v/>
      </c>
      <c r="Y153" s="15">
        <f>IF('Pilot offer'!$C$24="Yes",'Pilot offer'!$C$8,U153)</f>
        <v/>
      </c>
      <c r="Z153" s="43">
        <f>IF('Pilot offer'!$C$24="Yes",'Pilot offer'!$C$11,"")</f>
        <v/>
      </c>
      <c r="AA153" s="15">
        <f>IF(X153="","",W153&amp;" · "&amp;TEXT(X153,"ddd d mmm, hh:mm")&amp;" · "&amp;Y153&amp;IF(Z153&lt;&gt;""," · £"&amp;TEXT(Z153,"0.00")&amp;" per player"," · price TBC (cost £"&amp;TEXT(V153,"0.00")&amp;" pp)"))</f>
        <v/>
      </c>
      <c r="AD153" s="44" t="n"/>
    </row>
    <row r="154">
      <c r="A154" s="13" t="n">
        <v>152</v>
      </c>
      <c r="B154" s="13" t="inlineStr">
        <is>
          <t>1 · E8 London Fields</t>
        </is>
      </c>
      <c r="C154" s="13" t="inlineStr">
        <is>
          <t>Retail</t>
        </is>
      </c>
      <c r="D154" s="13" t="inlineStr">
        <is>
          <t>Local businesses</t>
        </is>
      </c>
      <c r="E154" s="13" t="inlineStr">
        <is>
          <t>Fast</t>
        </is>
      </c>
      <c r="F154" s="13" t="inlineStr">
        <is>
          <t>shop: car repair</t>
        </is>
      </c>
      <c r="G154" s="13" t="inlineStr">
        <is>
          <t>admin@fastmot.com</t>
        </is>
      </c>
      <c r="H154" s="13" t="inlineStr">
        <is>
          <t>general</t>
        </is>
      </c>
      <c r="I154" s="13" t="inlineStr">
        <is>
          <t>+44 20 8986 6040</t>
        </is>
      </c>
      <c r="J154" s="14" t="inlineStr">
        <is>
          <t>https://fastmot.com/</t>
        </is>
      </c>
      <c r="K154" s="13" t="inlineStr">
        <is>
          <t>Lamb Lane 2-6, London</t>
        </is>
      </c>
      <c r="L154" s="13" t="inlineStr">
        <is>
          <t>E8 3PL</t>
        </is>
      </c>
      <c r="M154" s="13" t="inlineStr">
        <is>
          <t>Hackney</t>
        </is>
      </c>
      <c r="N154" s="13" t="n">
        <v>16</v>
      </c>
      <c r="O154" s="15">
        <f>IFERROR(INDEX(Venues!$C$2:$C$10,MATCH(M154,Venues!$A$2:$A$10,0)),"Not checked")</f>
        <v/>
      </c>
      <c r="P154" s="15">
        <f>IFERROR(INDEX(Venues!$D$2:$D$10,MATCH(M154,Venues!$A$2:$A$10,0)),0)</f>
        <v/>
      </c>
      <c r="Q154" s="42">
        <f>IFERROR(INDEX(Venues!$E$2:$E$10,MATCH(M154,Venues!$A$2:$A$10,0)),"")</f>
        <v/>
      </c>
      <c r="R154" s="15">
        <f>IF(P154&gt;0,"Yes","No")</f>
        <v/>
      </c>
      <c r="S154" s="13" t="inlineStr">
        <is>
          <t>Hackney</t>
        </is>
      </c>
      <c r="T154" s="42">
        <f>IFERROR(INDEX(Venues!$E$2:$E$10,MATCH(S154,Venues!$A$2:$A$10,0)),"")</f>
        <v/>
      </c>
      <c r="U154" s="15">
        <f>IFERROR(INDEX(Venues!$F$2:$F$10,MATCH(S154,Venues!$A$2:$A$10,0)),"")</f>
        <v/>
      </c>
      <c r="V154" s="43">
        <f>IFERROR(INDEX(Venues!$H$2:$H$10,MATCH(S154,Venues!$A$2:$A$10,0)),"")</f>
        <v/>
      </c>
      <c r="W154" s="15">
        <f>IF('Pilot offer'!$C$24="Yes",'Pilot offer'!$C$3,S154)</f>
        <v/>
      </c>
      <c r="X154" s="42">
        <f>IF('Pilot offer'!$C$24="Yes",'Pilot offer'!$C$5+'Pilot offer'!$C$6,T154)</f>
        <v/>
      </c>
      <c r="Y154" s="15">
        <f>IF('Pilot offer'!$C$24="Yes",'Pilot offer'!$C$8,U154)</f>
        <v/>
      </c>
      <c r="Z154" s="43">
        <f>IF('Pilot offer'!$C$24="Yes",'Pilot offer'!$C$11,"")</f>
        <v/>
      </c>
      <c r="AA154" s="15">
        <f>IF(X154="","",W154&amp;" · "&amp;TEXT(X154,"ddd d mmm, hh:mm")&amp;" · "&amp;Y154&amp;IF(Z154&lt;&gt;""," · £"&amp;TEXT(Z154,"0.00")&amp;" per player"," · price TBC (cost £"&amp;TEXT(V154,"0.00")&amp;" pp)"))</f>
        <v/>
      </c>
      <c r="AD154" s="44" t="n"/>
    </row>
    <row r="155">
      <c r="A155" s="13" t="n">
        <v>153</v>
      </c>
      <c r="B155" s="13" t="inlineStr">
        <is>
          <t>1 · E8 London Fields</t>
        </is>
      </c>
      <c r="C155" s="13" t="inlineStr">
        <is>
          <t>Coworking / shared office</t>
        </is>
      </c>
      <c r="D155" s="13" t="inlineStr">
        <is>
          <t>Corporate</t>
        </is>
      </c>
      <c r="E155" s="13" t="inlineStr">
        <is>
          <t>London Fields Bottega Ltd</t>
        </is>
      </c>
      <c r="F155" s="13" t="inlineStr">
        <is>
          <t>coworking_space</t>
        </is>
      </c>
      <c r="G155" s="13" t="inlineStr">
        <is>
          <t>info@londonfieldsbottega.co.uk</t>
        </is>
      </c>
      <c r="H155" s="13" t="inlineStr">
        <is>
          <t>general</t>
        </is>
      </c>
      <c r="I155" s="13" t="inlineStr">
        <is>
          <t>+44 20 3011 2636</t>
        </is>
      </c>
      <c r="J155" s="14" t="inlineStr">
        <is>
          <t>https://www.londonfieldsbottega.co.uk/</t>
        </is>
      </c>
      <c r="K155" s="13" t="inlineStr">
        <is>
          <t>8 Lamb Ln, London E8 3PL, UK</t>
        </is>
      </c>
      <c r="L155" s="13" t="inlineStr">
        <is>
          <t>E8 3PL</t>
        </is>
      </c>
      <c r="M155" s="13" t="inlineStr">
        <is>
          <t>Hackney</t>
        </is>
      </c>
      <c r="N155" s="13" t="n">
        <v>16</v>
      </c>
      <c r="O155" s="15">
        <f>IFERROR(INDEX(Venues!$C$2:$C$10,MATCH(M155,Venues!$A$2:$A$10,0)),"Not checked")</f>
        <v/>
      </c>
      <c r="P155" s="15">
        <f>IFERROR(INDEX(Venues!$D$2:$D$10,MATCH(M155,Venues!$A$2:$A$10,0)),0)</f>
        <v/>
      </c>
      <c r="Q155" s="42">
        <f>IFERROR(INDEX(Venues!$E$2:$E$10,MATCH(M155,Venues!$A$2:$A$10,0)),"")</f>
        <v/>
      </c>
      <c r="R155" s="15">
        <f>IF(P155&gt;0,"Yes","No")</f>
        <v/>
      </c>
      <c r="S155" s="13" t="inlineStr">
        <is>
          <t>Hackney</t>
        </is>
      </c>
      <c r="T155" s="42">
        <f>IFERROR(INDEX(Venues!$E$2:$E$10,MATCH(S155,Venues!$A$2:$A$10,0)),"")</f>
        <v/>
      </c>
      <c r="U155" s="15">
        <f>IFERROR(INDEX(Venues!$F$2:$F$10,MATCH(S155,Venues!$A$2:$A$10,0)),"")</f>
        <v/>
      </c>
      <c r="V155" s="43">
        <f>IFERROR(INDEX(Venues!$H$2:$H$10,MATCH(S155,Venues!$A$2:$A$10,0)),"")</f>
        <v/>
      </c>
      <c r="W155" s="15">
        <f>IF('Pilot offer'!$C$24="Yes",'Pilot offer'!$C$3,S155)</f>
        <v/>
      </c>
      <c r="X155" s="42">
        <f>IF('Pilot offer'!$C$24="Yes",'Pilot offer'!$C$5+'Pilot offer'!$C$6,T155)</f>
        <v/>
      </c>
      <c r="Y155" s="15">
        <f>IF('Pilot offer'!$C$24="Yes",'Pilot offer'!$C$8,U155)</f>
        <v/>
      </c>
      <c r="Z155" s="43">
        <f>IF('Pilot offer'!$C$24="Yes",'Pilot offer'!$C$11,"")</f>
        <v/>
      </c>
      <c r="AA155" s="15">
        <f>IF(X155="","",W155&amp;" · "&amp;TEXT(X155,"ddd d mmm, hh:mm")&amp;" · "&amp;Y155&amp;IF(Z155&lt;&gt;""," · £"&amp;TEXT(Z155,"0.00")&amp;" per player"," · price TBC (cost £"&amp;TEXT(V155,"0.00")&amp;" pp)"))</f>
        <v/>
      </c>
      <c r="AD155" s="44" t="n"/>
    </row>
    <row r="156">
      <c r="A156" s="13" t="n">
        <v>154</v>
      </c>
      <c r="B156" s="13" t="inlineStr">
        <is>
          <t>1 · E8 London Fields</t>
        </is>
      </c>
      <c r="C156" s="13" t="inlineStr">
        <is>
          <t>Office &amp; professional</t>
        </is>
      </c>
      <c r="D156" s="13" t="inlineStr">
        <is>
          <t>Corporate</t>
        </is>
      </c>
      <c r="E156" s="13" t="inlineStr">
        <is>
          <t>Floom Creative</t>
        </is>
      </c>
      <c r="F156" s="13" t="inlineStr">
        <is>
          <t>consultant</t>
        </is>
      </c>
      <c r="G156" s="13" t="inlineStr">
        <is>
          <t>hello@floomcreative.co.uk</t>
        </is>
      </c>
      <c r="H156" s="13" t="inlineStr">
        <is>
          <t>general</t>
        </is>
      </c>
      <c r="I156" s="13" t="inlineStr">
        <is>
          <t>+44 7590 848895</t>
        </is>
      </c>
      <c r="J156" s="14" t="inlineStr">
        <is>
          <t>https://floomcreative.co.uk/</t>
        </is>
      </c>
      <c r="K156" s="13" t="inlineStr">
        <is>
          <t>1 Mentmore Terrace, London E8 3PN, UK</t>
        </is>
      </c>
      <c r="L156" s="13" t="inlineStr">
        <is>
          <t>E8 3PN</t>
        </is>
      </c>
      <c r="M156" s="13" t="inlineStr">
        <is>
          <t>Hackney</t>
        </is>
      </c>
      <c r="N156" s="13" t="n">
        <v>16</v>
      </c>
      <c r="O156" s="15">
        <f>IFERROR(INDEX(Venues!$C$2:$C$10,MATCH(M156,Venues!$A$2:$A$10,0)),"Not checked")</f>
        <v/>
      </c>
      <c r="P156" s="15">
        <f>IFERROR(INDEX(Venues!$D$2:$D$10,MATCH(M156,Venues!$A$2:$A$10,0)),0)</f>
        <v/>
      </c>
      <c r="Q156" s="42">
        <f>IFERROR(INDEX(Venues!$E$2:$E$10,MATCH(M156,Venues!$A$2:$A$10,0)),"")</f>
        <v/>
      </c>
      <c r="R156" s="15">
        <f>IF(P156&gt;0,"Yes","No")</f>
        <v/>
      </c>
      <c r="S156" s="13" t="inlineStr">
        <is>
          <t>Hackney</t>
        </is>
      </c>
      <c r="T156" s="42">
        <f>IFERROR(INDEX(Venues!$E$2:$E$10,MATCH(S156,Venues!$A$2:$A$10,0)),"")</f>
        <v/>
      </c>
      <c r="U156" s="15">
        <f>IFERROR(INDEX(Venues!$F$2:$F$10,MATCH(S156,Venues!$A$2:$A$10,0)),"")</f>
        <v/>
      </c>
      <c r="V156" s="43">
        <f>IFERROR(INDEX(Venues!$H$2:$H$10,MATCH(S156,Venues!$A$2:$A$10,0)),"")</f>
        <v/>
      </c>
      <c r="W156" s="15">
        <f>IF('Pilot offer'!$C$24="Yes",'Pilot offer'!$C$3,S156)</f>
        <v/>
      </c>
      <c r="X156" s="42">
        <f>IF('Pilot offer'!$C$24="Yes",'Pilot offer'!$C$5+'Pilot offer'!$C$6,T156)</f>
        <v/>
      </c>
      <c r="Y156" s="15">
        <f>IF('Pilot offer'!$C$24="Yes",'Pilot offer'!$C$8,U156)</f>
        <v/>
      </c>
      <c r="Z156" s="43">
        <f>IF('Pilot offer'!$C$24="Yes",'Pilot offer'!$C$11,"")</f>
        <v/>
      </c>
      <c r="AA156" s="15">
        <f>IF(X156="","",W156&amp;" · "&amp;TEXT(X156,"ddd d mmm, hh:mm")&amp;" · "&amp;Y156&amp;IF(Z156&lt;&gt;""," · £"&amp;TEXT(Z156,"0.00")&amp;" per player"," · price TBC (cost £"&amp;TEXT(V156,"0.00")&amp;" pp)"))</f>
        <v/>
      </c>
      <c r="AD156" s="44" t="n"/>
    </row>
    <row r="157">
      <c r="A157" s="13" t="n">
        <v>155</v>
      </c>
      <c r="B157" s="13" t="inlineStr">
        <is>
          <t>1 · E8 London Fields</t>
        </is>
      </c>
      <c r="C157" s="13" t="inlineStr">
        <is>
          <t>Retail</t>
        </is>
      </c>
      <c r="D157" s="13" t="inlineStr">
        <is>
          <t>Local businesses</t>
        </is>
      </c>
      <c r="E157" s="13" t="inlineStr">
        <is>
          <t>Brazilian Centre</t>
        </is>
      </c>
      <c r="F157" s="13" t="inlineStr">
        <is>
          <t>shop: convenience</t>
        </is>
      </c>
      <c r="G157" s="13" t="inlineStr">
        <is>
          <t>info@braziliancentre.co.uk</t>
        </is>
      </c>
      <c r="H157" s="13" t="inlineStr">
        <is>
          <t>general</t>
        </is>
      </c>
      <c r="I157" s="13" t="inlineStr">
        <is>
          <t>+44 330 053 6365</t>
        </is>
      </c>
      <c r="J157" s="14" t="inlineStr">
        <is>
          <t>https://www.braziliancentre.co.uk/</t>
        </is>
      </c>
      <c r="K157" s="13" t="inlineStr">
        <is>
          <t>Mare Street 223, London</t>
        </is>
      </c>
      <c r="L157" s="13" t="inlineStr">
        <is>
          <t>E8 3QE</t>
        </is>
      </c>
      <c r="M157" s="13" t="inlineStr">
        <is>
          <t>Hackney</t>
        </is>
      </c>
      <c r="N157" s="13" t="n">
        <v>13</v>
      </c>
      <c r="O157" s="15">
        <f>IFERROR(INDEX(Venues!$C$2:$C$10,MATCH(M157,Venues!$A$2:$A$10,0)),"Not checked")</f>
        <v/>
      </c>
      <c r="P157" s="15">
        <f>IFERROR(INDEX(Venues!$D$2:$D$10,MATCH(M157,Venues!$A$2:$A$10,0)),0)</f>
        <v/>
      </c>
      <c r="Q157" s="42">
        <f>IFERROR(INDEX(Venues!$E$2:$E$10,MATCH(M157,Venues!$A$2:$A$10,0)),"")</f>
        <v/>
      </c>
      <c r="R157" s="15">
        <f>IF(P157&gt;0,"Yes","No")</f>
        <v/>
      </c>
      <c r="S157" s="13" t="inlineStr">
        <is>
          <t>Hackney</t>
        </is>
      </c>
      <c r="T157" s="42">
        <f>IFERROR(INDEX(Venues!$E$2:$E$10,MATCH(S157,Venues!$A$2:$A$10,0)),"")</f>
        <v/>
      </c>
      <c r="U157" s="15">
        <f>IFERROR(INDEX(Venues!$F$2:$F$10,MATCH(S157,Venues!$A$2:$A$10,0)),"")</f>
        <v/>
      </c>
      <c r="V157" s="43">
        <f>IFERROR(INDEX(Venues!$H$2:$H$10,MATCH(S157,Venues!$A$2:$A$10,0)),"")</f>
        <v/>
      </c>
      <c r="W157" s="15">
        <f>IF('Pilot offer'!$C$24="Yes",'Pilot offer'!$C$3,S157)</f>
        <v/>
      </c>
      <c r="X157" s="42">
        <f>IF('Pilot offer'!$C$24="Yes",'Pilot offer'!$C$5+'Pilot offer'!$C$6,T157)</f>
        <v/>
      </c>
      <c r="Y157" s="15">
        <f>IF('Pilot offer'!$C$24="Yes",'Pilot offer'!$C$8,U157)</f>
        <v/>
      </c>
      <c r="Z157" s="43">
        <f>IF('Pilot offer'!$C$24="Yes",'Pilot offer'!$C$11,"")</f>
        <v/>
      </c>
      <c r="AA157" s="15">
        <f>IF(X157="","",W157&amp;" · "&amp;TEXT(X157,"ddd d mmm, hh:mm")&amp;" · "&amp;Y157&amp;IF(Z157&lt;&gt;""," · £"&amp;TEXT(Z157,"0.00")&amp;" per player"," · price TBC (cost £"&amp;TEXT(V157,"0.00")&amp;" pp)"))</f>
        <v/>
      </c>
      <c r="AD157" s="44" t="n"/>
    </row>
    <row r="158">
      <c r="A158" s="13" t="n">
        <v>156</v>
      </c>
      <c r="B158" s="13" t="inlineStr">
        <is>
          <t>1 · E8 London Fields</t>
        </is>
      </c>
      <c r="C158" s="13" t="inlineStr">
        <is>
          <t>Hospitality</t>
        </is>
      </c>
      <c r="D158" s="13" t="inlineStr">
        <is>
          <t>Local businesses</t>
        </is>
      </c>
      <c r="E158" s="13" t="inlineStr">
        <is>
          <t>Bronson's Burgers</t>
        </is>
      </c>
      <c r="F158" s="13" t="inlineStr">
        <is>
          <t>amenity: fast food</t>
        </is>
      </c>
      <c r="G158" s="13" t="inlineStr">
        <is>
          <t>info@bronsonsburgers.co.uk</t>
        </is>
      </c>
      <c r="H158" s="13" t="inlineStr">
        <is>
          <t>general</t>
        </is>
      </c>
      <c r="I158" s="13" t="n"/>
      <c r="J158" s="14" t="inlineStr">
        <is>
          <t>https://bronsonsburgers.co.uk/</t>
        </is>
      </c>
      <c r="K158" s="13" t="inlineStr">
        <is>
          <t>Mare Street 169, London</t>
        </is>
      </c>
      <c r="L158" s="13" t="inlineStr">
        <is>
          <t>E8 3RH</t>
        </is>
      </c>
      <c r="M158" s="13" t="inlineStr">
        <is>
          <t>Hackney</t>
        </is>
      </c>
      <c r="N158" s="13" t="n">
        <v>16</v>
      </c>
      <c r="O158" s="15">
        <f>IFERROR(INDEX(Venues!$C$2:$C$10,MATCH(M158,Venues!$A$2:$A$10,0)),"Not checked")</f>
        <v/>
      </c>
      <c r="P158" s="15">
        <f>IFERROR(INDEX(Venues!$D$2:$D$10,MATCH(M158,Venues!$A$2:$A$10,0)),0)</f>
        <v/>
      </c>
      <c r="Q158" s="42">
        <f>IFERROR(INDEX(Venues!$E$2:$E$10,MATCH(M158,Venues!$A$2:$A$10,0)),"")</f>
        <v/>
      </c>
      <c r="R158" s="15">
        <f>IF(P158&gt;0,"Yes","No")</f>
        <v/>
      </c>
      <c r="S158" s="13" t="inlineStr">
        <is>
          <t>Hackney</t>
        </is>
      </c>
      <c r="T158" s="42">
        <f>IFERROR(INDEX(Venues!$E$2:$E$10,MATCH(S158,Venues!$A$2:$A$10,0)),"")</f>
        <v/>
      </c>
      <c r="U158" s="15">
        <f>IFERROR(INDEX(Venues!$F$2:$F$10,MATCH(S158,Venues!$A$2:$A$10,0)),"")</f>
        <v/>
      </c>
      <c r="V158" s="43">
        <f>IFERROR(INDEX(Venues!$H$2:$H$10,MATCH(S158,Venues!$A$2:$A$10,0)),"")</f>
        <v/>
      </c>
      <c r="W158" s="15">
        <f>IF('Pilot offer'!$C$24="Yes",'Pilot offer'!$C$3,S158)</f>
        <v/>
      </c>
      <c r="X158" s="42">
        <f>IF('Pilot offer'!$C$24="Yes",'Pilot offer'!$C$5+'Pilot offer'!$C$6,T158)</f>
        <v/>
      </c>
      <c r="Y158" s="15">
        <f>IF('Pilot offer'!$C$24="Yes",'Pilot offer'!$C$8,U158)</f>
        <v/>
      </c>
      <c r="Z158" s="43">
        <f>IF('Pilot offer'!$C$24="Yes",'Pilot offer'!$C$11,"")</f>
        <v/>
      </c>
      <c r="AA158" s="15">
        <f>IF(X158="","",W158&amp;" · "&amp;TEXT(X158,"ddd d mmm, hh:mm")&amp;" · "&amp;Y158&amp;IF(Z158&lt;&gt;""," · £"&amp;TEXT(Z158,"0.00")&amp;" per player"," · price TBC (cost £"&amp;TEXT(V158,"0.00")&amp;" pp)"))</f>
        <v/>
      </c>
      <c r="AD158" s="44" t="n"/>
    </row>
    <row r="159">
      <c r="A159" s="13" t="n">
        <v>157</v>
      </c>
      <c r="B159" s="13" t="inlineStr">
        <is>
          <t>1 · E8 London Fields</t>
        </is>
      </c>
      <c r="C159" s="13" t="inlineStr">
        <is>
          <t>Hospitality</t>
        </is>
      </c>
      <c r="D159" s="13" t="inlineStr">
        <is>
          <t>Local businesses</t>
        </is>
      </c>
      <c r="E159" s="13" t="inlineStr">
        <is>
          <t>Easy 8</t>
        </is>
      </c>
      <c r="F159" s="13" t="inlineStr">
        <is>
          <t>amenity: bar</t>
        </is>
      </c>
      <c r="G159" s="13" t="inlineStr">
        <is>
          <t>hello@e-z-8.com</t>
        </is>
      </c>
      <c r="H159" s="13" t="inlineStr">
        <is>
          <t>general</t>
        </is>
      </c>
      <c r="I159" s="13" t="n"/>
      <c r="J159" s="14" t="inlineStr">
        <is>
          <t>https://www.e-z-8.com/</t>
        </is>
      </c>
      <c r="K159" s="13" t="inlineStr">
        <is>
          <t>Mare Street 159a, London</t>
        </is>
      </c>
      <c r="L159" s="13" t="inlineStr">
        <is>
          <t>E8 3RH</t>
        </is>
      </c>
      <c r="M159" s="13" t="inlineStr">
        <is>
          <t>Hackney</t>
        </is>
      </c>
      <c r="N159" s="13" t="n">
        <v>17</v>
      </c>
      <c r="O159" s="15">
        <f>IFERROR(INDEX(Venues!$C$2:$C$10,MATCH(M159,Venues!$A$2:$A$10,0)),"Not checked")</f>
        <v/>
      </c>
      <c r="P159" s="15">
        <f>IFERROR(INDEX(Venues!$D$2:$D$10,MATCH(M159,Venues!$A$2:$A$10,0)),0)</f>
        <v/>
      </c>
      <c r="Q159" s="42">
        <f>IFERROR(INDEX(Venues!$E$2:$E$10,MATCH(M159,Venues!$A$2:$A$10,0)),"")</f>
        <v/>
      </c>
      <c r="R159" s="15">
        <f>IF(P159&gt;0,"Yes","No")</f>
        <v/>
      </c>
      <c r="S159" s="13" t="inlineStr">
        <is>
          <t>Hackney</t>
        </is>
      </c>
      <c r="T159" s="42">
        <f>IFERROR(INDEX(Venues!$E$2:$E$10,MATCH(S159,Venues!$A$2:$A$10,0)),"")</f>
        <v/>
      </c>
      <c r="U159" s="15">
        <f>IFERROR(INDEX(Venues!$F$2:$F$10,MATCH(S159,Venues!$A$2:$A$10,0)),"")</f>
        <v/>
      </c>
      <c r="V159" s="43">
        <f>IFERROR(INDEX(Venues!$H$2:$H$10,MATCH(S159,Venues!$A$2:$A$10,0)),"")</f>
        <v/>
      </c>
      <c r="W159" s="15">
        <f>IF('Pilot offer'!$C$24="Yes",'Pilot offer'!$C$3,S159)</f>
        <v/>
      </c>
      <c r="X159" s="42">
        <f>IF('Pilot offer'!$C$24="Yes",'Pilot offer'!$C$5+'Pilot offer'!$C$6,T159)</f>
        <v/>
      </c>
      <c r="Y159" s="15">
        <f>IF('Pilot offer'!$C$24="Yes",'Pilot offer'!$C$8,U159)</f>
        <v/>
      </c>
      <c r="Z159" s="43">
        <f>IF('Pilot offer'!$C$24="Yes",'Pilot offer'!$C$11,"")</f>
        <v/>
      </c>
      <c r="AA159" s="15">
        <f>IF(X159="","",W159&amp;" · "&amp;TEXT(X159,"ddd d mmm, hh:mm")&amp;" · "&amp;Y159&amp;IF(Z159&lt;&gt;""," · £"&amp;TEXT(Z159,"0.00")&amp;" per player"," · price TBC (cost £"&amp;TEXT(V159,"0.00")&amp;" pp)"))</f>
        <v/>
      </c>
      <c r="AD159" s="44" t="n"/>
    </row>
    <row r="160">
      <c r="A160" s="13" t="n">
        <v>158</v>
      </c>
      <c r="B160" s="13" t="inlineStr">
        <is>
          <t>1 · E8 London Fields</t>
        </is>
      </c>
      <c r="C160" s="13" t="inlineStr">
        <is>
          <t>Retail</t>
        </is>
      </c>
      <c r="D160" s="13" t="inlineStr">
        <is>
          <t>Local businesses</t>
        </is>
      </c>
      <c r="E160" s="13" t="inlineStr">
        <is>
          <t>Secret Smokehouse</t>
        </is>
      </c>
      <c r="F160" s="13" t="inlineStr">
        <is>
          <t>shop: seafood</t>
        </is>
      </c>
      <c r="G160" s="13" t="inlineStr">
        <is>
          <t>orders@secretsmokehouse.co.uk</t>
        </is>
      </c>
      <c r="H160" s="13" t="inlineStr">
        <is>
          <t>commercial</t>
        </is>
      </c>
      <c r="I160" s="13" t="inlineStr">
        <is>
          <t>+44 7932 323386</t>
        </is>
      </c>
      <c r="J160" s="14" t="inlineStr">
        <is>
          <t>https://secretsmokehouse.co.uk/</t>
        </is>
      </c>
      <c r="K160" s="13" t="inlineStr">
        <is>
          <t>Mentmore Terrace, London</t>
        </is>
      </c>
      <c r="L160" s="13" t="inlineStr">
        <is>
          <t>E8 3RR</t>
        </is>
      </c>
      <c r="M160" s="13" t="inlineStr">
        <is>
          <t>Hackney</t>
        </is>
      </c>
      <c r="N160" s="13" t="n">
        <v>17</v>
      </c>
      <c r="O160" s="15">
        <f>IFERROR(INDEX(Venues!$C$2:$C$10,MATCH(M160,Venues!$A$2:$A$10,0)),"Not checked")</f>
        <v/>
      </c>
      <c r="P160" s="15">
        <f>IFERROR(INDEX(Venues!$D$2:$D$10,MATCH(M160,Venues!$A$2:$A$10,0)),0)</f>
        <v/>
      </c>
      <c r="Q160" s="42">
        <f>IFERROR(INDEX(Venues!$E$2:$E$10,MATCH(M160,Venues!$A$2:$A$10,0)),"")</f>
        <v/>
      </c>
      <c r="R160" s="15">
        <f>IF(P160&gt;0,"Yes","No")</f>
        <v/>
      </c>
      <c r="S160" s="13" t="inlineStr">
        <is>
          <t>Hackney</t>
        </is>
      </c>
      <c r="T160" s="42">
        <f>IFERROR(INDEX(Venues!$E$2:$E$10,MATCH(S160,Venues!$A$2:$A$10,0)),"")</f>
        <v/>
      </c>
      <c r="U160" s="15">
        <f>IFERROR(INDEX(Venues!$F$2:$F$10,MATCH(S160,Venues!$A$2:$A$10,0)),"")</f>
        <v/>
      </c>
      <c r="V160" s="43">
        <f>IFERROR(INDEX(Venues!$H$2:$H$10,MATCH(S160,Venues!$A$2:$A$10,0)),"")</f>
        <v/>
      </c>
      <c r="W160" s="15">
        <f>IF('Pilot offer'!$C$24="Yes",'Pilot offer'!$C$3,S160)</f>
        <v/>
      </c>
      <c r="X160" s="42">
        <f>IF('Pilot offer'!$C$24="Yes",'Pilot offer'!$C$5+'Pilot offer'!$C$6,T160)</f>
        <v/>
      </c>
      <c r="Y160" s="15">
        <f>IF('Pilot offer'!$C$24="Yes",'Pilot offer'!$C$8,U160)</f>
        <v/>
      </c>
      <c r="Z160" s="43">
        <f>IF('Pilot offer'!$C$24="Yes",'Pilot offer'!$C$11,"")</f>
        <v/>
      </c>
      <c r="AA160" s="15">
        <f>IF(X160="","",W160&amp;" · "&amp;TEXT(X160,"ddd d mmm, hh:mm")&amp;" · "&amp;Y160&amp;IF(Z160&lt;&gt;""," · £"&amp;TEXT(Z160,"0.00")&amp;" per player"," · price TBC (cost £"&amp;TEXT(V160,"0.00")&amp;" pp)"))</f>
        <v/>
      </c>
      <c r="AD160" s="44" t="n"/>
    </row>
    <row r="161">
      <c r="A161" s="13" t="n">
        <v>159</v>
      </c>
      <c r="B161" s="13" t="inlineStr">
        <is>
          <t>1 · E8 London Fields</t>
        </is>
      </c>
      <c r="C161" s="13" t="inlineStr">
        <is>
          <t>Leisure &amp; culture</t>
        </is>
      </c>
      <c r="D161" s="13" t="inlineStr">
        <is>
          <t>Local businesses</t>
        </is>
      </c>
      <c r="E161" s="13" t="inlineStr">
        <is>
          <t>Bloodline Gym</t>
        </is>
      </c>
      <c r="F161" s="13" t="inlineStr">
        <is>
          <t>leisure: fitness centre</t>
        </is>
      </c>
      <c r="G161" s="13" t="inlineStr">
        <is>
          <t>hello@bloodlinegym.com</t>
        </is>
      </c>
      <c r="H161" s="13" t="inlineStr">
        <is>
          <t>general</t>
        </is>
      </c>
      <c r="I161" s="13" t="inlineStr">
        <is>
          <t>+44 7736 645353</t>
        </is>
      </c>
      <c r="J161" s="14" t="inlineStr">
        <is>
          <t>https://www.bloodlinegym.com/</t>
        </is>
      </c>
      <c r="K161" s="13" t="inlineStr">
        <is>
          <t>Helmsley Place 9-15, London</t>
        </is>
      </c>
      <c r="L161" s="13" t="inlineStr">
        <is>
          <t>E8 3SB</t>
        </is>
      </c>
      <c r="M161" s="13" t="inlineStr">
        <is>
          <t>Hackney</t>
        </is>
      </c>
      <c r="N161" s="13" t="n">
        <v>18</v>
      </c>
      <c r="O161" s="15">
        <f>IFERROR(INDEX(Venues!$C$2:$C$10,MATCH(M161,Venues!$A$2:$A$10,0)),"Not checked")</f>
        <v/>
      </c>
      <c r="P161" s="15">
        <f>IFERROR(INDEX(Venues!$D$2:$D$10,MATCH(M161,Venues!$A$2:$A$10,0)),0)</f>
        <v/>
      </c>
      <c r="Q161" s="42">
        <f>IFERROR(INDEX(Venues!$E$2:$E$10,MATCH(M161,Venues!$A$2:$A$10,0)),"")</f>
        <v/>
      </c>
      <c r="R161" s="15">
        <f>IF(P161&gt;0,"Yes","No")</f>
        <v/>
      </c>
      <c r="S161" s="13" t="inlineStr">
        <is>
          <t>Hackney</t>
        </is>
      </c>
      <c r="T161" s="42">
        <f>IFERROR(INDEX(Venues!$E$2:$E$10,MATCH(S161,Venues!$A$2:$A$10,0)),"")</f>
        <v/>
      </c>
      <c r="U161" s="15">
        <f>IFERROR(INDEX(Venues!$F$2:$F$10,MATCH(S161,Venues!$A$2:$A$10,0)),"")</f>
        <v/>
      </c>
      <c r="V161" s="43">
        <f>IFERROR(INDEX(Venues!$H$2:$H$10,MATCH(S161,Venues!$A$2:$A$10,0)),"")</f>
        <v/>
      </c>
      <c r="W161" s="15">
        <f>IF('Pilot offer'!$C$24="Yes",'Pilot offer'!$C$3,S161)</f>
        <v/>
      </c>
      <c r="X161" s="42">
        <f>IF('Pilot offer'!$C$24="Yes",'Pilot offer'!$C$5+'Pilot offer'!$C$6,T161)</f>
        <v/>
      </c>
      <c r="Y161" s="15">
        <f>IF('Pilot offer'!$C$24="Yes",'Pilot offer'!$C$8,U161)</f>
        <v/>
      </c>
      <c r="Z161" s="43">
        <f>IF('Pilot offer'!$C$24="Yes",'Pilot offer'!$C$11,"")</f>
        <v/>
      </c>
      <c r="AA161" s="15">
        <f>IF(X161="","",W161&amp;" · "&amp;TEXT(X161,"ddd d mmm, hh:mm")&amp;" · "&amp;Y161&amp;IF(Z161&lt;&gt;""," · £"&amp;TEXT(Z161,"0.00")&amp;" per player"," · price TBC (cost £"&amp;TEXT(V161,"0.00")&amp;" pp)"))</f>
        <v/>
      </c>
      <c r="AD161" s="44" t="n"/>
    </row>
    <row r="162">
      <c r="A162" s="13" t="n">
        <v>160</v>
      </c>
      <c r="B162" s="13" t="inlineStr">
        <is>
          <t>1 · E8 London Fields</t>
        </is>
      </c>
      <c r="C162" s="13" t="inlineStr">
        <is>
          <t>Hospitality</t>
        </is>
      </c>
      <c r="D162" s="13" t="inlineStr">
        <is>
          <t>Local businesses</t>
        </is>
      </c>
      <c r="E162" s="13" t="inlineStr">
        <is>
          <t>21 Sid Tarot &amp; Coffee</t>
        </is>
      </c>
      <c r="F162" s="13" t="inlineStr">
        <is>
          <t>amenity: cafe</t>
        </is>
      </c>
      <c r="G162" s="13" t="inlineStr">
        <is>
          <t>hello@21sid.co.uk</t>
        </is>
      </c>
      <c r="H162" s="13" t="inlineStr">
        <is>
          <t>openstreetmap_tag</t>
        </is>
      </c>
      <c r="I162" s="13" t="n"/>
      <c r="J162" s="13" t="n"/>
      <c r="K162" s="13" t="inlineStr">
        <is>
          <t>Sidworth Street 21, London</t>
        </is>
      </c>
      <c r="L162" s="13" t="inlineStr">
        <is>
          <t>E8 3SD</t>
        </is>
      </c>
      <c r="M162" s="13" t="inlineStr">
        <is>
          <t>Hackney</t>
        </is>
      </c>
      <c r="N162" s="13" t="n">
        <v>18</v>
      </c>
      <c r="O162" s="15">
        <f>IFERROR(INDEX(Venues!$C$2:$C$10,MATCH(M162,Venues!$A$2:$A$10,0)),"Not checked")</f>
        <v/>
      </c>
      <c r="P162" s="15">
        <f>IFERROR(INDEX(Venues!$D$2:$D$10,MATCH(M162,Venues!$A$2:$A$10,0)),0)</f>
        <v/>
      </c>
      <c r="Q162" s="42">
        <f>IFERROR(INDEX(Venues!$E$2:$E$10,MATCH(M162,Venues!$A$2:$A$10,0)),"")</f>
        <v/>
      </c>
      <c r="R162" s="15">
        <f>IF(P162&gt;0,"Yes","No")</f>
        <v/>
      </c>
      <c r="S162" s="13" t="inlineStr">
        <is>
          <t>Hackney</t>
        </is>
      </c>
      <c r="T162" s="42">
        <f>IFERROR(INDEX(Venues!$E$2:$E$10,MATCH(S162,Venues!$A$2:$A$10,0)),"")</f>
        <v/>
      </c>
      <c r="U162" s="15">
        <f>IFERROR(INDEX(Venues!$F$2:$F$10,MATCH(S162,Venues!$A$2:$A$10,0)),"")</f>
        <v/>
      </c>
      <c r="V162" s="43">
        <f>IFERROR(INDEX(Venues!$H$2:$H$10,MATCH(S162,Venues!$A$2:$A$10,0)),"")</f>
        <v/>
      </c>
      <c r="W162" s="15">
        <f>IF('Pilot offer'!$C$24="Yes",'Pilot offer'!$C$3,S162)</f>
        <v/>
      </c>
      <c r="X162" s="42">
        <f>IF('Pilot offer'!$C$24="Yes",'Pilot offer'!$C$5+'Pilot offer'!$C$6,T162)</f>
        <v/>
      </c>
      <c r="Y162" s="15">
        <f>IF('Pilot offer'!$C$24="Yes",'Pilot offer'!$C$8,U162)</f>
        <v/>
      </c>
      <c r="Z162" s="43">
        <f>IF('Pilot offer'!$C$24="Yes",'Pilot offer'!$C$11,"")</f>
        <v/>
      </c>
      <c r="AA162" s="15">
        <f>IF(X162="","",W162&amp;" · "&amp;TEXT(X162,"ddd d mmm, hh:mm")&amp;" · "&amp;Y162&amp;IF(Z162&lt;&gt;""," · £"&amp;TEXT(Z162,"0.00")&amp;" per player"," · price TBC (cost £"&amp;TEXT(V162,"0.00")&amp;" pp)"))</f>
        <v/>
      </c>
      <c r="AD162" s="44" t="n"/>
    </row>
    <row r="163">
      <c r="A163" s="13" t="n">
        <v>161</v>
      </c>
      <c r="B163" s="13" t="inlineStr">
        <is>
          <t>1 · E8 London Fields</t>
        </is>
      </c>
      <c r="C163" s="13" t="inlineStr">
        <is>
          <t>Hospitality</t>
        </is>
      </c>
      <c r="D163" s="13" t="inlineStr">
        <is>
          <t>Local businesses</t>
        </is>
      </c>
      <c r="E163" s="13" t="inlineStr">
        <is>
          <t>Facing Heaven</t>
        </is>
      </c>
      <c r="F163" s="13" t="inlineStr">
        <is>
          <t>amenity: restaurant</t>
        </is>
      </c>
      <c r="G163" s="13" t="inlineStr">
        <is>
          <t>hello@facing-heaven.com</t>
        </is>
      </c>
      <c r="H163" s="13" t="inlineStr">
        <is>
          <t>general</t>
        </is>
      </c>
      <c r="I163" s="13" t="n"/>
      <c r="J163" s="14" t="inlineStr">
        <is>
          <t>https://www.facing-heaven.com/</t>
        </is>
      </c>
      <c r="K163" s="13" t="inlineStr">
        <is>
          <t>Bayford Street 1A, London</t>
        </is>
      </c>
      <c r="L163" s="13" t="inlineStr">
        <is>
          <t>E8 3SE</t>
        </is>
      </c>
      <c r="M163" s="13" t="inlineStr">
        <is>
          <t>Hackney</t>
        </is>
      </c>
      <c r="N163" s="13" t="n">
        <v>17</v>
      </c>
      <c r="O163" s="15">
        <f>IFERROR(INDEX(Venues!$C$2:$C$10,MATCH(M163,Venues!$A$2:$A$10,0)),"Not checked")</f>
        <v/>
      </c>
      <c r="P163" s="15">
        <f>IFERROR(INDEX(Venues!$D$2:$D$10,MATCH(M163,Venues!$A$2:$A$10,0)),0)</f>
        <v/>
      </c>
      <c r="Q163" s="42">
        <f>IFERROR(INDEX(Venues!$E$2:$E$10,MATCH(M163,Venues!$A$2:$A$10,0)),"")</f>
        <v/>
      </c>
      <c r="R163" s="15">
        <f>IF(P163&gt;0,"Yes","No")</f>
        <v/>
      </c>
      <c r="S163" s="13" t="inlineStr">
        <is>
          <t>Hackney</t>
        </is>
      </c>
      <c r="T163" s="42">
        <f>IFERROR(INDEX(Venues!$E$2:$E$10,MATCH(S163,Venues!$A$2:$A$10,0)),"")</f>
        <v/>
      </c>
      <c r="U163" s="15">
        <f>IFERROR(INDEX(Venues!$F$2:$F$10,MATCH(S163,Venues!$A$2:$A$10,0)),"")</f>
        <v/>
      </c>
      <c r="V163" s="43">
        <f>IFERROR(INDEX(Venues!$H$2:$H$10,MATCH(S163,Venues!$A$2:$A$10,0)),"")</f>
        <v/>
      </c>
      <c r="W163" s="15">
        <f>IF('Pilot offer'!$C$24="Yes",'Pilot offer'!$C$3,S163)</f>
        <v/>
      </c>
      <c r="X163" s="42">
        <f>IF('Pilot offer'!$C$24="Yes",'Pilot offer'!$C$5+'Pilot offer'!$C$6,T163)</f>
        <v/>
      </c>
      <c r="Y163" s="15">
        <f>IF('Pilot offer'!$C$24="Yes",'Pilot offer'!$C$8,U163)</f>
        <v/>
      </c>
      <c r="Z163" s="43">
        <f>IF('Pilot offer'!$C$24="Yes",'Pilot offer'!$C$11,"")</f>
        <v/>
      </c>
      <c r="AA163" s="15">
        <f>IF(X163="","",W163&amp;" · "&amp;TEXT(X163,"ddd d mmm, hh:mm")&amp;" · "&amp;Y163&amp;IF(Z163&lt;&gt;""," · £"&amp;TEXT(Z163,"0.00")&amp;" per player"," · price TBC (cost £"&amp;TEXT(V163,"0.00")&amp;" pp)"))</f>
        <v/>
      </c>
      <c r="AD163" s="44" t="n"/>
    </row>
    <row r="164">
      <c r="A164" s="13" t="n">
        <v>162</v>
      </c>
      <c r="B164" s="13" t="inlineStr">
        <is>
          <t>1 · E8 London Fields</t>
        </is>
      </c>
      <c r="C164" s="13" t="inlineStr">
        <is>
          <t>Leisure &amp; culture</t>
        </is>
      </c>
      <c r="D164" s="13" t="inlineStr">
        <is>
          <t>Local businesses</t>
        </is>
      </c>
      <c r="E164" s="13" t="inlineStr">
        <is>
          <t>Urban Escrima</t>
        </is>
      </c>
      <c r="F164" s="13" t="inlineStr">
        <is>
          <t>amenity: dojo</t>
        </is>
      </c>
      <c r="G164" s="13" t="inlineStr">
        <is>
          <t>info@urbanescrima.com</t>
        </is>
      </c>
      <c r="H164" s="13" t="inlineStr">
        <is>
          <t>openstreetmap_tag</t>
        </is>
      </c>
      <c r="I164" s="13" t="n"/>
      <c r="J164" s="13" t="n"/>
      <c r="K164" s="13" t="inlineStr">
        <is>
          <t>Bayford Street, London</t>
        </is>
      </c>
      <c r="L164" s="13" t="inlineStr">
        <is>
          <t>E8 3SE</t>
        </is>
      </c>
      <c r="M164" s="13" t="inlineStr">
        <is>
          <t>Hackney</t>
        </is>
      </c>
      <c r="N164" s="13" t="n">
        <v>17</v>
      </c>
      <c r="O164" s="15">
        <f>IFERROR(INDEX(Venues!$C$2:$C$10,MATCH(M164,Venues!$A$2:$A$10,0)),"Not checked")</f>
        <v/>
      </c>
      <c r="P164" s="15">
        <f>IFERROR(INDEX(Venues!$D$2:$D$10,MATCH(M164,Venues!$A$2:$A$10,0)),0)</f>
        <v/>
      </c>
      <c r="Q164" s="42">
        <f>IFERROR(INDEX(Venues!$E$2:$E$10,MATCH(M164,Venues!$A$2:$A$10,0)),"")</f>
        <v/>
      </c>
      <c r="R164" s="15">
        <f>IF(P164&gt;0,"Yes","No")</f>
        <v/>
      </c>
      <c r="S164" s="13" t="inlineStr">
        <is>
          <t>Hackney</t>
        </is>
      </c>
      <c r="T164" s="42">
        <f>IFERROR(INDEX(Venues!$E$2:$E$10,MATCH(S164,Venues!$A$2:$A$10,0)),"")</f>
        <v/>
      </c>
      <c r="U164" s="15">
        <f>IFERROR(INDEX(Venues!$F$2:$F$10,MATCH(S164,Venues!$A$2:$A$10,0)),"")</f>
        <v/>
      </c>
      <c r="V164" s="43">
        <f>IFERROR(INDEX(Venues!$H$2:$H$10,MATCH(S164,Venues!$A$2:$A$10,0)),"")</f>
        <v/>
      </c>
      <c r="W164" s="15">
        <f>IF('Pilot offer'!$C$24="Yes",'Pilot offer'!$C$3,S164)</f>
        <v/>
      </c>
      <c r="X164" s="42">
        <f>IF('Pilot offer'!$C$24="Yes",'Pilot offer'!$C$5+'Pilot offer'!$C$6,T164)</f>
        <v/>
      </c>
      <c r="Y164" s="15">
        <f>IF('Pilot offer'!$C$24="Yes",'Pilot offer'!$C$8,U164)</f>
        <v/>
      </c>
      <c r="Z164" s="43">
        <f>IF('Pilot offer'!$C$24="Yes",'Pilot offer'!$C$11,"")</f>
        <v/>
      </c>
      <c r="AA164" s="15">
        <f>IF(X164="","",W164&amp;" · "&amp;TEXT(X164,"ddd d mmm, hh:mm")&amp;" · "&amp;Y164&amp;IF(Z164&lt;&gt;""," · £"&amp;TEXT(Z164,"0.00")&amp;" per player"," · price TBC (cost £"&amp;TEXT(V164,"0.00")&amp;" pp)"))</f>
        <v/>
      </c>
      <c r="AD164" s="44" t="n"/>
    </row>
    <row r="165">
      <c r="A165" s="13" t="n">
        <v>163</v>
      </c>
      <c r="B165" s="13" t="inlineStr">
        <is>
          <t>1 · E8 London Fields</t>
        </is>
      </c>
      <c r="C165" s="13" t="inlineStr">
        <is>
          <t>Hospitality</t>
        </is>
      </c>
      <c r="D165" s="13" t="inlineStr">
        <is>
          <t>Local businesses</t>
        </is>
      </c>
      <c r="E165" s="13" t="inlineStr">
        <is>
          <t>"mu"</t>
        </is>
      </c>
      <c r="F165" s="13" t="inlineStr">
        <is>
          <t>amenity: restaurant</t>
        </is>
      </c>
      <c r="G165" s="13" t="inlineStr">
        <is>
          <t>info@mu-ldn.com</t>
        </is>
      </c>
      <c r="H165" s="13" t="inlineStr">
        <is>
          <t>general</t>
        </is>
      </c>
      <c r="I165" s="13" t="n"/>
      <c r="J165" s="14" t="inlineStr">
        <is>
          <t>https://mu-ldn.com/</t>
        </is>
      </c>
      <c r="K165" s="13" t="inlineStr">
        <is>
          <t>Kingsland Road 432-434, London</t>
        </is>
      </c>
      <c r="L165" s="13" t="inlineStr">
        <is>
          <t>E8 4AA</t>
        </is>
      </c>
      <c r="M165" s="13" t="inlineStr">
        <is>
          <t>Rosemary Gardens 3G - Islington</t>
        </is>
      </c>
      <c r="N165" s="13" t="n">
        <v>14</v>
      </c>
      <c r="O165" s="15">
        <f>IFERROR(INDEX(Venues!$C$2:$C$10,MATCH(M165,Venues!$A$2:$A$10,0)),"Not checked")</f>
        <v/>
      </c>
      <c r="P165" s="15">
        <f>IFERROR(INDEX(Venues!$D$2:$D$10,MATCH(M165,Venues!$A$2:$A$10,0)),0)</f>
        <v/>
      </c>
      <c r="Q165" s="42">
        <f>IFERROR(INDEX(Venues!$E$2:$E$10,MATCH(M165,Venues!$A$2:$A$10,0)),"")</f>
        <v/>
      </c>
      <c r="R165" s="15">
        <f>IF(P165&gt;0,"Yes","No")</f>
        <v/>
      </c>
      <c r="S165" s="13" t="inlineStr">
        <is>
          <t>COLA Shoreditch Park</t>
        </is>
      </c>
      <c r="T165" s="42">
        <f>IFERROR(INDEX(Venues!$E$2:$E$10,MATCH(S165,Venues!$A$2:$A$10,0)),"")</f>
        <v/>
      </c>
      <c r="U165" s="15">
        <f>IFERROR(INDEX(Venues!$F$2:$F$10,MATCH(S165,Venues!$A$2:$A$10,0)),"")</f>
        <v/>
      </c>
      <c r="V165" s="43">
        <f>IFERROR(INDEX(Venues!$H$2:$H$10,MATCH(S165,Venues!$A$2:$A$10,0)),"")</f>
        <v/>
      </c>
      <c r="W165" s="15">
        <f>IF('Pilot offer'!$C$24="Yes",'Pilot offer'!$C$3,S165)</f>
        <v/>
      </c>
      <c r="X165" s="42">
        <f>IF('Pilot offer'!$C$24="Yes",'Pilot offer'!$C$5+'Pilot offer'!$C$6,T165)</f>
        <v/>
      </c>
      <c r="Y165" s="15">
        <f>IF('Pilot offer'!$C$24="Yes",'Pilot offer'!$C$8,U165)</f>
        <v/>
      </c>
      <c r="Z165" s="43">
        <f>IF('Pilot offer'!$C$24="Yes",'Pilot offer'!$C$11,"")</f>
        <v/>
      </c>
      <c r="AA165" s="15">
        <f>IF(X165="","",W165&amp;" · "&amp;TEXT(X165,"ddd d mmm, hh:mm")&amp;" · "&amp;Y165&amp;IF(Z165&lt;&gt;""," · £"&amp;TEXT(Z165,"0.00")&amp;" per player"," · price TBC (cost £"&amp;TEXT(V165,"0.00")&amp;" pp)"))</f>
        <v/>
      </c>
      <c r="AD165" s="44" t="n"/>
    </row>
    <row r="166">
      <c r="A166" s="13" t="n">
        <v>164</v>
      </c>
      <c r="B166" s="13" t="inlineStr">
        <is>
          <t>1 · E8 London Fields</t>
        </is>
      </c>
      <c r="C166" s="13" t="inlineStr">
        <is>
          <t>Retail</t>
        </is>
      </c>
      <c r="D166" s="13" t="inlineStr">
        <is>
          <t>Local businesses</t>
        </is>
      </c>
      <c r="E166" s="13" t="inlineStr">
        <is>
          <t>Burley Fisher Books</t>
        </is>
      </c>
      <c r="F166" s="13" t="inlineStr">
        <is>
          <t>shop: books</t>
        </is>
      </c>
      <c r="G166" s="13" t="inlineStr">
        <is>
          <t>shop@burleyfisherbooks.com</t>
        </is>
      </c>
      <c r="H166" s="13" t="inlineStr">
        <is>
          <t>openstreetmap_tag</t>
        </is>
      </c>
      <c r="I166" s="13" t="inlineStr">
        <is>
          <t>+44 20 7249 2263</t>
        </is>
      </c>
      <c r="J166" s="14" t="inlineStr">
        <is>
          <t>https://burleyfisherbooks.com/</t>
        </is>
      </c>
      <c r="K166" s="13" t="inlineStr">
        <is>
          <t>Kingsland Road 400, London</t>
        </is>
      </c>
      <c r="L166" s="13" t="inlineStr">
        <is>
          <t>E8 4AA</t>
        </is>
      </c>
      <c r="M166" s="13" t="inlineStr">
        <is>
          <t>COLA Shoreditch Park</t>
        </is>
      </c>
      <c r="N166" s="13" t="n">
        <v>13</v>
      </c>
      <c r="O166" s="15">
        <f>IFERROR(INDEX(Venues!$C$2:$C$10,MATCH(M166,Venues!$A$2:$A$10,0)),"Not checked")</f>
        <v/>
      </c>
      <c r="P166" s="15">
        <f>IFERROR(INDEX(Venues!$D$2:$D$10,MATCH(M166,Venues!$A$2:$A$10,0)),0)</f>
        <v/>
      </c>
      <c r="Q166" s="42">
        <f>IFERROR(INDEX(Venues!$E$2:$E$10,MATCH(M166,Venues!$A$2:$A$10,0)),"")</f>
        <v/>
      </c>
      <c r="R166" s="15">
        <f>IF(P166&gt;0,"Yes","No")</f>
        <v/>
      </c>
      <c r="S166" s="13" t="inlineStr">
        <is>
          <t>COLA Shoreditch Park</t>
        </is>
      </c>
      <c r="T166" s="42">
        <f>IFERROR(INDEX(Venues!$E$2:$E$10,MATCH(S166,Venues!$A$2:$A$10,0)),"")</f>
        <v/>
      </c>
      <c r="U166" s="15">
        <f>IFERROR(INDEX(Venues!$F$2:$F$10,MATCH(S166,Venues!$A$2:$A$10,0)),"")</f>
        <v/>
      </c>
      <c r="V166" s="43">
        <f>IFERROR(INDEX(Venues!$H$2:$H$10,MATCH(S166,Venues!$A$2:$A$10,0)),"")</f>
        <v/>
      </c>
      <c r="W166" s="15">
        <f>IF('Pilot offer'!$C$24="Yes",'Pilot offer'!$C$3,S166)</f>
        <v/>
      </c>
      <c r="X166" s="42">
        <f>IF('Pilot offer'!$C$24="Yes",'Pilot offer'!$C$5+'Pilot offer'!$C$6,T166)</f>
        <v/>
      </c>
      <c r="Y166" s="15">
        <f>IF('Pilot offer'!$C$24="Yes",'Pilot offer'!$C$8,U166)</f>
        <v/>
      </c>
      <c r="Z166" s="43">
        <f>IF('Pilot offer'!$C$24="Yes",'Pilot offer'!$C$11,"")</f>
        <v/>
      </c>
      <c r="AA166" s="15">
        <f>IF(X166="","",W166&amp;" · "&amp;TEXT(X166,"ddd d mmm, hh:mm")&amp;" · "&amp;Y166&amp;IF(Z166&lt;&gt;""," · £"&amp;TEXT(Z166,"0.00")&amp;" per player"," · price TBC (cost £"&amp;TEXT(V166,"0.00")&amp;" pp)"))</f>
        <v/>
      </c>
      <c r="AD166" s="44" t="n"/>
    </row>
    <row r="167">
      <c r="A167" s="13" t="n">
        <v>165</v>
      </c>
      <c r="B167" s="13" t="inlineStr">
        <is>
          <t>1 · E8 London Fields</t>
        </is>
      </c>
      <c r="C167" s="13" t="inlineStr">
        <is>
          <t>Hospitality</t>
        </is>
      </c>
      <c r="D167" s="13" t="inlineStr">
        <is>
          <t>Local businesses</t>
        </is>
      </c>
      <c r="E167" s="13" t="inlineStr">
        <is>
          <t>Ellie's</t>
        </is>
      </c>
      <c r="F167" s="13" t="inlineStr">
        <is>
          <t>amenity: bar</t>
        </is>
      </c>
      <c r="G167" s="13" t="inlineStr">
        <is>
          <t>hi@elliesbar.com</t>
        </is>
      </c>
      <c r="H167" s="13" t="inlineStr">
        <is>
          <t>openstreetmap_tag</t>
        </is>
      </c>
      <c r="I167" s="13" t="n"/>
      <c r="J167" s="13" t="n"/>
      <c r="K167" s="13" t="inlineStr">
        <is>
          <t>Kingsland Road 428, London</t>
        </is>
      </c>
      <c r="L167" s="13" t="inlineStr">
        <is>
          <t>E8 4AA</t>
        </is>
      </c>
      <c r="M167" s="13" t="inlineStr">
        <is>
          <t>Rosemary Gardens 3G - Islington</t>
        </is>
      </c>
      <c r="N167" s="13" t="n">
        <v>14</v>
      </c>
      <c r="O167" s="15">
        <f>IFERROR(INDEX(Venues!$C$2:$C$10,MATCH(M167,Venues!$A$2:$A$10,0)),"Not checked")</f>
        <v/>
      </c>
      <c r="P167" s="15">
        <f>IFERROR(INDEX(Venues!$D$2:$D$10,MATCH(M167,Venues!$A$2:$A$10,0)),0)</f>
        <v/>
      </c>
      <c r="Q167" s="42">
        <f>IFERROR(INDEX(Venues!$E$2:$E$10,MATCH(M167,Venues!$A$2:$A$10,0)),"")</f>
        <v/>
      </c>
      <c r="R167" s="15">
        <f>IF(P167&gt;0,"Yes","No")</f>
        <v/>
      </c>
      <c r="S167" s="13" t="inlineStr">
        <is>
          <t>COLA Shoreditch Park</t>
        </is>
      </c>
      <c r="T167" s="42">
        <f>IFERROR(INDEX(Venues!$E$2:$E$10,MATCH(S167,Venues!$A$2:$A$10,0)),"")</f>
        <v/>
      </c>
      <c r="U167" s="15">
        <f>IFERROR(INDEX(Venues!$F$2:$F$10,MATCH(S167,Venues!$A$2:$A$10,0)),"")</f>
        <v/>
      </c>
      <c r="V167" s="43">
        <f>IFERROR(INDEX(Venues!$H$2:$H$10,MATCH(S167,Venues!$A$2:$A$10,0)),"")</f>
        <v/>
      </c>
      <c r="W167" s="15">
        <f>IF('Pilot offer'!$C$24="Yes",'Pilot offer'!$C$3,S167)</f>
        <v/>
      </c>
      <c r="X167" s="42">
        <f>IF('Pilot offer'!$C$24="Yes",'Pilot offer'!$C$5+'Pilot offer'!$C$6,T167)</f>
        <v/>
      </c>
      <c r="Y167" s="15">
        <f>IF('Pilot offer'!$C$24="Yes",'Pilot offer'!$C$8,U167)</f>
        <v/>
      </c>
      <c r="Z167" s="43">
        <f>IF('Pilot offer'!$C$24="Yes",'Pilot offer'!$C$11,"")</f>
        <v/>
      </c>
      <c r="AA167" s="15">
        <f>IF(X167="","",W167&amp;" · "&amp;TEXT(X167,"ddd d mmm, hh:mm")&amp;" · "&amp;Y167&amp;IF(Z167&lt;&gt;""," · £"&amp;TEXT(Z167,"0.00")&amp;" per player"," · price TBC (cost £"&amp;TEXT(V167,"0.00")&amp;" pp)"))</f>
        <v/>
      </c>
      <c r="AD167" s="44" t="n"/>
    </row>
    <row r="168">
      <c r="A168" s="13" t="n">
        <v>166</v>
      </c>
      <c r="B168" s="13" t="inlineStr">
        <is>
          <t>1 · E8 London Fields</t>
        </is>
      </c>
      <c r="C168" s="13" t="inlineStr">
        <is>
          <t>Hospitality</t>
        </is>
      </c>
      <c r="D168" s="13" t="inlineStr">
        <is>
          <t>Local businesses</t>
        </is>
      </c>
      <c r="E168" s="13" t="inlineStr">
        <is>
          <t>Faulkners</t>
        </is>
      </c>
      <c r="F168" s="13" t="inlineStr">
        <is>
          <t>amenity: restaurant</t>
        </is>
      </c>
      <c r="G168" s="13" t="inlineStr">
        <is>
          <t>info@faulknersfishandchips.co.uk</t>
        </is>
      </c>
      <c r="H168" s="13" t="inlineStr">
        <is>
          <t>general</t>
        </is>
      </c>
      <c r="I168" s="13" t="inlineStr">
        <is>
          <t>+44 20 7502 1080</t>
        </is>
      </c>
      <c r="J168" s="14" t="inlineStr">
        <is>
          <t>https://www.faulknersfishandchips.co.uk/</t>
        </is>
      </c>
      <c r="K168" s="13" t="inlineStr">
        <is>
          <t>Kingsland Road 424,426, London</t>
        </is>
      </c>
      <c r="L168" s="13" t="inlineStr">
        <is>
          <t>E8 4AA</t>
        </is>
      </c>
      <c r="M168" s="13" t="inlineStr">
        <is>
          <t>Rosemary Gardens 3G - Islington</t>
        </is>
      </c>
      <c r="N168" s="13" t="n">
        <v>14</v>
      </c>
      <c r="O168" s="15">
        <f>IFERROR(INDEX(Venues!$C$2:$C$10,MATCH(M168,Venues!$A$2:$A$10,0)),"Not checked")</f>
        <v/>
      </c>
      <c r="P168" s="15">
        <f>IFERROR(INDEX(Venues!$D$2:$D$10,MATCH(M168,Venues!$A$2:$A$10,0)),0)</f>
        <v/>
      </c>
      <c r="Q168" s="42">
        <f>IFERROR(INDEX(Venues!$E$2:$E$10,MATCH(M168,Venues!$A$2:$A$10,0)),"")</f>
        <v/>
      </c>
      <c r="R168" s="15">
        <f>IF(P168&gt;0,"Yes","No")</f>
        <v/>
      </c>
      <c r="S168" s="13" t="inlineStr">
        <is>
          <t>COLA Shoreditch Park</t>
        </is>
      </c>
      <c r="T168" s="42">
        <f>IFERROR(INDEX(Venues!$E$2:$E$10,MATCH(S168,Venues!$A$2:$A$10,0)),"")</f>
        <v/>
      </c>
      <c r="U168" s="15">
        <f>IFERROR(INDEX(Venues!$F$2:$F$10,MATCH(S168,Venues!$A$2:$A$10,0)),"")</f>
        <v/>
      </c>
      <c r="V168" s="43">
        <f>IFERROR(INDEX(Venues!$H$2:$H$10,MATCH(S168,Venues!$A$2:$A$10,0)),"")</f>
        <v/>
      </c>
      <c r="W168" s="15">
        <f>IF('Pilot offer'!$C$24="Yes",'Pilot offer'!$C$3,S168)</f>
        <v/>
      </c>
      <c r="X168" s="42">
        <f>IF('Pilot offer'!$C$24="Yes",'Pilot offer'!$C$5+'Pilot offer'!$C$6,T168)</f>
        <v/>
      </c>
      <c r="Y168" s="15">
        <f>IF('Pilot offer'!$C$24="Yes",'Pilot offer'!$C$8,U168)</f>
        <v/>
      </c>
      <c r="Z168" s="43">
        <f>IF('Pilot offer'!$C$24="Yes",'Pilot offer'!$C$11,"")</f>
        <v/>
      </c>
      <c r="AA168" s="15">
        <f>IF(X168="","",W168&amp;" · "&amp;TEXT(X168,"ddd d mmm, hh:mm")&amp;" · "&amp;Y168&amp;IF(Z168&lt;&gt;""," · £"&amp;TEXT(Z168,"0.00")&amp;" per player"," · price TBC (cost £"&amp;TEXT(V168,"0.00")&amp;" pp)"))</f>
        <v/>
      </c>
      <c r="AD168" s="44" t="n"/>
    </row>
    <row r="169">
      <c r="A169" s="13" t="n">
        <v>167</v>
      </c>
      <c r="B169" s="13" t="inlineStr">
        <is>
          <t>1 · E8 London Fields</t>
        </is>
      </c>
      <c r="C169" s="13" t="inlineStr">
        <is>
          <t>Office &amp; professional</t>
        </is>
      </c>
      <c r="D169" s="13" t="inlineStr">
        <is>
          <t>Corporate</t>
        </is>
      </c>
      <c r="E169" s="13" t="inlineStr">
        <is>
          <t>Goldsmith Personnel</t>
        </is>
      </c>
      <c r="F169" s="13" t="inlineStr">
        <is>
          <t>recruitment</t>
        </is>
      </c>
      <c r="G169" s="13" t="inlineStr">
        <is>
          <t>info@goldsmithpersonnel.co.uk</t>
        </is>
      </c>
      <c r="H169" s="13" t="inlineStr">
        <is>
          <t>general</t>
        </is>
      </c>
      <c r="I169" s="13" t="n"/>
      <c r="J169" s="14" t="inlineStr">
        <is>
          <t>https://goldsmithpersonnel.co.uk/</t>
        </is>
      </c>
      <c r="K169" s="13" t="inlineStr">
        <is>
          <t>380 Kingsland Road, London</t>
        </is>
      </c>
      <c r="L169" s="13" t="inlineStr">
        <is>
          <t>E8 4AA</t>
        </is>
      </c>
      <c r="M169" s="13" t="inlineStr">
        <is>
          <t>COLA Shoreditch Park</t>
        </is>
      </c>
      <c r="N169" s="13" t="n">
        <v>13</v>
      </c>
      <c r="O169" s="15">
        <f>IFERROR(INDEX(Venues!$C$2:$C$10,MATCH(M169,Venues!$A$2:$A$10,0)),"Not checked")</f>
        <v/>
      </c>
      <c r="P169" s="15">
        <f>IFERROR(INDEX(Venues!$D$2:$D$10,MATCH(M169,Venues!$A$2:$A$10,0)),0)</f>
        <v/>
      </c>
      <c r="Q169" s="42">
        <f>IFERROR(INDEX(Venues!$E$2:$E$10,MATCH(M169,Venues!$A$2:$A$10,0)),"")</f>
        <v/>
      </c>
      <c r="R169" s="15">
        <f>IF(P169&gt;0,"Yes","No")</f>
        <v/>
      </c>
      <c r="S169" s="13" t="inlineStr">
        <is>
          <t>COLA Shoreditch Park</t>
        </is>
      </c>
      <c r="T169" s="42">
        <f>IFERROR(INDEX(Venues!$E$2:$E$10,MATCH(S169,Venues!$A$2:$A$10,0)),"")</f>
        <v/>
      </c>
      <c r="U169" s="15">
        <f>IFERROR(INDEX(Venues!$F$2:$F$10,MATCH(S169,Venues!$A$2:$A$10,0)),"")</f>
        <v/>
      </c>
      <c r="V169" s="43">
        <f>IFERROR(INDEX(Venues!$H$2:$H$10,MATCH(S169,Venues!$A$2:$A$10,0)),"")</f>
        <v/>
      </c>
      <c r="W169" s="15">
        <f>IF('Pilot offer'!$C$24="Yes",'Pilot offer'!$C$3,S169)</f>
        <v/>
      </c>
      <c r="X169" s="42">
        <f>IF('Pilot offer'!$C$24="Yes",'Pilot offer'!$C$5+'Pilot offer'!$C$6,T169)</f>
        <v/>
      </c>
      <c r="Y169" s="15">
        <f>IF('Pilot offer'!$C$24="Yes",'Pilot offer'!$C$8,U169)</f>
        <v/>
      </c>
      <c r="Z169" s="43">
        <f>IF('Pilot offer'!$C$24="Yes",'Pilot offer'!$C$11,"")</f>
        <v/>
      </c>
      <c r="AA169" s="15">
        <f>IF(X169="","",W169&amp;" · "&amp;TEXT(X169,"ddd d mmm, hh:mm")&amp;" · "&amp;Y169&amp;IF(Z169&lt;&gt;""," · £"&amp;TEXT(Z169,"0.00")&amp;" per player"," · price TBC (cost £"&amp;TEXT(V169,"0.00")&amp;" pp)"))</f>
        <v/>
      </c>
      <c r="AD169" s="44" t="n"/>
    </row>
    <row r="170">
      <c r="A170" s="13" t="n">
        <v>168</v>
      </c>
      <c r="B170" s="13" t="inlineStr">
        <is>
          <t>1 · E8 London Fields</t>
        </is>
      </c>
      <c r="C170" s="13" t="inlineStr">
        <is>
          <t>Leisure &amp; culture</t>
        </is>
      </c>
      <c r="D170" s="13" t="inlineStr">
        <is>
          <t>Local businesses</t>
        </is>
      </c>
      <c r="E170" s="13" t="inlineStr">
        <is>
          <t>The Jago Dalston</t>
        </is>
      </c>
      <c r="F170" s="13" t="inlineStr">
        <is>
          <t>amenity: events venue</t>
        </is>
      </c>
      <c r="G170" s="13" t="inlineStr">
        <is>
          <t>hello@thejagodalston.com</t>
        </is>
      </c>
      <c r="H170" s="13" t="inlineStr">
        <is>
          <t>general</t>
        </is>
      </c>
      <c r="I170" s="13" t="inlineStr">
        <is>
          <t>+44 20 7683 0438</t>
        </is>
      </c>
      <c r="J170" s="14" t="inlineStr">
        <is>
          <t>https://www.thejagodalston.com/</t>
        </is>
      </c>
      <c r="K170" s="13" t="inlineStr">
        <is>
          <t>Kingsland Road 440, London</t>
        </is>
      </c>
      <c r="L170" s="13" t="inlineStr">
        <is>
          <t>E8 4AA</t>
        </is>
      </c>
      <c r="M170" s="13" t="inlineStr">
        <is>
          <t>Rosemary Gardens 3G - Islington</t>
        </is>
      </c>
      <c r="N170" s="13" t="n">
        <v>14</v>
      </c>
      <c r="O170" s="15">
        <f>IFERROR(INDEX(Venues!$C$2:$C$10,MATCH(M170,Venues!$A$2:$A$10,0)),"Not checked")</f>
        <v/>
      </c>
      <c r="P170" s="15">
        <f>IFERROR(INDEX(Venues!$D$2:$D$10,MATCH(M170,Venues!$A$2:$A$10,0)),0)</f>
        <v/>
      </c>
      <c r="Q170" s="42">
        <f>IFERROR(INDEX(Venues!$E$2:$E$10,MATCH(M170,Venues!$A$2:$A$10,0)),"")</f>
        <v/>
      </c>
      <c r="R170" s="15">
        <f>IF(P170&gt;0,"Yes","No")</f>
        <v/>
      </c>
      <c r="S170" s="13" t="inlineStr">
        <is>
          <t>COLA Shoreditch Park</t>
        </is>
      </c>
      <c r="T170" s="42">
        <f>IFERROR(INDEX(Venues!$E$2:$E$10,MATCH(S170,Venues!$A$2:$A$10,0)),"")</f>
        <v/>
      </c>
      <c r="U170" s="15">
        <f>IFERROR(INDEX(Venues!$F$2:$F$10,MATCH(S170,Venues!$A$2:$A$10,0)),"")</f>
        <v/>
      </c>
      <c r="V170" s="43">
        <f>IFERROR(INDEX(Venues!$H$2:$H$10,MATCH(S170,Venues!$A$2:$A$10,0)),"")</f>
        <v/>
      </c>
      <c r="W170" s="15">
        <f>IF('Pilot offer'!$C$24="Yes",'Pilot offer'!$C$3,S170)</f>
        <v/>
      </c>
      <c r="X170" s="42">
        <f>IF('Pilot offer'!$C$24="Yes",'Pilot offer'!$C$5+'Pilot offer'!$C$6,T170)</f>
        <v/>
      </c>
      <c r="Y170" s="15">
        <f>IF('Pilot offer'!$C$24="Yes",'Pilot offer'!$C$8,U170)</f>
        <v/>
      </c>
      <c r="Z170" s="43">
        <f>IF('Pilot offer'!$C$24="Yes",'Pilot offer'!$C$11,"")</f>
        <v/>
      </c>
      <c r="AA170" s="15">
        <f>IF(X170="","",W170&amp;" · "&amp;TEXT(X170,"ddd d mmm, hh:mm")&amp;" · "&amp;Y170&amp;IF(Z170&lt;&gt;""," · £"&amp;TEXT(Z170,"0.00")&amp;" per player"," · price TBC (cost £"&amp;TEXT(V170,"0.00")&amp;" pp)"))</f>
        <v/>
      </c>
      <c r="AD170" s="44" t="n"/>
    </row>
    <row r="171">
      <c r="A171" s="13" t="n">
        <v>169</v>
      </c>
      <c r="B171" s="13" t="inlineStr">
        <is>
          <t>1 · E8 London Fields</t>
        </is>
      </c>
      <c r="C171" s="13" t="inlineStr">
        <is>
          <t>Hospitality</t>
        </is>
      </c>
      <c r="D171" s="13" t="inlineStr">
        <is>
          <t>Local businesses</t>
        </is>
      </c>
      <c r="E171" s="13" t="inlineStr">
        <is>
          <t>Brilliant Corners</t>
        </is>
      </c>
      <c r="F171" s="13" t="inlineStr">
        <is>
          <t>amenity: bar</t>
        </is>
      </c>
      <c r="G171" s="13" t="inlineStr">
        <is>
          <t>info@brilliantcornerslondon.co.uk</t>
        </is>
      </c>
      <c r="H171" s="13" t="inlineStr">
        <is>
          <t>general</t>
        </is>
      </c>
      <c r="I171" s="13" t="n"/>
      <c r="J171" s="14" t="inlineStr">
        <is>
          <t>https://brilliantcornerslondon.co.uk/</t>
        </is>
      </c>
      <c r="K171" s="13" t="inlineStr">
        <is>
          <t>Kingsland Road 470-472, London</t>
        </is>
      </c>
      <c r="L171" s="13" t="inlineStr">
        <is>
          <t>E8 4AE</t>
        </is>
      </c>
      <c r="M171" s="13" t="inlineStr">
        <is>
          <t>Rosemary Gardens 3G - Islington</t>
        </is>
      </c>
      <c r="N171" s="13" t="n">
        <v>15</v>
      </c>
      <c r="O171" s="15">
        <f>IFERROR(INDEX(Venues!$C$2:$C$10,MATCH(M171,Venues!$A$2:$A$10,0)),"Not checked")</f>
        <v/>
      </c>
      <c r="P171" s="15">
        <f>IFERROR(INDEX(Venues!$D$2:$D$10,MATCH(M171,Venues!$A$2:$A$10,0)),0)</f>
        <v/>
      </c>
      <c r="Q171" s="42">
        <f>IFERROR(INDEX(Venues!$E$2:$E$10,MATCH(M171,Venues!$A$2:$A$10,0)),"")</f>
        <v/>
      </c>
      <c r="R171" s="15">
        <f>IF(P171&gt;0,"Yes","No")</f>
        <v/>
      </c>
      <c r="S171" s="13" t="inlineStr">
        <is>
          <t>COLA Shoreditch Park</t>
        </is>
      </c>
      <c r="T171" s="42">
        <f>IFERROR(INDEX(Venues!$E$2:$E$10,MATCH(S171,Venues!$A$2:$A$10,0)),"")</f>
        <v/>
      </c>
      <c r="U171" s="15">
        <f>IFERROR(INDEX(Venues!$F$2:$F$10,MATCH(S171,Venues!$A$2:$A$10,0)),"")</f>
        <v/>
      </c>
      <c r="V171" s="43">
        <f>IFERROR(INDEX(Venues!$H$2:$H$10,MATCH(S171,Venues!$A$2:$A$10,0)),"")</f>
        <v/>
      </c>
      <c r="W171" s="15">
        <f>IF('Pilot offer'!$C$24="Yes",'Pilot offer'!$C$3,S171)</f>
        <v/>
      </c>
      <c r="X171" s="42">
        <f>IF('Pilot offer'!$C$24="Yes",'Pilot offer'!$C$5+'Pilot offer'!$C$6,T171)</f>
        <v/>
      </c>
      <c r="Y171" s="15">
        <f>IF('Pilot offer'!$C$24="Yes",'Pilot offer'!$C$8,U171)</f>
        <v/>
      </c>
      <c r="Z171" s="43">
        <f>IF('Pilot offer'!$C$24="Yes",'Pilot offer'!$C$11,"")</f>
        <v/>
      </c>
      <c r="AA171" s="15">
        <f>IF(X171="","",W171&amp;" · "&amp;TEXT(X171,"ddd d mmm, hh:mm")&amp;" · "&amp;Y171&amp;IF(Z171&lt;&gt;""," · £"&amp;TEXT(Z171,"0.00")&amp;" per player"," · price TBC (cost £"&amp;TEXT(V171,"0.00")&amp;" pp)"))</f>
        <v/>
      </c>
      <c r="AD171" s="44" t="n"/>
    </row>
    <row r="172">
      <c r="A172" s="13" t="n">
        <v>170</v>
      </c>
      <c r="B172" s="13" t="inlineStr">
        <is>
          <t>1 · E8 London Fields</t>
        </is>
      </c>
      <c r="C172" s="13" t="inlineStr">
        <is>
          <t>Retail</t>
        </is>
      </c>
      <c r="D172" s="13" t="inlineStr">
        <is>
          <t>Local businesses</t>
        </is>
      </c>
      <c r="E172" s="13" t="inlineStr">
        <is>
          <t>St. Vincent's</t>
        </is>
      </c>
      <c r="F172" s="13" t="inlineStr">
        <is>
          <t>shop: charity</t>
        </is>
      </c>
      <c r="G172" s="13" t="inlineStr">
        <is>
          <t>info@svp.org.uk</t>
        </is>
      </c>
      <c r="H172" s="13" t="inlineStr">
        <is>
          <t>general</t>
        </is>
      </c>
      <c r="I172" s="13" t="inlineStr">
        <is>
          <t>+44 20 7249 3511</t>
        </is>
      </c>
      <c r="J172" s="14" t="inlineStr">
        <is>
          <t>https://www.svp.org.uk/</t>
        </is>
      </c>
      <c r="K172" s="13" t="inlineStr">
        <is>
          <t>Kingsland Road 484,486, London</t>
        </is>
      </c>
      <c r="L172" s="13" t="inlineStr">
        <is>
          <t>E8 4AE</t>
        </is>
      </c>
      <c r="M172" s="13" t="inlineStr">
        <is>
          <t>Rosemary Gardens 3G - Islington</t>
        </is>
      </c>
      <c r="N172" s="13" t="n">
        <v>15</v>
      </c>
      <c r="O172" s="15">
        <f>IFERROR(INDEX(Venues!$C$2:$C$10,MATCH(M172,Venues!$A$2:$A$10,0)),"Not checked")</f>
        <v/>
      </c>
      <c r="P172" s="15">
        <f>IFERROR(INDEX(Venues!$D$2:$D$10,MATCH(M172,Venues!$A$2:$A$10,0)),0)</f>
        <v/>
      </c>
      <c r="Q172" s="42">
        <f>IFERROR(INDEX(Venues!$E$2:$E$10,MATCH(M172,Venues!$A$2:$A$10,0)),"")</f>
        <v/>
      </c>
      <c r="R172" s="15">
        <f>IF(P172&gt;0,"Yes","No")</f>
        <v/>
      </c>
      <c r="S172" s="13" t="inlineStr">
        <is>
          <t>COLA Shoreditch Park</t>
        </is>
      </c>
      <c r="T172" s="42">
        <f>IFERROR(INDEX(Venues!$E$2:$E$10,MATCH(S172,Venues!$A$2:$A$10,0)),"")</f>
        <v/>
      </c>
      <c r="U172" s="15">
        <f>IFERROR(INDEX(Venues!$F$2:$F$10,MATCH(S172,Venues!$A$2:$A$10,0)),"")</f>
        <v/>
      </c>
      <c r="V172" s="43">
        <f>IFERROR(INDEX(Venues!$H$2:$H$10,MATCH(S172,Venues!$A$2:$A$10,0)),"")</f>
        <v/>
      </c>
      <c r="W172" s="15">
        <f>IF('Pilot offer'!$C$24="Yes",'Pilot offer'!$C$3,S172)</f>
        <v/>
      </c>
      <c r="X172" s="42">
        <f>IF('Pilot offer'!$C$24="Yes",'Pilot offer'!$C$5+'Pilot offer'!$C$6,T172)</f>
        <v/>
      </c>
      <c r="Y172" s="15">
        <f>IF('Pilot offer'!$C$24="Yes",'Pilot offer'!$C$8,U172)</f>
        <v/>
      </c>
      <c r="Z172" s="43">
        <f>IF('Pilot offer'!$C$24="Yes",'Pilot offer'!$C$11,"")</f>
        <v/>
      </c>
      <c r="AA172" s="15">
        <f>IF(X172="","",W172&amp;" · "&amp;TEXT(X172,"ddd d mmm, hh:mm")&amp;" · "&amp;Y172&amp;IF(Z172&lt;&gt;""," · £"&amp;TEXT(Z172,"0.00")&amp;" per player"," · price TBC (cost £"&amp;TEXT(V172,"0.00")&amp;" pp)"))</f>
        <v/>
      </c>
      <c r="AD172" s="44" t="n"/>
    </row>
    <row r="173">
      <c r="A173" s="13" t="n">
        <v>171</v>
      </c>
      <c r="B173" s="13" t="inlineStr">
        <is>
          <t>1 · E8 London Fields</t>
        </is>
      </c>
      <c r="C173" s="13" t="inlineStr">
        <is>
          <t>Health</t>
        </is>
      </c>
      <c r="D173" s="13" t="inlineStr">
        <is>
          <t>Local businesses</t>
        </is>
      </c>
      <c r="E173" s="13" t="inlineStr">
        <is>
          <t>Kingsland Dental Surgery</t>
        </is>
      </c>
      <c r="F173" s="13" t="inlineStr">
        <is>
          <t>amenity: dentist</t>
        </is>
      </c>
      <c r="G173" s="13" t="inlineStr">
        <is>
          <t>info@kingslanddental.co.uk</t>
        </is>
      </c>
      <c r="H173" s="13" t="inlineStr">
        <is>
          <t>openstreetmap_tag</t>
        </is>
      </c>
      <c r="I173" s="13" t="inlineStr">
        <is>
          <t>+44 20 7254 7520</t>
        </is>
      </c>
      <c r="J173" s="14" t="inlineStr">
        <is>
          <t>https://kingslanddental.co.uk</t>
        </is>
      </c>
      <c r="K173" s="13" t="inlineStr">
        <is>
          <t>Kingsland Road 537, London</t>
        </is>
      </c>
      <c r="L173" s="13" t="inlineStr">
        <is>
          <t>E8 4AR</t>
        </is>
      </c>
      <c r="M173" s="13" t="inlineStr">
        <is>
          <t>Rosemary Gardens 3G - Islington</t>
        </is>
      </c>
      <c r="N173" s="13" t="n">
        <v>18</v>
      </c>
      <c r="O173" s="15">
        <f>IFERROR(INDEX(Venues!$C$2:$C$10,MATCH(M173,Venues!$A$2:$A$10,0)),"Not checked")</f>
        <v/>
      </c>
      <c r="P173" s="15">
        <f>IFERROR(INDEX(Venues!$D$2:$D$10,MATCH(M173,Venues!$A$2:$A$10,0)),0)</f>
        <v/>
      </c>
      <c r="Q173" s="42">
        <f>IFERROR(INDEX(Venues!$E$2:$E$10,MATCH(M173,Venues!$A$2:$A$10,0)),"")</f>
        <v/>
      </c>
      <c r="R173" s="15">
        <f>IF(P173&gt;0,"Yes","No")</f>
        <v/>
      </c>
      <c r="S173" s="13" t="inlineStr">
        <is>
          <t>COLA Shoreditch Park</t>
        </is>
      </c>
      <c r="T173" s="42">
        <f>IFERROR(INDEX(Venues!$E$2:$E$10,MATCH(S173,Venues!$A$2:$A$10,0)),"")</f>
        <v/>
      </c>
      <c r="U173" s="15">
        <f>IFERROR(INDEX(Venues!$F$2:$F$10,MATCH(S173,Venues!$A$2:$A$10,0)),"")</f>
        <v/>
      </c>
      <c r="V173" s="43">
        <f>IFERROR(INDEX(Venues!$H$2:$H$10,MATCH(S173,Venues!$A$2:$A$10,0)),"")</f>
        <v/>
      </c>
      <c r="W173" s="15">
        <f>IF('Pilot offer'!$C$24="Yes",'Pilot offer'!$C$3,S173)</f>
        <v/>
      </c>
      <c r="X173" s="42">
        <f>IF('Pilot offer'!$C$24="Yes",'Pilot offer'!$C$5+'Pilot offer'!$C$6,T173)</f>
        <v/>
      </c>
      <c r="Y173" s="15">
        <f>IF('Pilot offer'!$C$24="Yes",'Pilot offer'!$C$8,U173)</f>
        <v/>
      </c>
      <c r="Z173" s="43">
        <f>IF('Pilot offer'!$C$24="Yes",'Pilot offer'!$C$11,"")</f>
        <v/>
      </c>
      <c r="AA173" s="15">
        <f>IF(X173="","",W173&amp;" · "&amp;TEXT(X173,"ddd d mmm, hh:mm")&amp;" · "&amp;Y173&amp;IF(Z173&lt;&gt;""," · £"&amp;TEXT(Z173,"0.00")&amp;" per player"," · price TBC (cost £"&amp;TEXT(V173,"0.00")&amp;" pp)"))</f>
        <v/>
      </c>
      <c r="AD173" s="44" t="n"/>
    </row>
    <row r="174">
      <c r="A174" s="13" t="n">
        <v>172</v>
      </c>
      <c r="B174" s="13" t="inlineStr">
        <is>
          <t>1 · E8 London Fields</t>
        </is>
      </c>
      <c r="C174" s="13" t="inlineStr">
        <is>
          <t>Other</t>
        </is>
      </c>
      <c r="D174" s="13" t="inlineStr">
        <is>
          <t>Corporate</t>
        </is>
      </c>
      <c r="E174" s="13" t="inlineStr">
        <is>
          <t>HQ Therapy Rooms</t>
        </is>
      </c>
      <c r="F174" s="13" t="inlineStr">
        <is>
          <t>therapist</t>
        </is>
      </c>
      <c r="G174" s="13" t="inlineStr">
        <is>
          <t>hello@hqtherapy.com</t>
        </is>
      </c>
      <c r="H174" s="13" t="inlineStr">
        <is>
          <t>general</t>
        </is>
      </c>
      <c r="I174" s="13" t="n"/>
      <c r="J174" s="14" t="inlineStr">
        <is>
          <t>https://www.hqtherapy.com/</t>
        </is>
      </c>
      <c r="K174" s="13" t="inlineStr">
        <is>
          <t>322c Kingsland Road, London</t>
        </is>
      </c>
      <c r="L174" s="13" t="inlineStr">
        <is>
          <t>E8 4DE</t>
        </is>
      </c>
      <c r="M174" s="13" t="inlineStr">
        <is>
          <t>COLA Shoreditch Park</t>
        </is>
      </c>
      <c r="N174" s="13" t="n">
        <v>10</v>
      </c>
      <c r="O174" s="15">
        <f>IFERROR(INDEX(Venues!$C$2:$C$10,MATCH(M174,Venues!$A$2:$A$10,0)),"Not checked")</f>
        <v/>
      </c>
      <c r="P174" s="15">
        <f>IFERROR(INDEX(Venues!$D$2:$D$10,MATCH(M174,Venues!$A$2:$A$10,0)),0)</f>
        <v/>
      </c>
      <c r="Q174" s="42">
        <f>IFERROR(INDEX(Venues!$E$2:$E$10,MATCH(M174,Venues!$A$2:$A$10,0)),"")</f>
        <v/>
      </c>
      <c r="R174" s="15">
        <f>IF(P174&gt;0,"Yes","No")</f>
        <v/>
      </c>
      <c r="S174" s="13" t="inlineStr">
        <is>
          <t>COLA Shoreditch Park</t>
        </is>
      </c>
      <c r="T174" s="42">
        <f>IFERROR(INDEX(Venues!$E$2:$E$10,MATCH(S174,Venues!$A$2:$A$10,0)),"")</f>
        <v/>
      </c>
      <c r="U174" s="15">
        <f>IFERROR(INDEX(Venues!$F$2:$F$10,MATCH(S174,Venues!$A$2:$A$10,0)),"")</f>
        <v/>
      </c>
      <c r="V174" s="43">
        <f>IFERROR(INDEX(Venues!$H$2:$H$10,MATCH(S174,Venues!$A$2:$A$10,0)),"")</f>
        <v/>
      </c>
      <c r="W174" s="15">
        <f>IF('Pilot offer'!$C$24="Yes",'Pilot offer'!$C$3,S174)</f>
        <v/>
      </c>
      <c r="X174" s="42">
        <f>IF('Pilot offer'!$C$24="Yes",'Pilot offer'!$C$5+'Pilot offer'!$C$6,T174)</f>
        <v/>
      </c>
      <c r="Y174" s="15">
        <f>IF('Pilot offer'!$C$24="Yes",'Pilot offer'!$C$8,U174)</f>
        <v/>
      </c>
      <c r="Z174" s="43">
        <f>IF('Pilot offer'!$C$24="Yes",'Pilot offer'!$C$11,"")</f>
        <v/>
      </c>
      <c r="AA174" s="15">
        <f>IF(X174="","",W174&amp;" · "&amp;TEXT(X174,"ddd d mmm, hh:mm")&amp;" · "&amp;Y174&amp;IF(Z174&lt;&gt;""," · £"&amp;TEXT(Z174,"0.00")&amp;" per player"," · price TBC (cost £"&amp;TEXT(V174,"0.00")&amp;" pp)"))</f>
        <v/>
      </c>
      <c r="AD174" s="44" t="n"/>
    </row>
    <row r="175">
      <c r="A175" s="13" t="n">
        <v>173</v>
      </c>
      <c r="B175" s="13" t="inlineStr">
        <is>
          <t>1 · E8 London Fields</t>
        </is>
      </c>
      <c r="C175" s="13" t="inlineStr">
        <is>
          <t>Leisure &amp; culture</t>
        </is>
      </c>
      <c r="D175" s="13" t="inlineStr">
        <is>
          <t>Local businesses</t>
        </is>
      </c>
      <c r="E175" s="13" t="inlineStr">
        <is>
          <t>Playhouse East</t>
        </is>
      </c>
      <c r="F175" s="13" t="inlineStr">
        <is>
          <t>amenity: theatre;cafe</t>
        </is>
      </c>
      <c r="G175" s="13" t="inlineStr">
        <is>
          <t>contact@playhouseeast.com</t>
        </is>
      </c>
      <c r="H175" s="13" t="inlineStr">
        <is>
          <t>general</t>
        </is>
      </c>
      <c r="I175" s="13" t="n"/>
      <c r="J175" s="14" t="inlineStr">
        <is>
          <t>https://www.playhouseeast.com/</t>
        </is>
      </c>
      <c r="K175" s="13" t="inlineStr">
        <is>
          <t>Kingsland Road 258, London</t>
        </is>
      </c>
      <c r="L175" s="13" t="inlineStr">
        <is>
          <t>E8 4DG</t>
        </is>
      </c>
      <c r="M175" s="13" t="inlineStr">
        <is>
          <t>COLA Shoreditch Park</t>
        </is>
      </c>
      <c r="N175" s="13" t="n">
        <v>9</v>
      </c>
      <c r="O175" s="15">
        <f>IFERROR(INDEX(Venues!$C$2:$C$10,MATCH(M175,Venues!$A$2:$A$10,0)),"Not checked")</f>
        <v/>
      </c>
      <c r="P175" s="15">
        <f>IFERROR(INDEX(Venues!$D$2:$D$10,MATCH(M175,Venues!$A$2:$A$10,0)),0)</f>
        <v/>
      </c>
      <c r="Q175" s="42">
        <f>IFERROR(INDEX(Venues!$E$2:$E$10,MATCH(M175,Venues!$A$2:$A$10,0)),"")</f>
        <v/>
      </c>
      <c r="R175" s="15">
        <f>IF(P175&gt;0,"Yes","No")</f>
        <v/>
      </c>
      <c r="S175" s="13" t="inlineStr">
        <is>
          <t>COLA Shoreditch Park</t>
        </is>
      </c>
      <c r="T175" s="42">
        <f>IFERROR(INDEX(Venues!$E$2:$E$10,MATCH(S175,Venues!$A$2:$A$10,0)),"")</f>
        <v/>
      </c>
      <c r="U175" s="15">
        <f>IFERROR(INDEX(Venues!$F$2:$F$10,MATCH(S175,Venues!$A$2:$A$10,0)),"")</f>
        <v/>
      </c>
      <c r="V175" s="43">
        <f>IFERROR(INDEX(Venues!$H$2:$H$10,MATCH(S175,Venues!$A$2:$A$10,0)),"")</f>
        <v/>
      </c>
      <c r="W175" s="15">
        <f>IF('Pilot offer'!$C$24="Yes",'Pilot offer'!$C$3,S175)</f>
        <v/>
      </c>
      <c r="X175" s="42">
        <f>IF('Pilot offer'!$C$24="Yes",'Pilot offer'!$C$5+'Pilot offer'!$C$6,T175)</f>
        <v/>
      </c>
      <c r="Y175" s="15">
        <f>IF('Pilot offer'!$C$24="Yes",'Pilot offer'!$C$8,U175)</f>
        <v/>
      </c>
      <c r="Z175" s="43">
        <f>IF('Pilot offer'!$C$24="Yes",'Pilot offer'!$C$11,"")</f>
        <v/>
      </c>
      <c r="AA175" s="15">
        <f>IF(X175="","",W175&amp;" · "&amp;TEXT(X175,"ddd d mmm, hh:mm")&amp;" · "&amp;Y175&amp;IF(Z175&lt;&gt;""," · £"&amp;TEXT(Z175,"0.00")&amp;" per player"," · price TBC (cost £"&amp;TEXT(V175,"0.00")&amp;" pp)"))</f>
        <v/>
      </c>
      <c r="AD175" s="44" t="n"/>
    </row>
    <row r="176">
      <c r="A176" s="13" t="n">
        <v>174</v>
      </c>
      <c r="B176" s="13" t="inlineStr">
        <is>
          <t>1 · E8 London Fields</t>
        </is>
      </c>
      <c r="C176" s="13" t="inlineStr">
        <is>
          <t>Hospitality</t>
        </is>
      </c>
      <c r="D176" s="13" t="inlineStr">
        <is>
          <t>Local businesses</t>
        </is>
      </c>
      <c r="E176" s="13" t="inlineStr">
        <is>
          <t>MAP Maison</t>
        </is>
      </c>
      <c r="F176" s="13" t="inlineStr">
        <is>
          <t>amenity: bar</t>
        </is>
      </c>
      <c r="G176" s="13" t="inlineStr">
        <is>
          <t>info@mapmaison.com</t>
        </is>
      </c>
      <c r="H176" s="13" t="inlineStr">
        <is>
          <t>general</t>
        </is>
      </c>
      <c r="I176" s="13" t="inlineStr">
        <is>
          <t>+44 20 7241 1441</t>
        </is>
      </c>
      <c r="J176" s="14" t="inlineStr">
        <is>
          <t>https://www.mapmaison.com/</t>
        </is>
      </c>
      <c r="K176" s="13" t="inlineStr">
        <is>
          <t>Kingsland Road 321, London</t>
        </is>
      </c>
      <c r="L176" s="13" t="inlineStr">
        <is>
          <t>E8 4DL</t>
        </is>
      </c>
      <c r="M176" s="13" t="inlineStr">
        <is>
          <t>COLA Shoreditch Park</t>
        </is>
      </c>
      <c r="N176" s="13" t="n">
        <v>9</v>
      </c>
      <c r="O176" s="15">
        <f>IFERROR(INDEX(Venues!$C$2:$C$10,MATCH(M176,Venues!$A$2:$A$10,0)),"Not checked")</f>
        <v/>
      </c>
      <c r="P176" s="15">
        <f>IFERROR(INDEX(Venues!$D$2:$D$10,MATCH(M176,Venues!$A$2:$A$10,0)),0)</f>
        <v/>
      </c>
      <c r="Q176" s="42">
        <f>IFERROR(INDEX(Venues!$E$2:$E$10,MATCH(M176,Venues!$A$2:$A$10,0)),"")</f>
        <v/>
      </c>
      <c r="R176" s="15">
        <f>IF(P176&gt;0,"Yes","No")</f>
        <v/>
      </c>
      <c r="S176" s="13" t="inlineStr">
        <is>
          <t>COLA Shoreditch Park</t>
        </is>
      </c>
      <c r="T176" s="42">
        <f>IFERROR(INDEX(Venues!$E$2:$E$10,MATCH(S176,Venues!$A$2:$A$10,0)),"")</f>
        <v/>
      </c>
      <c r="U176" s="15">
        <f>IFERROR(INDEX(Venues!$F$2:$F$10,MATCH(S176,Venues!$A$2:$A$10,0)),"")</f>
        <v/>
      </c>
      <c r="V176" s="43">
        <f>IFERROR(INDEX(Venues!$H$2:$H$10,MATCH(S176,Venues!$A$2:$A$10,0)),"")</f>
        <v/>
      </c>
      <c r="W176" s="15">
        <f>IF('Pilot offer'!$C$24="Yes",'Pilot offer'!$C$3,S176)</f>
        <v/>
      </c>
      <c r="X176" s="42">
        <f>IF('Pilot offer'!$C$24="Yes",'Pilot offer'!$C$5+'Pilot offer'!$C$6,T176)</f>
        <v/>
      </c>
      <c r="Y176" s="15">
        <f>IF('Pilot offer'!$C$24="Yes",'Pilot offer'!$C$8,U176)</f>
        <v/>
      </c>
      <c r="Z176" s="43">
        <f>IF('Pilot offer'!$C$24="Yes",'Pilot offer'!$C$11,"")</f>
        <v/>
      </c>
      <c r="AA176" s="15">
        <f>IF(X176="","",W176&amp;" · "&amp;TEXT(X176,"ddd d mmm, hh:mm")&amp;" · "&amp;Y176&amp;IF(Z176&lt;&gt;""," · £"&amp;TEXT(Z176,"0.00")&amp;" per player"," · price TBC (cost £"&amp;TEXT(V176,"0.00")&amp;" pp)"))</f>
        <v/>
      </c>
      <c r="AD176" s="44" t="n"/>
    </row>
    <row r="177">
      <c r="A177" s="13" t="n">
        <v>175</v>
      </c>
      <c r="B177" s="13" t="inlineStr">
        <is>
          <t>1 · E8 London Fields</t>
        </is>
      </c>
      <c r="C177" s="13" t="inlineStr">
        <is>
          <t>Education</t>
        </is>
      </c>
      <c r="D177" s="13" t="inlineStr">
        <is>
          <t>Local businesses</t>
        </is>
      </c>
      <c r="E177" s="13" t="inlineStr">
        <is>
          <t>Waterside Academy</t>
        </is>
      </c>
      <c r="F177" s="13" t="inlineStr">
        <is>
          <t>amenity: school</t>
        </is>
      </c>
      <c r="G177" s="13" t="inlineStr">
        <is>
          <t>info@watersidecst.org</t>
        </is>
      </c>
      <c r="H177" s="13" t="inlineStr">
        <is>
          <t>general</t>
        </is>
      </c>
      <c r="I177" s="13" t="inlineStr">
        <is>
          <t>+44 20 3870 7500</t>
        </is>
      </c>
      <c r="J177" s="14" t="inlineStr">
        <is>
          <t>https://www.watersidecst.org</t>
        </is>
      </c>
      <c r="K177" s="13" t="inlineStr">
        <is>
          <t>Kingsland Road 317-319, London</t>
        </is>
      </c>
      <c r="L177" s="13" t="inlineStr">
        <is>
          <t>E8 4DL</t>
        </is>
      </c>
      <c r="M177" s="13" t="inlineStr">
        <is>
          <t>COLA Shoreditch Park</t>
        </is>
      </c>
      <c r="N177" s="13" t="n">
        <v>9</v>
      </c>
      <c r="O177" s="15">
        <f>IFERROR(INDEX(Venues!$C$2:$C$10,MATCH(M177,Venues!$A$2:$A$10,0)),"Not checked")</f>
        <v/>
      </c>
      <c r="P177" s="15">
        <f>IFERROR(INDEX(Venues!$D$2:$D$10,MATCH(M177,Venues!$A$2:$A$10,0)),0)</f>
        <v/>
      </c>
      <c r="Q177" s="42">
        <f>IFERROR(INDEX(Venues!$E$2:$E$10,MATCH(M177,Venues!$A$2:$A$10,0)),"")</f>
        <v/>
      </c>
      <c r="R177" s="15">
        <f>IF(P177&gt;0,"Yes","No")</f>
        <v/>
      </c>
      <c r="S177" s="13" t="inlineStr">
        <is>
          <t>COLA Shoreditch Park</t>
        </is>
      </c>
      <c r="T177" s="42">
        <f>IFERROR(INDEX(Venues!$E$2:$E$10,MATCH(S177,Venues!$A$2:$A$10,0)),"")</f>
        <v/>
      </c>
      <c r="U177" s="15">
        <f>IFERROR(INDEX(Venues!$F$2:$F$10,MATCH(S177,Venues!$A$2:$A$10,0)),"")</f>
        <v/>
      </c>
      <c r="V177" s="43">
        <f>IFERROR(INDEX(Venues!$H$2:$H$10,MATCH(S177,Venues!$A$2:$A$10,0)),"")</f>
        <v/>
      </c>
      <c r="W177" s="15">
        <f>IF('Pilot offer'!$C$24="Yes",'Pilot offer'!$C$3,S177)</f>
        <v/>
      </c>
      <c r="X177" s="42">
        <f>IF('Pilot offer'!$C$24="Yes",'Pilot offer'!$C$5+'Pilot offer'!$C$6,T177)</f>
        <v/>
      </c>
      <c r="Y177" s="15">
        <f>IF('Pilot offer'!$C$24="Yes",'Pilot offer'!$C$8,U177)</f>
        <v/>
      </c>
      <c r="Z177" s="43">
        <f>IF('Pilot offer'!$C$24="Yes",'Pilot offer'!$C$11,"")</f>
        <v/>
      </c>
      <c r="AA177" s="15">
        <f>IF(X177="","",W177&amp;" · "&amp;TEXT(X177,"ddd d mmm, hh:mm")&amp;" · "&amp;Y177&amp;IF(Z177&lt;&gt;""," · £"&amp;TEXT(Z177,"0.00")&amp;" per player"," · price TBC (cost £"&amp;TEXT(V177,"0.00")&amp;" pp)"))</f>
        <v/>
      </c>
      <c r="AD177" s="44" t="n"/>
    </row>
    <row r="178">
      <c r="A178" s="13" t="n">
        <v>176</v>
      </c>
      <c r="B178" s="13" t="inlineStr">
        <is>
          <t>1 · E8 London Fields</t>
        </is>
      </c>
      <c r="C178" s="13" t="inlineStr">
        <is>
          <t>Office &amp; professional</t>
        </is>
      </c>
      <c r="D178" s="13" t="inlineStr">
        <is>
          <t>Corporate</t>
        </is>
      </c>
      <c r="E178" s="13" t="inlineStr">
        <is>
          <t>Terrier Agency</t>
        </is>
      </c>
      <c r="F178" s="13" t="inlineStr">
        <is>
          <t>consultant</t>
        </is>
      </c>
      <c r="G178" s="13" t="inlineStr">
        <is>
          <t>hello@terrieragency.com</t>
        </is>
      </c>
      <c r="H178" s="13" t="inlineStr">
        <is>
          <t>general</t>
        </is>
      </c>
      <c r="I178" s="13" t="inlineStr">
        <is>
          <t>+44 20 7183 1022</t>
        </is>
      </c>
      <c r="J178" s="14" t="inlineStr">
        <is>
          <t>https://www.terrieragency.com/locations/london/?utm_source=google&amp;utm_medium=organic&amp;utm_campaign=gbp-hackney</t>
        </is>
      </c>
      <c r="K178" s="13" t="inlineStr">
        <is>
          <t>8 Lee St, London E8 4DY, UK</t>
        </is>
      </c>
      <c r="L178" s="13" t="inlineStr">
        <is>
          <t>E8 4DY</t>
        </is>
      </c>
      <c r="M178" s="13" t="inlineStr">
        <is>
          <t>COLA Shoreditch Park</t>
        </is>
      </c>
      <c r="N178" s="13" t="n">
        <v>9</v>
      </c>
      <c r="O178" s="15">
        <f>IFERROR(INDEX(Venues!$C$2:$C$10,MATCH(M178,Venues!$A$2:$A$10,0)),"Not checked")</f>
        <v/>
      </c>
      <c r="P178" s="15">
        <f>IFERROR(INDEX(Venues!$D$2:$D$10,MATCH(M178,Venues!$A$2:$A$10,0)),0)</f>
        <v/>
      </c>
      <c r="Q178" s="42">
        <f>IFERROR(INDEX(Venues!$E$2:$E$10,MATCH(M178,Venues!$A$2:$A$10,0)),"")</f>
        <v/>
      </c>
      <c r="R178" s="15">
        <f>IF(P178&gt;0,"Yes","No")</f>
        <v/>
      </c>
      <c r="S178" s="13" t="inlineStr">
        <is>
          <t>COLA Shoreditch Park</t>
        </is>
      </c>
      <c r="T178" s="42">
        <f>IFERROR(INDEX(Venues!$E$2:$E$10,MATCH(S178,Venues!$A$2:$A$10,0)),"")</f>
        <v/>
      </c>
      <c r="U178" s="15">
        <f>IFERROR(INDEX(Venues!$F$2:$F$10,MATCH(S178,Venues!$A$2:$A$10,0)),"")</f>
        <v/>
      </c>
      <c r="V178" s="43">
        <f>IFERROR(INDEX(Venues!$H$2:$H$10,MATCH(S178,Venues!$A$2:$A$10,0)),"")</f>
        <v/>
      </c>
      <c r="W178" s="15">
        <f>IF('Pilot offer'!$C$24="Yes",'Pilot offer'!$C$3,S178)</f>
        <v/>
      </c>
      <c r="X178" s="42">
        <f>IF('Pilot offer'!$C$24="Yes",'Pilot offer'!$C$5+'Pilot offer'!$C$6,T178)</f>
        <v/>
      </c>
      <c r="Y178" s="15">
        <f>IF('Pilot offer'!$C$24="Yes",'Pilot offer'!$C$8,U178)</f>
        <v/>
      </c>
      <c r="Z178" s="43">
        <f>IF('Pilot offer'!$C$24="Yes",'Pilot offer'!$C$11,"")</f>
        <v/>
      </c>
      <c r="AA178" s="15">
        <f>IF(X178="","",W178&amp;" · "&amp;TEXT(X178,"ddd d mmm, hh:mm")&amp;" · "&amp;Y178&amp;IF(Z178&lt;&gt;""," · £"&amp;TEXT(Z178,"0.00")&amp;" per player"," · price TBC (cost £"&amp;TEXT(V178,"0.00")&amp;" pp)"))</f>
        <v/>
      </c>
      <c r="AD178" s="44" t="n"/>
    </row>
    <row r="179">
      <c r="A179" s="13" t="n">
        <v>177</v>
      </c>
      <c r="B179" s="13" t="inlineStr">
        <is>
          <t>1 · E8 London Fields</t>
        </is>
      </c>
      <c r="C179" s="13" t="inlineStr">
        <is>
          <t>Hospitality</t>
        </is>
      </c>
      <c r="D179" s="13" t="inlineStr">
        <is>
          <t>Local businesses</t>
        </is>
      </c>
      <c r="E179" s="13" t="inlineStr">
        <is>
          <t>Berber &amp; Q</t>
        </is>
      </c>
      <c r="F179" s="13" t="inlineStr">
        <is>
          <t>amenity: restaurant</t>
        </is>
      </c>
      <c r="G179" s="13" t="inlineStr">
        <is>
          <t>events@berberandq.com</t>
        </is>
      </c>
      <c r="H179" s="13" t="inlineStr">
        <is>
          <t>people_team</t>
        </is>
      </c>
      <c r="I179" s="13" t="n"/>
      <c r="J179" s="14" t="inlineStr">
        <is>
          <t>https://www.berberandq.com/</t>
        </is>
      </c>
      <c r="K179" s="13" t="inlineStr">
        <is>
          <t>Acton Mews 338, London</t>
        </is>
      </c>
      <c r="L179" s="13" t="inlineStr">
        <is>
          <t>E8 4EA</t>
        </is>
      </c>
      <c r="M179" s="13" t="inlineStr">
        <is>
          <t>COLA Shoreditch Park</t>
        </is>
      </c>
      <c r="N179" s="13" t="n">
        <v>9</v>
      </c>
      <c r="O179" s="15">
        <f>IFERROR(INDEX(Venues!$C$2:$C$10,MATCH(M179,Venues!$A$2:$A$10,0)),"Not checked")</f>
        <v/>
      </c>
      <c r="P179" s="15">
        <f>IFERROR(INDEX(Venues!$D$2:$D$10,MATCH(M179,Venues!$A$2:$A$10,0)),0)</f>
        <v/>
      </c>
      <c r="Q179" s="42">
        <f>IFERROR(INDEX(Venues!$E$2:$E$10,MATCH(M179,Venues!$A$2:$A$10,0)),"")</f>
        <v/>
      </c>
      <c r="R179" s="15">
        <f>IF(P179&gt;0,"Yes","No")</f>
        <v/>
      </c>
      <c r="S179" s="13" t="inlineStr">
        <is>
          <t>COLA Shoreditch Park</t>
        </is>
      </c>
      <c r="T179" s="42">
        <f>IFERROR(INDEX(Venues!$E$2:$E$10,MATCH(S179,Venues!$A$2:$A$10,0)),"")</f>
        <v/>
      </c>
      <c r="U179" s="15">
        <f>IFERROR(INDEX(Venues!$F$2:$F$10,MATCH(S179,Venues!$A$2:$A$10,0)),"")</f>
        <v/>
      </c>
      <c r="V179" s="43">
        <f>IFERROR(INDEX(Venues!$H$2:$H$10,MATCH(S179,Venues!$A$2:$A$10,0)),"")</f>
        <v/>
      </c>
      <c r="W179" s="15">
        <f>IF('Pilot offer'!$C$24="Yes",'Pilot offer'!$C$3,S179)</f>
        <v/>
      </c>
      <c r="X179" s="42">
        <f>IF('Pilot offer'!$C$24="Yes",'Pilot offer'!$C$5+'Pilot offer'!$C$6,T179)</f>
        <v/>
      </c>
      <c r="Y179" s="15">
        <f>IF('Pilot offer'!$C$24="Yes",'Pilot offer'!$C$8,U179)</f>
        <v/>
      </c>
      <c r="Z179" s="43">
        <f>IF('Pilot offer'!$C$24="Yes",'Pilot offer'!$C$11,"")</f>
        <v/>
      </c>
      <c r="AA179" s="15">
        <f>IF(X179="","",W179&amp;" · "&amp;TEXT(X179,"ddd d mmm, hh:mm")&amp;" · "&amp;Y179&amp;IF(Z179&lt;&gt;""," · £"&amp;TEXT(Z179,"0.00")&amp;" per player"," · price TBC (cost £"&amp;TEXT(V179,"0.00")&amp;" pp)"))</f>
        <v/>
      </c>
      <c r="AD179" s="44" t="n"/>
    </row>
    <row r="180">
      <c r="A180" s="13" t="n">
        <v>178</v>
      </c>
      <c r="B180" s="13" t="inlineStr">
        <is>
          <t>1 · E8 London Fields</t>
        </is>
      </c>
      <c r="C180" s="13" t="inlineStr">
        <is>
          <t>Hospitality</t>
        </is>
      </c>
      <c r="D180" s="13" t="inlineStr">
        <is>
          <t>Local businesses</t>
        </is>
      </c>
      <c r="E180" s="13" t="inlineStr">
        <is>
          <t>Signature Brew Taproom and Venue</t>
        </is>
      </c>
      <c r="F180" s="13" t="inlineStr">
        <is>
          <t>amenity: pub</t>
        </is>
      </c>
      <c r="G180" s="13" t="inlineStr">
        <is>
          <t>info@signaturebrew.co.uk</t>
        </is>
      </c>
      <c r="H180" s="13" t="inlineStr">
        <is>
          <t>general</t>
        </is>
      </c>
      <c r="I180" s="13" t="inlineStr">
        <is>
          <t>+44 20 7684 4664</t>
        </is>
      </c>
      <c r="J180" s="14" t="inlineStr">
        <is>
          <t>https://www.signaturebrew.co.uk/pages/the-signature-brew-taproom-venue-in-haggerston-east-london</t>
        </is>
      </c>
      <c r="K180" s="13" t="inlineStr">
        <is>
          <t>Acton Mews 340, London</t>
        </is>
      </c>
      <c r="L180" s="13" t="inlineStr">
        <is>
          <t>E8 4EA</t>
        </is>
      </c>
      <c r="M180" s="13" t="inlineStr">
        <is>
          <t>COLA Shoreditch Park</t>
        </is>
      </c>
      <c r="N180" s="13" t="n">
        <v>9</v>
      </c>
      <c r="O180" s="15">
        <f>IFERROR(INDEX(Venues!$C$2:$C$10,MATCH(M180,Venues!$A$2:$A$10,0)),"Not checked")</f>
        <v/>
      </c>
      <c r="P180" s="15">
        <f>IFERROR(INDEX(Venues!$D$2:$D$10,MATCH(M180,Venues!$A$2:$A$10,0)),0)</f>
        <v/>
      </c>
      <c r="Q180" s="42">
        <f>IFERROR(INDEX(Venues!$E$2:$E$10,MATCH(M180,Venues!$A$2:$A$10,0)),"")</f>
        <v/>
      </c>
      <c r="R180" s="15">
        <f>IF(P180&gt;0,"Yes","No")</f>
        <v/>
      </c>
      <c r="S180" s="13" t="inlineStr">
        <is>
          <t>COLA Shoreditch Park</t>
        </is>
      </c>
      <c r="T180" s="42">
        <f>IFERROR(INDEX(Venues!$E$2:$E$10,MATCH(S180,Venues!$A$2:$A$10,0)),"")</f>
        <v/>
      </c>
      <c r="U180" s="15">
        <f>IFERROR(INDEX(Venues!$F$2:$F$10,MATCH(S180,Venues!$A$2:$A$10,0)),"")</f>
        <v/>
      </c>
      <c r="V180" s="43">
        <f>IFERROR(INDEX(Venues!$H$2:$H$10,MATCH(S180,Venues!$A$2:$A$10,0)),"")</f>
        <v/>
      </c>
      <c r="W180" s="15">
        <f>IF('Pilot offer'!$C$24="Yes",'Pilot offer'!$C$3,S180)</f>
        <v/>
      </c>
      <c r="X180" s="42">
        <f>IF('Pilot offer'!$C$24="Yes",'Pilot offer'!$C$5+'Pilot offer'!$C$6,T180)</f>
        <v/>
      </c>
      <c r="Y180" s="15">
        <f>IF('Pilot offer'!$C$24="Yes",'Pilot offer'!$C$8,U180)</f>
        <v/>
      </c>
      <c r="Z180" s="43">
        <f>IF('Pilot offer'!$C$24="Yes",'Pilot offer'!$C$11,"")</f>
        <v/>
      </c>
      <c r="AA180" s="15">
        <f>IF(X180="","",W180&amp;" · "&amp;TEXT(X180,"ddd d mmm, hh:mm")&amp;" · "&amp;Y180&amp;IF(Z180&lt;&gt;""," · £"&amp;TEXT(Z180,"0.00")&amp;" per player"," · price TBC (cost £"&amp;TEXT(V180,"0.00")&amp;" pp)"))</f>
        <v/>
      </c>
      <c r="AD180" s="44" t="n"/>
    </row>
    <row r="181">
      <c r="A181" s="13" t="n">
        <v>179</v>
      </c>
      <c r="B181" s="13" t="inlineStr">
        <is>
          <t>1 · E8 London Fields</t>
        </is>
      </c>
      <c r="C181" s="13" t="inlineStr">
        <is>
          <t>Office &amp; professional</t>
        </is>
      </c>
      <c r="D181" s="13" t="inlineStr">
        <is>
          <t>Corporate</t>
        </is>
      </c>
      <c r="E181" s="13" t="inlineStr">
        <is>
          <t>UK IT Service</t>
        </is>
      </c>
      <c r="F181" s="13" t="inlineStr">
        <is>
          <t>service</t>
        </is>
      </c>
      <c r="G181" s="13" t="inlineStr">
        <is>
          <t>hello@ukitservice.co.uk</t>
        </is>
      </c>
      <c r="H181" s="13" t="inlineStr">
        <is>
          <t>general</t>
        </is>
      </c>
      <c r="I181" s="13" t="inlineStr">
        <is>
          <t>+44 20 3034 1059</t>
        </is>
      </c>
      <c r="J181" s="14" t="inlineStr">
        <is>
          <t>https://www.ukitservice.co.uk/</t>
        </is>
      </c>
      <c r="K181" s="13" t="inlineStr">
        <is>
          <t>7 Stean St, London E8 4ED, UK</t>
        </is>
      </c>
      <c r="L181" s="13" t="inlineStr">
        <is>
          <t>E8 4ED</t>
        </is>
      </c>
      <c r="M181" s="13" t="inlineStr">
        <is>
          <t>COLA Shoreditch Park</t>
        </is>
      </c>
      <c r="N181" s="13" t="n">
        <v>10</v>
      </c>
      <c r="O181" s="15">
        <f>IFERROR(INDEX(Venues!$C$2:$C$10,MATCH(M181,Venues!$A$2:$A$10,0)),"Not checked")</f>
        <v/>
      </c>
      <c r="P181" s="15">
        <f>IFERROR(INDEX(Venues!$D$2:$D$10,MATCH(M181,Venues!$A$2:$A$10,0)),0)</f>
        <v/>
      </c>
      <c r="Q181" s="42">
        <f>IFERROR(INDEX(Venues!$E$2:$E$10,MATCH(M181,Venues!$A$2:$A$10,0)),"")</f>
        <v/>
      </c>
      <c r="R181" s="15">
        <f>IF(P181&gt;0,"Yes","No")</f>
        <v/>
      </c>
      <c r="S181" s="13" t="inlineStr">
        <is>
          <t>COLA Shoreditch Park</t>
        </is>
      </c>
      <c r="T181" s="42">
        <f>IFERROR(INDEX(Venues!$E$2:$E$10,MATCH(S181,Venues!$A$2:$A$10,0)),"")</f>
        <v/>
      </c>
      <c r="U181" s="15">
        <f>IFERROR(INDEX(Venues!$F$2:$F$10,MATCH(S181,Venues!$A$2:$A$10,0)),"")</f>
        <v/>
      </c>
      <c r="V181" s="43">
        <f>IFERROR(INDEX(Venues!$H$2:$H$10,MATCH(S181,Venues!$A$2:$A$10,0)),"")</f>
        <v/>
      </c>
      <c r="W181" s="15">
        <f>IF('Pilot offer'!$C$24="Yes",'Pilot offer'!$C$3,S181)</f>
        <v/>
      </c>
      <c r="X181" s="42">
        <f>IF('Pilot offer'!$C$24="Yes",'Pilot offer'!$C$5+'Pilot offer'!$C$6,T181)</f>
        <v/>
      </c>
      <c r="Y181" s="15">
        <f>IF('Pilot offer'!$C$24="Yes",'Pilot offer'!$C$8,U181)</f>
        <v/>
      </c>
      <c r="Z181" s="43">
        <f>IF('Pilot offer'!$C$24="Yes",'Pilot offer'!$C$11,"")</f>
        <v/>
      </c>
      <c r="AA181" s="15">
        <f>IF(X181="","",W181&amp;" · "&amp;TEXT(X181,"ddd d mmm, hh:mm")&amp;" · "&amp;Y181&amp;IF(Z181&lt;&gt;""," · £"&amp;TEXT(Z181,"0.00")&amp;" per player"," · price TBC (cost £"&amp;TEXT(V181,"0.00")&amp;" pp)"))</f>
        <v/>
      </c>
      <c r="AD181" s="44" t="n"/>
    </row>
    <row r="182">
      <c r="A182" s="13" t="n">
        <v>180</v>
      </c>
      <c r="B182" s="13" t="inlineStr">
        <is>
          <t>1 · E8 London Fields</t>
        </is>
      </c>
      <c r="C182" s="13" t="inlineStr">
        <is>
          <t>Education</t>
        </is>
      </c>
      <c r="D182" s="13" t="inlineStr">
        <is>
          <t>Local businesses</t>
        </is>
      </c>
      <c r="E182" s="13" t="inlineStr">
        <is>
          <t>Queensbridge Primary School</t>
        </is>
      </c>
      <c r="F182" s="13" t="inlineStr">
        <is>
          <t>amenity: school</t>
        </is>
      </c>
      <c r="G182" s="13" t="inlineStr">
        <is>
          <t>admin@queensbridge.hackney.sch.uk</t>
        </is>
      </c>
      <c r="H182" s="13" t="inlineStr">
        <is>
          <t>general</t>
        </is>
      </c>
      <c r="I182" s="13" t="inlineStr">
        <is>
          <t>+44 20 7254 1186</t>
        </is>
      </c>
      <c r="J182" s="14" t="inlineStr">
        <is>
          <t>https://www.queensbridge.hackney.sch.uk/</t>
        </is>
      </c>
      <c r="K182" s="13" t="inlineStr">
        <is>
          <t>Queensbridge Road, London</t>
        </is>
      </c>
      <c r="L182" s="13" t="inlineStr">
        <is>
          <t>E8 4ET</t>
        </is>
      </c>
      <c r="M182" s="13" t="inlineStr">
        <is>
          <t>COLA Shoreditch Park</t>
        </is>
      </c>
      <c r="N182" s="13" t="n">
        <v>16</v>
      </c>
      <c r="O182" s="15">
        <f>IFERROR(INDEX(Venues!$C$2:$C$10,MATCH(M182,Venues!$A$2:$A$10,0)),"Not checked")</f>
        <v/>
      </c>
      <c r="P182" s="15">
        <f>IFERROR(INDEX(Venues!$D$2:$D$10,MATCH(M182,Venues!$A$2:$A$10,0)),0)</f>
        <v/>
      </c>
      <c r="Q182" s="42">
        <f>IFERROR(INDEX(Venues!$E$2:$E$10,MATCH(M182,Venues!$A$2:$A$10,0)),"")</f>
        <v/>
      </c>
      <c r="R182" s="15">
        <f>IF(P182&gt;0,"Yes","No")</f>
        <v/>
      </c>
      <c r="S182" s="13" t="inlineStr">
        <is>
          <t>COLA Shoreditch Park</t>
        </is>
      </c>
      <c r="T182" s="42">
        <f>IFERROR(INDEX(Venues!$E$2:$E$10,MATCH(S182,Venues!$A$2:$A$10,0)),"")</f>
        <v/>
      </c>
      <c r="U182" s="15">
        <f>IFERROR(INDEX(Venues!$F$2:$F$10,MATCH(S182,Venues!$A$2:$A$10,0)),"")</f>
        <v/>
      </c>
      <c r="V182" s="43">
        <f>IFERROR(INDEX(Venues!$H$2:$H$10,MATCH(S182,Venues!$A$2:$A$10,0)),"")</f>
        <v/>
      </c>
      <c r="W182" s="15">
        <f>IF('Pilot offer'!$C$24="Yes",'Pilot offer'!$C$3,S182)</f>
        <v/>
      </c>
      <c r="X182" s="42">
        <f>IF('Pilot offer'!$C$24="Yes",'Pilot offer'!$C$5+'Pilot offer'!$C$6,T182)</f>
        <v/>
      </c>
      <c r="Y182" s="15">
        <f>IF('Pilot offer'!$C$24="Yes",'Pilot offer'!$C$8,U182)</f>
        <v/>
      </c>
      <c r="Z182" s="43">
        <f>IF('Pilot offer'!$C$24="Yes",'Pilot offer'!$C$11,"")</f>
        <v/>
      </c>
      <c r="AA182" s="15">
        <f>IF(X182="","",W182&amp;" · "&amp;TEXT(X182,"ddd d mmm, hh:mm")&amp;" · "&amp;Y182&amp;IF(Z182&lt;&gt;""," · £"&amp;TEXT(Z182,"0.00")&amp;" per player"," · price TBC (cost £"&amp;TEXT(V182,"0.00")&amp;" pp)"))</f>
        <v/>
      </c>
      <c r="AD182" s="44" t="n"/>
    </row>
    <row r="183">
      <c r="A183" s="13" t="n">
        <v>181</v>
      </c>
      <c r="B183" s="13" t="inlineStr">
        <is>
          <t>1 · E8 London Fields</t>
        </is>
      </c>
      <c r="C183" s="13" t="inlineStr">
        <is>
          <t>Coworking / shared office</t>
        </is>
      </c>
      <c r="D183" s="13" t="inlineStr">
        <is>
          <t>Corporate</t>
        </is>
      </c>
      <c r="E183" s="13" t="inlineStr">
        <is>
          <t>Batch.Space</t>
        </is>
      </c>
      <c r="F183" s="13" t="inlineStr">
        <is>
          <t>coworking_space</t>
        </is>
      </c>
      <c r="G183" s="13" t="inlineStr">
        <is>
          <t>hello@hackneydepot.com</t>
        </is>
      </c>
      <c r="H183" s="13" t="inlineStr">
        <is>
          <t>general</t>
        </is>
      </c>
      <c r="I183" s="13" t="n"/>
      <c r="J183" s="14" t="inlineStr">
        <is>
          <t>http://batch.space/</t>
        </is>
      </c>
      <c r="K183" s="13" t="inlineStr">
        <is>
          <t>5 Sheep Ln, London E8 4QS, UK</t>
        </is>
      </c>
      <c r="L183" s="13" t="inlineStr">
        <is>
          <t>E8 4QS</t>
        </is>
      </c>
      <c r="M183" s="13" t="inlineStr">
        <is>
          <t>Hackney</t>
        </is>
      </c>
      <c r="N183" s="13" t="n">
        <v>24</v>
      </c>
      <c r="O183" s="15">
        <f>IFERROR(INDEX(Venues!$C$2:$C$10,MATCH(M183,Venues!$A$2:$A$10,0)),"Not checked")</f>
        <v/>
      </c>
      <c r="P183" s="15">
        <f>IFERROR(INDEX(Venues!$D$2:$D$10,MATCH(M183,Venues!$A$2:$A$10,0)),0)</f>
        <v/>
      </c>
      <c r="Q183" s="42">
        <f>IFERROR(INDEX(Venues!$E$2:$E$10,MATCH(M183,Venues!$A$2:$A$10,0)),"")</f>
        <v/>
      </c>
      <c r="R183" s="15">
        <f>IF(P183&gt;0,"Yes","No")</f>
        <v/>
      </c>
      <c r="S183" s="13" t="inlineStr">
        <is>
          <t>Hackney</t>
        </is>
      </c>
      <c r="T183" s="42">
        <f>IFERROR(INDEX(Venues!$E$2:$E$10,MATCH(S183,Venues!$A$2:$A$10,0)),"")</f>
        <v/>
      </c>
      <c r="U183" s="15">
        <f>IFERROR(INDEX(Venues!$F$2:$F$10,MATCH(S183,Venues!$A$2:$A$10,0)),"")</f>
        <v/>
      </c>
      <c r="V183" s="43">
        <f>IFERROR(INDEX(Venues!$H$2:$H$10,MATCH(S183,Venues!$A$2:$A$10,0)),"")</f>
        <v/>
      </c>
      <c r="W183" s="15">
        <f>IF('Pilot offer'!$C$24="Yes",'Pilot offer'!$C$3,S183)</f>
        <v/>
      </c>
      <c r="X183" s="42">
        <f>IF('Pilot offer'!$C$24="Yes",'Pilot offer'!$C$5+'Pilot offer'!$C$6,T183)</f>
        <v/>
      </c>
      <c r="Y183" s="15">
        <f>IF('Pilot offer'!$C$24="Yes",'Pilot offer'!$C$8,U183)</f>
        <v/>
      </c>
      <c r="Z183" s="43">
        <f>IF('Pilot offer'!$C$24="Yes",'Pilot offer'!$C$11,"")</f>
        <v/>
      </c>
      <c r="AA183" s="15">
        <f>IF(X183="","",W183&amp;" · "&amp;TEXT(X183,"ddd d mmm, hh:mm")&amp;" · "&amp;Y183&amp;IF(Z183&lt;&gt;""," · £"&amp;TEXT(Z183,"0.00")&amp;" per player"," · price TBC (cost £"&amp;TEXT(V183,"0.00")&amp;" pp)"))</f>
        <v/>
      </c>
      <c r="AD183" s="44" t="n"/>
    </row>
    <row r="184">
      <c r="A184" s="13" t="n">
        <v>182</v>
      </c>
      <c r="B184" s="13" t="inlineStr">
        <is>
          <t>1 · E8 London Fields</t>
        </is>
      </c>
      <c r="C184" s="13" t="inlineStr">
        <is>
          <t>Office &amp; professional</t>
        </is>
      </c>
      <c r="D184" s="13" t="inlineStr">
        <is>
          <t>Corporate</t>
        </is>
      </c>
      <c r="E184" s="13" t="inlineStr">
        <is>
          <t>Charles Milnes &amp; Company Ltd</t>
        </is>
      </c>
      <c r="F184" s="13" t="inlineStr">
        <is>
          <t>insurance_agency</t>
        </is>
      </c>
      <c r="G184" s="13" t="inlineStr">
        <is>
          <t>cm@charlesmilnes.co.uk</t>
        </is>
      </c>
      <c r="H184" s="13" t="inlineStr">
        <is>
          <t>person_or_other</t>
        </is>
      </c>
      <c r="I184" s="13" t="n"/>
      <c r="J184" s="14" t="inlineStr">
        <is>
          <t>https://www.charlesmilnes.co.uk/</t>
        </is>
      </c>
      <c r="K184" s="13" t="inlineStr">
        <is>
          <t>16-29 Andrews Rd, London E8 4QZ, UK</t>
        </is>
      </c>
      <c r="L184" s="13" t="inlineStr">
        <is>
          <t>E8 4QZ</t>
        </is>
      </c>
      <c r="M184" s="13" t="inlineStr">
        <is>
          <t>Stepney 3G</t>
        </is>
      </c>
      <c r="N184" s="13" t="n">
        <v>24</v>
      </c>
      <c r="O184" s="15">
        <f>IFERROR(INDEX(Venues!$C$2:$C$10,MATCH(M184,Venues!$A$2:$A$10,0)),"Not checked")</f>
        <v/>
      </c>
      <c r="P184" s="15">
        <f>IFERROR(INDEX(Venues!$D$2:$D$10,MATCH(M184,Venues!$A$2:$A$10,0)),0)</f>
        <v/>
      </c>
      <c r="Q184" s="42">
        <f>IFERROR(INDEX(Venues!$E$2:$E$10,MATCH(M184,Venues!$A$2:$A$10,0)),"")</f>
        <v/>
      </c>
      <c r="R184" s="15">
        <f>IF(P184&gt;0,"Yes","No")</f>
        <v/>
      </c>
      <c r="S184" s="13" t="inlineStr">
        <is>
          <t>COLA Shoreditch Park</t>
        </is>
      </c>
      <c r="T184" s="42">
        <f>IFERROR(INDEX(Venues!$E$2:$E$10,MATCH(S184,Venues!$A$2:$A$10,0)),"")</f>
        <v/>
      </c>
      <c r="U184" s="15">
        <f>IFERROR(INDEX(Venues!$F$2:$F$10,MATCH(S184,Venues!$A$2:$A$10,0)),"")</f>
        <v/>
      </c>
      <c r="V184" s="43">
        <f>IFERROR(INDEX(Venues!$H$2:$H$10,MATCH(S184,Venues!$A$2:$A$10,0)),"")</f>
        <v/>
      </c>
      <c r="W184" s="15">
        <f>IF('Pilot offer'!$C$24="Yes",'Pilot offer'!$C$3,S184)</f>
        <v/>
      </c>
      <c r="X184" s="42">
        <f>IF('Pilot offer'!$C$24="Yes",'Pilot offer'!$C$5+'Pilot offer'!$C$6,T184)</f>
        <v/>
      </c>
      <c r="Y184" s="15">
        <f>IF('Pilot offer'!$C$24="Yes",'Pilot offer'!$C$8,U184)</f>
        <v/>
      </c>
      <c r="Z184" s="43">
        <f>IF('Pilot offer'!$C$24="Yes",'Pilot offer'!$C$11,"")</f>
        <v/>
      </c>
      <c r="AA184" s="15">
        <f>IF(X184="","",W184&amp;" · "&amp;TEXT(X184,"ddd d mmm, hh:mm")&amp;" · "&amp;Y184&amp;IF(Z184&lt;&gt;""," · £"&amp;TEXT(Z184,"0.00")&amp;" per player"," · price TBC (cost £"&amp;TEXT(V184,"0.00")&amp;" pp)"))</f>
        <v/>
      </c>
      <c r="AD184" s="44" t="n"/>
    </row>
    <row r="185">
      <c r="A185" s="13" t="n">
        <v>183</v>
      </c>
      <c r="B185" s="13" t="inlineStr">
        <is>
          <t>2 · EC2A Shoreditch</t>
        </is>
      </c>
      <c r="C185" s="13" t="inlineStr">
        <is>
          <t>Office &amp; professional</t>
        </is>
      </c>
      <c r="D185" s="13" t="inlineStr">
        <is>
          <t>Corporate</t>
        </is>
      </c>
      <c r="E185" s="13" t="inlineStr">
        <is>
          <t>Epoch Biodesign</t>
        </is>
      </c>
      <c r="F185" s="13" t="inlineStr">
        <is>
          <t>company</t>
        </is>
      </c>
      <c r="G185" s="13" t="inlineStr">
        <is>
          <t>hello@epochbiodesign.com</t>
        </is>
      </c>
      <c r="H185" s="13" t="inlineStr">
        <is>
          <t>general</t>
        </is>
      </c>
      <c r="I185" s="13" t="n"/>
      <c r="J185" s="14" t="inlineStr">
        <is>
          <t>https://www.epochbiodesign.com/</t>
        </is>
      </c>
      <c r="K185" s="13" t="inlineStr">
        <is>
          <t>10 Finsbury Square, London</t>
        </is>
      </c>
      <c r="L185" s="13" t="inlineStr">
        <is>
          <t>EC2A 1AJ</t>
        </is>
      </c>
      <c r="M185" s="13" t="inlineStr">
        <is>
          <t>Old St - Moreland Primary School</t>
        </is>
      </c>
      <c r="N185" s="13" t="n">
        <v>18</v>
      </c>
      <c r="O185" s="15">
        <f>IFERROR(INDEX(Venues!$C$2:$C$10,MATCH(M185,Venues!$A$2:$A$10,0)),"Not checked")</f>
        <v/>
      </c>
      <c r="P185" s="15">
        <f>IFERROR(INDEX(Venues!$D$2:$D$10,MATCH(M185,Venues!$A$2:$A$10,0)),0)</f>
        <v/>
      </c>
      <c r="Q185" s="42">
        <f>IFERROR(INDEX(Venues!$E$2:$E$10,MATCH(M185,Venues!$A$2:$A$10,0)),"")</f>
        <v/>
      </c>
      <c r="R185" s="15">
        <f>IF(P185&gt;0,"Yes","No")</f>
        <v/>
      </c>
      <c r="S185" s="13" t="inlineStr">
        <is>
          <t>Old St - Moreland Primary School</t>
        </is>
      </c>
      <c r="T185" s="42">
        <f>IFERROR(INDEX(Venues!$E$2:$E$10,MATCH(S185,Venues!$A$2:$A$10,0)),"")</f>
        <v/>
      </c>
      <c r="U185" s="15">
        <f>IFERROR(INDEX(Venues!$F$2:$F$10,MATCH(S185,Venues!$A$2:$A$10,0)),"")</f>
        <v/>
      </c>
      <c r="V185" s="43">
        <f>IFERROR(INDEX(Venues!$H$2:$H$10,MATCH(S185,Venues!$A$2:$A$10,0)),"")</f>
        <v/>
      </c>
      <c r="W185" s="15">
        <f>IF('Pilot offer'!$C$24="Yes",'Pilot offer'!$C$3,S185)</f>
        <v/>
      </c>
      <c r="X185" s="42">
        <f>IF('Pilot offer'!$C$24="Yes",'Pilot offer'!$C$5+'Pilot offer'!$C$6,T185)</f>
        <v/>
      </c>
      <c r="Y185" s="15">
        <f>IF('Pilot offer'!$C$24="Yes",'Pilot offer'!$C$8,U185)</f>
        <v/>
      </c>
      <c r="Z185" s="43">
        <f>IF('Pilot offer'!$C$24="Yes",'Pilot offer'!$C$11,"")</f>
        <v/>
      </c>
      <c r="AA185" s="15">
        <f>IF(X185="","",W185&amp;" · "&amp;TEXT(X185,"ddd d mmm, hh:mm")&amp;" · "&amp;Y185&amp;IF(Z185&lt;&gt;""," · £"&amp;TEXT(Z185,"0.00")&amp;" per player"," · price TBC (cost £"&amp;TEXT(V185,"0.00")&amp;" pp)"))</f>
        <v/>
      </c>
      <c r="AD185" s="44" t="n"/>
    </row>
    <row r="186">
      <c r="A186" s="13" t="n">
        <v>184</v>
      </c>
      <c r="B186" s="13" t="inlineStr">
        <is>
          <t>2 · EC2A Shoreditch</t>
        </is>
      </c>
      <c r="C186" s="13" t="inlineStr">
        <is>
          <t>Hospitality</t>
        </is>
      </c>
      <c r="D186" s="13" t="inlineStr">
        <is>
          <t>Local businesses</t>
        </is>
      </c>
      <c r="E186" s="13" t="inlineStr">
        <is>
          <t>Finch's</t>
        </is>
      </c>
      <c r="F186" s="13" t="inlineStr">
        <is>
          <t>amenity: pub</t>
        </is>
      </c>
      <c r="G186" s="13" t="inlineStr">
        <is>
          <t>finchs@youngs.co.uk</t>
        </is>
      </c>
      <c r="H186" s="13" t="inlineStr">
        <is>
          <t>openstreetmap_tag</t>
        </is>
      </c>
      <c r="I186" s="13" t="inlineStr">
        <is>
          <t>+44 20 7588 3311</t>
        </is>
      </c>
      <c r="J186" s="14" t="inlineStr">
        <is>
          <t>https://www.finchspub.co.uk/</t>
        </is>
      </c>
      <c r="K186" s="13" t="inlineStr">
        <is>
          <t>Finsbury Square 12a, London</t>
        </is>
      </c>
      <c r="L186" s="13" t="inlineStr">
        <is>
          <t>EC2A 1AN</t>
        </is>
      </c>
      <c r="M186" s="13" t="inlineStr">
        <is>
          <t>Old St - Moreland Primary School</t>
        </is>
      </c>
      <c r="N186" s="13" t="n">
        <v>17</v>
      </c>
      <c r="O186" s="15">
        <f>IFERROR(INDEX(Venues!$C$2:$C$10,MATCH(M186,Venues!$A$2:$A$10,0)),"Not checked")</f>
        <v/>
      </c>
      <c r="P186" s="15">
        <f>IFERROR(INDEX(Venues!$D$2:$D$10,MATCH(M186,Venues!$A$2:$A$10,0)),0)</f>
        <v/>
      </c>
      <c r="Q186" s="42">
        <f>IFERROR(INDEX(Venues!$E$2:$E$10,MATCH(M186,Venues!$A$2:$A$10,0)),"")</f>
        <v/>
      </c>
      <c r="R186" s="15">
        <f>IF(P186&gt;0,"Yes","No")</f>
        <v/>
      </c>
      <c r="S186" s="13" t="inlineStr">
        <is>
          <t>Old St - Moreland Primary School</t>
        </is>
      </c>
      <c r="T186" s="42">
        <f>IFERROR(INDEX(Venues!$E$2:$E$10,MATCH(S186,Venues!$A$2:$A$10,0)),"")</f>
        <v/>
      </c>
      <c r="U186" s="15">
        <f>IFERROR(INDEX(Venues!$F$2:$F$10,MATCH(S186,Venues!$A$2:$A$10,0)),"")</f>
        <v/>
      </c>
      <c r="V186" s="43">
        <f>IFERROR(INDEX(Venues!$H$2:$H$10,MATCH(S186,Venues!$A$2:$A$10,0)),"")</f>
        <v/>
      </c>
      <c r="W186" s="15">
        <f>IF('Pilot offer'!$C$24="Yes",'Pilot offer'!$C$3,S186)</f>
        <v/>
      </c>
      <c r="X186" s="42">
        <f>IF('Pilot offer'!$C$24="Yes",'Pilot offer'!$C$5+'Pilot offer'!$C$6,T186)</f>
        <v/>
      </c>
      <c r="Y186" s="15">
        <f>IF('Pilot offer'!$C$24="Yes",'Pilot offer'!$C$8,U186)</f>
        <v/>
      </c>
      <c r="Z186" s="43">
        <f>IF('Pilot offer'!$C$24="Yes",'Pilot offer'!$C$11,"")</f>
        <v/>
      </c>
      <c r="AA186" s="15">
        <f>IF(X186="","",W186&amp;" · "&amp;TEXT(X186,"ddd d mmm, hh:mm")&amp;" · "&amp;Y186&amp;IF(Z186&lt;&gt;""," · £"&amp;TEXT(Z186,"0.00")&amp;" per player"," · price TBC (cost £"&amp;TEXT(V186,"0.00")&amp;" pp)"))</f>
        <v/>
      </c>
      <c r="AD186" s="44" t="n"/>
    </row>
    <row r="187">
      <c r="A187" s="13" t="n">
        <v>185</v>
      </c>
      <c r="B187" s="13" t="inlineStr">
        <is>
          <t>2 · EC2A Shoreditch</t>
        </is>
      </c>
      <c r="C187" s="13" t="inlineStr">
        <is>
          <t>Hospitality</t>
        </is>
      </c>
      <c r="D187" s="13" t="inlineStr">
        <is>
          <t>Local businesses</t>
        </is>
      </c>
      <c r="E187" s="13" t="inlineStr">
        <is>
          <t>Aviary, Bar and Rooftop Restaurant</t>
        </is>
      </c>
      <c r="F187" s="13" t="inlineStr">
        <is>
          <t>amenity: restaurant</t>
        </is>
      </c>
      <c r="G187" s="13" t="inlineStr">
        <is>
          <t>info@aviarylondon.com</t>
        </is>
      </c>
      <c r="H187" s="13" t="inlineStr">
        <is>
          <t>openstreetmap_tag</t>
        </is>
      </c>
      <c r="I187" s="13" t="inlineStr">
        <is>
          <t>+44 20 3873 4060</t>
        </is>
      </c>
      <c r="J187" s="14" t="inlineStr">
        <is>
          <t>https://aviarylondon.com/</t>
        </is>
      </c>
      <c r="K187" s="13" t="inlineStr">
        <is>
          <t>Finsbury Square, London</t>
        </is>
      </c>
      <c r="L187" s="13" t="inlineStr">
        <is>
          <t>EC2A 1DX</t>
        </is>
      </c>
      <c r="M187" s="13" t="inlineStr">
        <is>
          <t>Old St - Moreland Primary School</t>
        </is>
      </c>
      <c r="N187" s="13" t="n">
        <v>19</v>
      </c>
      <c r="O187" s="15">
        <f>IFERROR(INDEX(Venues!$C$2:$C$10,MATCH(M187,Venues!$A$2:$A$10,0)),"Not checked")</f>
        <v/>
      </c>
      <c r="P187" s="15">
        <f>IFERROR(INDEX(Venues!$D$2:$D$10,MATCH(M187,Venues!$A$2:$A$10,0)),0)</f>
        <v/>
      </c>
      <c r="Q187" s="42">
        <f>IFERROR(INDEX(Venues!$E$2:$E$10,MATCH(M187,Venues!$A$2:$A$10,0)),"")</f>
        <v/>
      </c>
      <c r="R187" s="15">
        <f>IF(P187&gt;0,"Yes","No")</f>
        <v/>
      </c>
      <c r="S187" s="13" t="inlineStr">
        <is>
          <t>Old St - Moreland Primary School</t>
        </is>
      </c>
      <c r="T187" s="42">
        <f>IFERROR(INDEX(Venues!$E$2:$E$10,MATCH(S187,Venues!$A$2:$A$10,0)),"")</f>
        <v/>
      </c>
      <c r="U187" s="15">
        <f>IFERROR(INDEX(Venues!$F$2:$F$10,MATCH(S187,Venues!$A$2:$A$10,0)),"")</f>
        <v/>
      </c>
      <c r="V187" s="43">
        <f>IFERROR(INDEX(Venues!$H$2:$H$10,MATCH(S187,Venues!$A$2:$A$10,0)),"")</f>
        <v/>
      </c>
      <c r="W187" s="15">
        <f>IF('Pilot offer'!$C$24="Yes",'Pilot offer'!$C$3,S187)</f>
        <v/>
      </c>
      <c r="X187" s="42">
        <f>IF('Pilot offer'!$C$24="Yes",'Pilot offer'!$C$5+'Pilot offer'!$C$6,T187)</f>
        <v/>
      </c>
      <c r="Y187" s="15">
        <f>IF('Pilot offer'!$C$24="Yes",'Pilot offer'!$C$8,U187)</f>
        <v/>
      </c>
      <c r="Z187" s="43">
        <f>IF('Pilot offer'!$C$24="Yes",'Pilot offer'!$C$11,"")</f>
        <v/>
      </c>
      <c r="AA187" s="15">
        <f>IF(X187="","",W187&amp;" · "&amp;TEXT(X187,"ddd d mmm, hh:mm")&amp;" · "&amp;Y187&amp;IF(Z187&lt;&gt;""," · £"&amp;TEXT(Z187,"0.00")&amp;" per player"," · price TBC (cost £"&amp;TEXT(V187,"0.00")&amp;" pp)"))</f>
        <v/>
      </c>
      <c r="AD187" s="44" t="n"/>
    </row>
    <row r="188">
      <c r="A188" s="13" t="n">
        <v>186</v>
      </c>
      <c r="B188" s="13" t="inlineStr">
        <is>
          <t>2 · EC2A Shoreditch</t>
        </is>
      </c>
      <c r="C188" s="13" t="inlineStr">
        <is>
          <t>Other</t>
        </is>
      </c>
      <c r="D188" s="13" t="inlineStr">
        <is>
          <t>Corporate</t>
        </is>
      </c>
      <c r="E188" s="13" t="inlineStr">
        <is>
          <t>Viasat</t>
        </is>
      </c>
      <c r="F188" s="13" t="inlineStr">
        <is>
          <t>telecommunication</t>
        </is>
      </c>
      <c r="G188" s="13" t="inlineStr">
        <is>
          <t>pr@viasat.com</t>
        </is>
      </c>
      <c r="H188" s="13" t="inlineStr">
        <is>
          <t>people_team</t>
        </is>
      </c>
      <c r="I188" s="13" t="n"/>
      <c r="J188" s="14" t="inlineStr">
        <is>
          <t>https://www.viasat.com/about/company/locations/?location=uk-london</t>
        </is>
      </c>
      <c r="K188" s="13" t="inlineStr">
        <is>
          <t>Finsbury Square, London</t>
        </is>
      </c>
      <c r="L188" s="13" t="inlineStr">
        <is>
          <t>EC2A 1HD</t>
        </is>
      </c>
      <c r="M188" s="13" t="inlineStr">
        <is>
          <t>Old St - Moreland Primary School</t>
        </is>
      </c>
      <c r="N188" s="13" t="n">
        <v>19</v>
      </c>
      <c r="O188" s="15">
        <f>IFERROR(INDEX(Venues!$C$2:$C$10,MATCH(M188,Venues!$A$2:$A$10,0)),"Not checked")</f>
        <v/>
      </c>
      <c r="P188" s="15">
        <f>IFERROR(INDEX(Venues!$D$2:$D$10,MATCH(M188,Venues!$A$2:$A$10,0)),0)</f>
        <v/>
      </c>
      <c r="Q188" s="42">
        <f>IFERROR(INDEX(Venues!$E$2:$E$10,MATCH(M188,Venues!$A$2:$A$10,0)),"")</f>
        <v/>
      </c>
      <c r="R188" s="15">
        <f>IF(P188&gt;0,"Yes","No")</f>
        <v/>
      </c>
      <c r="S188" s="13" t="inlineStr">
        <is>
          <t>Old St - Moreland Primary School</t>
        </is>
      </c>
      <c r="T188" s="42">
        <f>IFERROR(INDEX(Venues!$E$2:$E$10,MATCH(S188,Venues!$A$2:$A$10,0)),"")</f>
        <v/>
      </c>
      <c r="U188" s="15">
        <f>IFERROR(INDEX(Venues!$F$2:$F$10,MATCH(S188,Venues!$A$2:$A$10,0)),"")</f>
        <v/>
      </c>
      <c r="V188" s="43">
        <f>IFERROR(INDEX(Venues!$H$2:$H$10,MATCH(S188,Venues!$A$2:$A$10,0)),"")</f>
        <v/>
      </c>
      <c r="W188" s="15">
        <f>IF('Pilot offer'!$C$24="Yes",'Pilot offer'!$C$3,S188)</f>
        <v/>
      </c>
      <c r="X188" s="42">
        <f>IF('Pilot offer'!$C$24="Yes",'Pilot offer'!$C$5+'Pilot offer'!$C$6,T188)</f>
        <v/>
      </c>
      <c r="Y188" s="15">
        <f>IF('Pilot offer'!$C$24="Yes",'Pilot offer'!$C$8,U188)</f>
        <v/>
      </c>
      <c r="Z188" s="43">
        <f>IF('Pilot offer'!$C$24="Yes",'Pilot offer'!$C$11,"")</f>
        <v/>
      </c>
      <c r="AA188" s="15">
        <f>IF(X188="","",W188&amp;" · "&amp;TEXT(X188,"ddd d mmm, hh:mm")&amp;" · "&amp;Y188&amp;IF(Z188&lt;&gt;""," · £"&amp;TEXT(Z188,"0.00")&amp;" per player"," · price TBC (cost £"&amp;TEXT(V188,"0.00")&amp;" pp)"))</f>
        <v/>
      </c>
      <c r="AD188" s="44" t="n"/>
    </row>
    <row r="189">
      <c r="A189" s="13" t="n">
        <v>187</v>
      </c>
      <c r="B189" s="13" t="inlineStr">
        <is>
          <t>2 · EC2A Shoreditch</t>
        </is>
      </c>
      <c r="C189" s="13" t="inlineStr">
        <is>
          <t>Office &amp; professional</t>
        </is>
      </c>
      <c r="D189" s="13" t="inlineStr">
        <is>
          <t>Corporate</t>
        </is>
      </c>
      <c r="E189" s="13" t="inlineStr">
        <is>
          <t>Figtree Technology</t>
        </is>
      </c>
      <c r="F189" s="13" t="inlineStr">
        <is>
          <t>service</t>
        </is>
      </c>
      <c r="G189" s="13" t="inlineStr">
        <is>
          <t>contact@figtreetechnology.co.uk</t>
        </is>
      </c>
      <c r="H189" s="13" t="inlineStr">
        <is>
          <t>general</t>
        </is>
      </c>
      <c r="I189" s="13" t="n"/>
      <c r="J189" s="14" t="inlineStr">
        <is>
          <t>https://www.figtreetechnology.co.uk/</t>
        </is>
      </c>
      <c r="K189" s="13" t="inlineStr">
        <is>
          <t>131 Finsbury Pavement, London EC2A 1NT, UK</t>
        </is>
      </c>
      <c r="L189" s="13" t="inlineStr">
        <is>
          <t>EC2A 1NT</t>
        </is>
      </c>
      <c r="M189" s="13" t="inlineStr">
        <is>
          <t>Old St - Moreland Primary School</t>
        </is>
      </c>
      <c r="N189" s="13" t="n">
        <v>19</v>
      </c>
      <c r="O189" s="15">
        <f>IFERROR(INDEX(Venues!$C$2:$C$10,MATCH(M189,Venues!$A$2:$A$10,0)),"Not checked")</f>
        <v/>
      </c>
      <c r="P189" s="15">
        <f>IFERROR(INDEX(Venues!$D$2:$D$10,MATCH(M189,Venues!$A$2:$A$10,0)),0)</f>
        <v/>
      </c>
      <c r="Q189" s="42">
        <f>IFERROR(INDEX(Venues!$E$2:$E$10,MATCH(M189,Venues!$A$2:$A$10,0)),"")</f>
        <v/>
      </c>
      <c r="R189" s="15">
        <f>IF(P189&gt;0,"Yes","No")</f>
        <v/>
      </c>
      <c r="S189" s="13" t="inlineStr">
        <is>
          <t>Old St - Moreland Primary School</t>
        </is>
      </c>
      <c r="T189" s="42">
        <f>IFERROR(INDEX(Venues!$E$2:$E$10,MATCH(S189,Venues!$A$2:$A$10,0)),"")</f>
        <v/>
      </c>
      <c r="U189" s="15">
        <f>IFERROR(INDEX(Venues!$F$2:$F$10,MATCH(S189,Venues!$A$2:$A$10,0)),"")</f>
        <v/>
      </c>
      <c r="V189" s="43">
        <f>IFERROR(INDEX(Venues!$H$2:$H$10,MATCH(S189,Venues!$A$2:$A$10,0)),"")</f>
        <v/>
      </c>
      <c r="W189" s="15">
        <f>IF('Pilot offer'!$C$24="Yes",'Pilot offer'!$C$3,S189)</f>
        <v/>
      </c>
      <c r="X189" s="42">
        <f>IF('Pilot offer'!$C$24="Yes",'Pilot offer'!$C$5+'Pilot offer'!$C$6,T189)</f>
        <v/>
      </c>
      <c r="Y189" s="15">
        <f>IF('Pilot offer'!$C$24="Yes",'Pilot offer'!$C$8,U189)</f>
        <v/>
      </c>
      <c r="Z189" s="43">
        <f>IF('Pilot offer'!$C$24="Yes",'Pilot offer'!$C$11,"")</f>
        <v/>
      </c>
      <c r="AA189" s="15">
        <f>IF(X189="","",W189&amp;" · "&amp;TEXT(X189,"ddd d mmm, hh:mm")&amp;" · "&amp;Y189&amp;IF(Z189&lt;&gt;""," · £"&amp;TEXT(Z189,"0.00")&amp;" per player"," · price TBC (cost £"&amp;TEXT(V189,"0.00")&amp;" pp)"))</f>
        <v/>
      </c>
      <c r="AD189" s="44" t="n"/>
    </row>
    <row r="190">
      <c r="A190" s="13" t="n">
        <v>188</v>
      </c>
      <c r="B190" s="13" t="inlineStr">
        <is>
          <t>2 · EC2A Shoreditch</t>
        </is>
      </c>
      <c r="C190" s="13" t="inlineStr">
        <is>
          <t>Office &amp; professional</t>
        </is>
      </c>
      <c r="D190" s="13" t="inlineStr">
        <is>
          <t>Corporate</t>
        </is>
      </c>
      <c r="E190" s="13" t="inlineStr">
        <is>
          <t>CACEIS</t>
        </is>
      </c>
      <c r="F190" s="13" t="inlineStr">
        <is>
          <t>finance</t>
        </is>
      </c>
      <c r="G190" s="13" t="inlineStr">
        <is>
          <t>caceis-bo-peres@caceis.com</t>
        </is>
      </c>
      <c r="H190" s="13" t="inlineStr">
        <is>
          <t>person_or_other</t>
        </is>
      </c>
      <c r="I190" s="13" t="inlineStr">
        <is>
          <t>+44 20 7858 0860</t>
        </is>
      </c>
      <c r="J190" s="14" t="inlineStr">
        <is>
          <t>http://www.caceis.com/</t>
        </is>
      </c>
      <c r="K190" s="13" t="inlineStr">
        <is>
          <t>Broadwalk House, 5 Appold St, London EC2A 2AG, UK</t>
        </is>
      </c>
      <c r="L190" s="13" t="inlineStr">
        <is>
          <t>EC2A 2AG</t>
        </is>
      </c>
      <c r="M190" s="13" t="inlineStr">
        <is>
          <t>Old St - Moreland Primary School</t>
        </is>
      </c>
      <c r="N190" s="13" t="n">
        <v>24</v>
      </c>
      <c r="O190" s="15">
        <f>IFERROR(INDEX(Venues!$C$2:$C$10,MATCH(M190,Venues!$A$2:$A$10,0)),"Not checked")</f>
        <v/>
      </c>
      <c r="P190" s="15">
        <f>IFERROR(INDEX(Venues!$D$2:$D$10,MATCH(M190,Venues!$A$2:$A$10,0)),0)</f>
        <v/>
      </c>
      <c r="Q190" s="42">
        <f>IFERROR(INDEX(Venues!$E$2:$E$10,MATCH(M190,Venues!$A$2:$A$10,0)),"")</f>
        <v/>
      </c>
      <c r="R190" s="15">
        <f>IF(P190&gt;0,"Yes","No")</f>
        <v/>
      </c>
      <c r="S190" s="13" t="inlineStr">
        <is>
          <t>Old St - Moreland Primary School</t>
        </is>
      </c>
      <c r="T190" s="42">
        <f>IFERROR(INDEX(Venues!$E$2:$E$10,MATCH(S190,Venues!$A$2:$A$10,0)),"")</f>
        <v/>
      </c>
      <c r="U190" s="15">
        <f>IFERROR(INDEX(Venues!$F$2:$F$10,MATCH(S190,Venues!$A$2:$A$10,0)),"")</f>
        <v/>
      </c>
      <c r="V190" s="43">
        <f>IFERROR(INDEX(Venues!$H$2:$H$10,MATCH(S190,Venues!$A$2:$A$10,0)),"")</f>
        <v/>
      </c>
      <c r="W190" s="15">
        <f>IF('Pilot offer'!$C$24="Yes",'Pilot offer'!$C$3,S190)</f>
        <v/>
      </c>
      <c r="X190" s="42">
        <f>IF('Pilot offer'!$C$24="Yes",'Pilot offer'!$C$5+'Pilot offer'!$C$6,T190)</f>
        <v/>
      </c>
      <c r="Y190" s="15">
        <f>IF('Pilot offer'!$C$24="Yes",'Pilot offer'!$C$8,U190)</f>
        <v/>
      </c>
      <c r="Z190" s="43">
        <f>IF('Pilot offer'!$C$24="Yes",'Pilot offer'!$C$11,"")</f>
        <v/>
      </c>
      <c r="AA190" s="15">
        <f>IF(X190="","",W190&amp;" · "&amp;TEXT(X190,"ddd d mmm, hh:mm")&amp;" · "&amp;Y190&amp;IF(Z190&lt;&gt;""," · £"&amp;TEXT(Z190,"0.00")&amp;" per player"," · price TBC (cost £"&amp;TEXT(V190,"0.00")&amp;" pp)"))</f>
        <v/>
      </c>
      <c r="AD190" s="44" t="n"/>
    </row>
    <row r="191">
      <c r="A191" s="13" t="n">
        <v>189</v>
      </c>
      <c r="B191" s="13" t="inlineStr">
        <is>
          <t>2 · EC2A Shoreditch</t>
        </is>
      </c>
      <c r="C191" s="13" t="inlineStr">
        <is>
          <t>Hospitality</t>
        </is>
      </c>
      <c r="D191" s="13" t="inlineStr">
        <is>
          <t>Local businesses</t>
        </is>
      </c>
      <c r="E191" s="13" t="inlineStr">
        <is>
          <t>Flight Club</t>
        </is>
      </c>
      <c r="F191" s="13" t="inlineStr">
        <is>
          <t>amenity: bar</t>
        </is>
      </c>
      <c r="G191" s="13" t="inlineStr">
        <is>
          <t>press@flightclubdarts.com</t>
        </is>
      </c>
      <c r="H191" s="13" t="inlineStr">
        <is>
          <t>people_team</t>
        </is>
      </c>
      <c r="I191" s="13" t="inlineStr">
        <is>
          <t>+44 20 3019 3093</t>
        </is>
      </c>
      <c r="J191" s="14" t="inlineStr">
        <is>
          <t>https://flightclubdarts.com/</t>
        </is>
      </c>
      <c r="K191" s="13" t="inlineStr">
        <is>
          <t>Worship Street 2a, London</t>
        </is>
      </c>
      <c r="L191" s="13" t="inlineStr">
        <is>
          <t>EC2A 2AH</t>
        </is>
      </c>
      <c r="M191" s="13" t="inlineStr">
        <is>
          <t>Old St - Moreland Primary School</t>
        </is>
      </c>
      <c r="N191" s="13" t="n">
        <v>18</v>
      </c>
      <c r="O191" s="15">
        <f>IFERROR(INDEX(Venues!$C$2:$C$10,MATCH(M191,Venues!$A$2:$A$10,0)),"Not checked")</f>
        <v/>
      </c>
      <c r="P191" s="15">
        <f>IFERROR(INDEX(Venues!$D$2:$D$10,MATCH(M191,Venues!$A$2:$A$10,0)),0)</f>
        <v/>
      </c>
      <c r="Q191" s="42">
        <f>IFERROR(INDEX(Venues!$E$2:$E$10,MATCH(M191,Venues!$A$2:$A$10,0)),"")</f>
        <v/>
      </c>
      <c r="R191" s="15">
        <f>IF(P191&gt;0,"Yes","No")</f>
        <v/>
      </c>
      <c r="S191" s="13" t="inlineStr">
        <is>
          <t>Old St - Moreland Primary School</t>
        </is>
      </c>
      <c r="T191" s="42">
        <f>IFERROR(INDEX(Venues!$E$2:$E$10,MATCH(S191,Venues!$A$2:$A$10,0)),"")</f>
        <v/>
      </c>
      <c r="U191" s="15">
        <f>IFERROR(INDEX(Venues!$F$2:$F$10,MATCH(S191,Venues!$A$2:$A$10,0)),"")</f>
        <v/>
      </c>
      <c r="V191" s="43">
        <f>IFERROR(INDEX(Venues!$H$2:$H$10,MATCH(S191,Venues!$A$2:$A$10,0)),"")</f>
        <v/>
      </c>
      <c r="W191" s="15">
        <f>IF('Pilot offer'!$C$24="Yes",'Pilot offer'!$C$3,S191)</f>
        <v/>
      </c>
      <c r="X191" s="42">
        <f>IF('Pilot offer'!$C$24="Yes",'Pilot offer'!$C$5+'Pilot offer'!$C$6,T191)</f>
        <v/>
      </c>
      <c r="Y191" s="15">
        <f>IF('Pilot offer'!$C$24="Yes",'Pilot offer'!$C$8,U191)</f>
        <v/>
      </c>
      <c r="Z191" s="43">
        <f>IF('Pilot offer'!$C$24="Yes",'Pilot offer'!$C$11,"")</f>
        <v/>
      </c>
      <c r="AA191" s="15">
        <f>IF(X191="","",W191&amp;" · "&amp;TEXT(X191,"ddd d mmm, hh:mm")&amp;" · "&amp;Y191&amp;IF(Z191&lt;&gt;""," · £"&amp;TEXT(Z191,"0.00")&amp;" per player"," · price TBC (cost £"&amp;TEXT(V191,"0.00")&amp;" pp)"))</f>
        <v/>
      </c>
      <c r="AD191" s="44" t="n"/>
    </row>
    <row r="192">
      <c r="A192" s="13" t="n">
        <v>190</v>
      </c>
      <c r="B192" s="13" t="inlineStr">
        <is>
          <t>2 · EC2A Shoreditch</t>
        </is>
      </c>
      <c r="C192" s="13" t="inlineStr">
        <is>
          <t>Office &amp; professional</t>
        </is>
      </c>
      <c r="D192" s="13" t="inlineStr">
        <is>
          <t>Corporate</t>
        </is>
      </c>
      <c r="E192" s="13" t="inlineStr">
        <is>
          <t>123Financials - Accountants in London</t>
        </is>
      </c>
      <c r="F192" s="13" t="inlineStr">
        <is>
          <t>finance</t>
        </is>
      </c>
      <c r="G192" s="13" t="inlineStr">
        <is>
          <t>info@123financials.com</t>
        </is>
      </c>
      <c r="H192" s="13" t="inlineStr">
        <is>
          <t>general</t>
        </is>
      </c>
      <c r="I192" s="13" t="inlineStr">
        <is>
          <t>+44 20 3900 3500</t>
        </is>
      </c>
      <c r="J192" s="14" t="inlineStr">
        <is>
          <t>https://www.123financials.com/</t>
        </is>
      </c>
      <c r="K192" s="13" t="inlineStr">
        <is>
          <t>9 Appold St, London EC2A 2AP, UK</t>
        </is>
      </c>
      <c r="L192" s="13" t="inlineStr">
        <is>
          <t>EC2A 2AP</t>
        </is>
      </c>
      <c r="M192" s="13" t="inlineStr">
        <is>
          <t>Old St - Moreland Primary School</t>
        </is>
      </c>
      <c r="N192" s="13" t="n">
        <v>22</v>
      </c>
      <c r="O192" s="15">
        <f>IFERROR(INDEX(Venues!$C$2:$C$10,MATCH(M192,Venues!$A$2:$A$10,0)),"Not checked")</f>
        <v/>
      </c>
      <c r="P192" s="15">
        <f>IFERROR(INDEX(Venues!$D$2:$D$10,MATCH(M192,Venues!$A$2:$A$10,0)),0)</f>
        <v/>
      </c>
      <c r="Q192" s="42">
        <f>IFERROR(INDEX(Venues!$E$2:$E$10,MATCH(M192,Venues!$A$2:$A$10,0)),"")</f>
        <v/>
      </c>
      <c r="R192" s="15">
        <f>IF(P192&gt;0,"Yes","No")</f>
        <v/>
      </c>
      <c r="S192" s="13" t="inlineStr">
        <is>
          <t>Old St - Moreland Primary School</t>
        </is>
      </c>
      <c r="T192" s="42">
        <f>IFERROR(INDEX(Venues!$E$2:$E$10,MATCH(S192,Venues!$A$2:$A$10,0)),"")</f>
        <v/>
      </c>
      <c r="U192" s="15">
        <f>IFERROR(INDEX(Venues!$F$2:$F$10,MATCH(S192,Venues!$A$2:$A$10,0)),"")</f>
        <v/>
      </c>
      <c r="V192" s="43">
        <f>IFERROR(INDEX(Venues!$H$2:$H$10,MATCH(S192,Venues!$A$2:$A$10,0)),"")</f>
        <v/>
      </c>
      <c r="W192" s="15">
        <f>IF('Pilot offer'!$C$24="Yes",'Pilot offer'!$C$3,S192)</f>
        <v/>
      </c>
      <c r="X192" s="42">
        <f>IF('Pilot offer'!$C$24="Yes",'Pilot offer'!$C$5+'Pilot offer'!$C$6,T192)</f>
        <v/>
      </c>
      <c r="Y192" s="15">
        <f>IF('Pilot offer'!$C$24="Yes",'Pilot offer'!$C$8,U192)</f>
        <v/>
      </c>
      <c r="Z192" s="43">
        <f>IF('Pilot offer'!$C$24="Yes",'Pilot offer'!$C$11,"")</f>
        <v/>
      </c>
      <c r="AA192" s="15">
        <f>IF(X192="","",W192&amp;" · "&amp;TEXT(X192,"ddd d mmm, hh:mm")&amp;" · "&amp;Y192&amp;IF(Z192&lt;&gt;""," · £"&amp;TEXT(Z192,"0.00")&amp;" per player"," · price TBC (cost £"&amp;TEXT(V192,"0.00")&amp;" pp)"))</f>
        <v/>
      </c>
      <c r="AD192" s="44" t="n"/>
    </row>
    <row r="193">
      <c r="A193" s="13" t="n">
        <v>191</v>
      </c>
      <c r="B193" s="13" t="inlineStr">
        <is>
          <t>2 · EC2A Shoreditch</t>
        </is>
      </c>
      <c r="C193" s="13" t="inlineStr">
        <is>
          <t>Office &amp; professional</t>
        </is>
      </c>
      <c r="D193" s="13" t="inlineStr">
        <is>
          <t>Corporate</t>
        </is>
      </c>
      <c r="E193" s="13" t="inlineStr">
        <is>
          <t>Core Technology Systems [U.K.] Limited</t>
        </is>
      </c>
      <c r="F193" s="13" t="inlineStr">
        <is>
          <t>consultant</t>
        </is>
      </c>
      <c r="G193" s="13" t="inlineStr">
        <is>
          <t>hello@core.co.uk</t>
        </is>
      </c>
      <c r="H193" s="13" t="inlineStr">
        <is>
          <t>general</t>
        </is>
      </c>
      <c r="I193" s="13" t="inlineStr">
        <is>
          <t>+44 20 7626 0516</t>
        </is>
      </c>
      <c r="J193" s="14" t="inlineStr">
        <is>
          <t>https://core.co.uk/</t>
        </is>
      </c>
      <c r="K193" s="13" t="inlineStr">
        <is>
          <t>9 Appold St, London EC2A 2AP, UK</t>
        </is>
      </c>
      <c r="L193" s="13" t="inlineStr">
        <is>
          <t>EC2A 2AP</t>
        </is>
      </c>
      <c r="M193" s="13" t="inlineStr">
        <is>
          <t>Old St - Moreland Primary School</t>
        </is>
      </c>
      <c r="N193" s="13" t="n">
        <v>22</v>
      </c>
      <c r="O193" s="15">
        <f>IFERROR(INDEX(Venues!$C$2:$C$10,MATCH(M193,Venues!$A$2:$A$10,0)),"Not checked")</f>
        <v/>
      </c>
      <c r="P193" s="15">
        <f>IFERROR(INDEX(Venues!$D$2:$D$10,MATCH(M193,Venues!$A$2:$A$10,0)),0)</f>
        <v/>
      </c>
      <c r="Q193" s="42">
        <f>IFERROR(INDEX(Venues!$E$2:$E$10,MATCH(M193,Venues!$A$2:$A$10,0)),"")</f>
        <v/>
      </c>
      <c r="R193" s="15">
        <f>IF(P193&gt;0,"Yes","No")</f>
        <v/>
      </c>
      <c r="S193" s="13" t="inlineStr">
        <is>
          <t>Old St - Moreland Primary School</t>
        </is>
      </c>
      <c r="T193" s="42">
        <f>IFERROR(INDEX(Venues!$E$2:$E$10,MATCH(S193,Venues!$A$2:$A$10,0)),"")</f>
        <v/>
      </c>
      <c r="U193" s="15">
        <f>IFERROR(INDEX(Venues!$F$2:$F$10,MATCH(S193,Venues!$A$2:$A$10,0)),"")</f>
        <v/>
      </c>
      <c r="V193" s="43">
        <f>IFERROR(INDEX(Venues!$H$2:$H$10,MATCH(S193,Venues!$A$2:$A$10,0)),"")</f>
        <v/>
      </c>
      <c r="W193" s="15">
        <f>IF('Pilot offer'!$C$24="Yes",'Pilot offer'!$C$3,S193)</f>
        <v/>
      </c>
      <c r="X193" s="42">
        <f>IF('Pilot offer'!$C$24="Yes",'Pilot offer'!$C$5+'Pilot offer'!$C$6,T193)</f>
        <v/>
      </c>
      <c r="Y193" s="15">
        <f>IF('Pilot offer'!$C$24="Yes",'Pilot offer'!$C$8,U193)</f>
        <v/>
      </c>
      <c r="Z193" s="43">
        <f>IF('Pilot offer'!$C$24="Yes",'Pilot offer'!$C$11,"")</f>
        <v/>
      </c>
      <c r="AA193" s="15">
        <f>IF(X193="","",W193&amp;" · "&amp;TEXT(X193,"ddd d mmm, hh:mm")&amp;" · "&amp;Y193&amp;IF(Z193&lt;&gt;""," · £"&amp;TEXT(Z193,"0.00")&amp;" per player"," · price TBC (cost £"&amp;TEXT(V193,"0.00")&amp;" pp)"))</f>
        <v/>
      </c>
      <c r="AD193" s="44" t="n"/>
    </row>
    <row r="194">
      <c r="A194" s="13" t="n">
        <v>192</v>
      </c>
      <c r="B194" s="13" t="inlineStr">
        <is>
          <t>2 · EC2A Shoreditch</t>
        </is>
      </c>
      <c r="C194" s="13" t="inlineStr">
        <is>
          <t>Office &amp; professional</t>
        </is>
      </c>
      <c r="D194" s="13" t="inlineStr">
        <is>
          <t>Corporate</t>
        </is>
      </c>
      <c r="E194" s="13" t="inlineStr">
        <is>
          <t>Piclo</t>
        </is>
      </c>
      <c r="F194" s="13" t="inlineStr">
        <is>
          <t>service</t>
        </is>
      </c>
      <c r="G194" s="13" t="inlineStr">
        <is>
          <t>hello@piclo.com</t>
        </is>
      </c>
      <c r="H194" s="13" t="inlineStr">
        <is>
          <t>general</t>
        </is>
      </c>
      <c r="I194" s="13" t="n"/>
      <c r="J194" s="14" t="inlineStr">
        <is>
          <t>https://piclo.energy/</t>
        </is>
      </c>
      <c r="K194" s="13" t="inlineStr">
        <is>
          <t>Mindspace Liverpool Street, 9 Appold St, London EC2A 2AP, UK</t>
        </is>
      </c>
      <c r="L194" s="13" t="inlineStr">
        <is>
          <t>EC2A 2AP</t>
        </is>
      </c>
      <c r="M194" s="13" t="inlineStr">
        <is>
          <t>Old St - Moreland Primary School</t>
        </is>
      </c>
      <c r="N194" s="13" t="n">
        <v>22</v>
      </c>
      <c r="O194" s="15">
        <f>IFERROR(INDEX(Venues!$C$2:$C$10,MATCH(M194,Venues!$A$2:$A$10,0)),"Not checked")</f>
        <v/>
      </c>
      <c r="P194" s="15">
        <f>IFERROR(INDEX(Venues!$D$2:$D$10,MATCH(M194,Venues!$A$2:$A$10,0)),0)</f>
        <v/>
      </c>
      <c r="Q194" s="42">
        <f>IFERROR(INDEX(Venues!$E$2:$E$10,MATCH(M194,Venues!$A$2:$A$10,0)),"")</f>
        <v/>
      </c>
      <c r="R194" s="15">
        <f>IF(P194&gt;0,"Yes","No")</f>
        <v/>
      </c>
      <c r="S194" s="13" t="inlineStr">
        <is>
          <t>Old St - Moreland Primary School</t>
        </is>
      </c>
      <c r="T194" s="42">
        <f>IFERROR(INDEX(Venues!$E$2:$E$10,MATCH(S194,Venues!$A$2:$A$10,0)),"")</f>
        <v/>
      </c>
      <c r="U194" s="15">
        <f>IFERROR(INDEX(Venues!$F$2:$F$10,MATCH(S194,Venues!$A$2:$A$10,0)),"")</f>
        <v/>
      </c>
      <c r="V194" s="43">
        <f>IFERROR(INDEX(Venues!$H$2:$H$10,MATCH(S194,Venues!$A$2:$A$10,0)),"")</f>
        <v/>
      </c>
      <c r="W194" s="15">
        <f>IF('Pilot offer'!$C$24="Yes",'Pilot offer'!$C$3,S194)</f>
        <v/>
      </c>
      <c r="X194" s="42">
        <f>IF('Pilot offer'!$C$24="Yes",'Pilot offer'!$C$5+'Pilot offer'!$C$6,T194)</f>
        <v/>
      </c>
      <c r="Y194" s="15">
        <f>IF('Pilot offer'!$C$24="Yes",'Pilot offer'!$C$8,U194)</f>
        <v/>
      </c>
      <c r="Z194" s="43">
        <f>IF('Pilot offer'!$C$24="Yes",'Pilot offer'!$C$11,"")</f>
        <v/>
      </c>
      <c r="AA194" s="15">
        <f>IF(X194="","",W194&amp;" · "&amp;TEXT(X194,"ddd d mmm, hh:mm")&amp;" · "&amp;Y194&amp;IF(Z194&lt;&gt;""," · £"&amp;TEXT(Z194,"0.00")&amp;" per player"," · price TBC (cost £"&amp;TEXT(V194,"0.00")&amp;" pp)"))</f>
        <v/>
      </c>
      <c r="AD194" s="44" t="n"/>
    </row>
    <row r="195">
      <c r="A195" s="13" t="n">
        <v>193</v>
      </c>
      <c r="B195" s="13" t="inlineStr">
        <is>
          <t>2 · EC2A Shoreditch</t>
        </is>
      </c>
      <c r="C195" s="13" t="inlineStr">
        <is>
          <t>Office &amp; professional</t>
        </is>
      </c>
      <c r="D195" s="13" t="inlineStr">
        <is>
          <t>Corporate</t>
        </is>
      </c>
      <c r="E195" s="13" t="inlineStr">
        <is>
          <t>LighterHR</t>
        </is>
      </c>
      <c r="F195" s="13" t="inlineStr">
        <is>
          <t>service</t>
        </is>
      </c>
      <c r="G195" s="13" t="inlineStr">
        <is>
          <t>contact@lighterhr.co.uk</t>
        </is>
      </c>
      <c r="H195" s="13" t="inlineStr">
        <is>
          <t>general</t>
        </is>
      </c>
      <c r="I195" s="13" t="inlineStr">
        <is>
          <t>+44 20 3535 5750</t>
        </is>
      </c>
      <c r="J195" s="14" t="inlineStr">
        <is>
          <t>http://www.lighterhr.co.uk/</t>
        </is>
      </c>
      <c r="K195" s="13" t="inlineStr">
        <is>
          <t>87 Worship St, London EC2A 2BE, UK</t>
        </is>
      </c>
      <c r="L195" s="13" t="inlineStr">
        <is>
          <t>EC2A 2BE</t>
        </is>
      </c>
      <c r="M195" s="13" t="inlineStr">
        <is>
          <t>Old St - Moreland Primary School</t>
        </is>
      </c>
      <c r="N195" s="13" t="n">
        <v>21</v>
      </c>
      <c r="O195" s="15">
        <f>IFERROR(INDEX(Venues!$C$2:$C$10,MATCH(M195,Venues!$A$2:$A$10,0)),"Not checked")</f>
        <v/>
      </c>
      <c r="P195" s="15">
        <f>IFERROR(INDEX(Venues!$D$2:$D$10,MATCH(M195,Venues!$A$2:$A$10,0)),0)</f>
        <v/>
      </c>
      <c r="Q195" s="42">
        <f>IFERROR(INDEX(Venues!$E$2:$E$10,MATCH(M195,Venues!$A$2:$A$10,0)),"")</f>
        <v/>
      </c>
      <c r="R195" s="15">
        <f>IF(P195&gt;0,"Yes","No")</f>
        <v/>
      </c>
      <c r="S195" s="13" t="inlineStr">
        <is>
          <t>Old St - Moreland Primary School</t>
        </is>
      </c>
      <c r="T195" s="42">
        <f>IFERROR(INDEX(Venues!$E$2:$E$10,MATCH(S195,Venues!$A$2:$A$10,0)),"")</f>
        <v/>
      </c>
      <c r="U195" s="15">
        <f>IFERROR(INDEX(Venues!$F$2:$F$10,MATCH(S195,Venues!$A$2:$A$10,0)),"")</f>
        <v/>
      </c>
      <c r="V195" s="43">
        <f>IFERROR(INDEX(Venues!$H$2:$H$10,MATCH(S195,Venues!$A$2:$A$10,0)),"")</f>
        <v/>
      </c>
      <c r="W195" s="15">
        <f>IF('Pilot offer'!$C$24="Yes",'Pilot offer'!$C$3,S195)</f>
        <v/>
      </c>
      <c r="X195" s="42">
        <f>IF('Pilot offer'!$C$24="Yes",'Pilot offer'!$C$5+'Pilot offer'!$C$6,T195)</f>
        <v/>
      </c>
      <c r="Y195" s="15">
        <f>IF('Pilot offer'!$C$24="Yes",'Pilot offer'!$C$8,U195)</f>
        <v/>
      </c>
      <c r="Z195" s="43">
        <f>IF('Pilot offer'!$C$24="Yes",'Pilot offer'!$C$11,"")</f>
        <v/>
      </c>
      <c r="AA195" s="15">
        <f>IF(X195="","",W195&amp;" · "&amp;TEXT(X195,"ddd d mmm, hh:mm")&amp;" · "&amp;Y195&amp;IF(Z195&lt;&gt;""," · £"&amp;TEXT(Z195,"0.00")&amp;" per player"," · price TBC (cost £"&amp;TEXT(V195,"0.00")&amp;" pp)"))</f>
        <v/>
      </c>
      <c r="AD195" s="44" t="n"/>
    </row>
    <row r="196">
      <c r="A196" s="13" t="n">
        <v>194</v>
      </c>
      <c r="B196" s="13" t="inlineStr">
        <is>
          <t>2 · EC2A Shoreditch</t>
        </is>
      </c>
      <c r="C196" s="13" t="inlineStr">
        <is>
          <t>Office &amp; professional</t>
        </is>
      </c>
      <c r="D196" s="13" t="inlineStr">
        <is>
          <t>Corporate</t>
        </is>
      </c>
      <c r="E196" s="13" t="inlineStr">
        <is>
          <t>Decibel Technology</t>
        </is>
      </c>
      <c r="F196" s="13" t="inlineStr">
        <is>
          <t>service</t>
        </is>
      </c>
      <c r="G196" s="13" t="inlineStr">
        <is>
          <t>hello@decibeltechnology.com</t>
        </is>
      </c>
      <c r="H196" s="13" t="inlineStr">
        <is>
          <t>general</t>
        </is>
      </c>
      <c r="I196" s="13" t="inlineStr">
        <is>
          <t>+44 20 3770 3000</t>
        </is>
      </c>
      <c r="J196" s="14" t="inlineStr">
        <is>
          <t>http://www.decibeltechnology.com/</t>
        </is>
      </c>
      <c r="K196" s="13" t="inlineStr">
        <is>
          <t>89 Worship St, London EC2A 2BF, UK</t>
        </is>
      </c>
      <c r="L196" s="13" t="inlineStr">
        <is>
          <t>EC2A 2BF</t>
        </is>
      </c>
      <c r="M196" s="13" t="inlineStr">
        <is>
          <t>Old St - Moreland Primary School</t>
        </is>
      </c>
      <c r="N196" s="13" t="n">
        <v>21</v>
      </c>
      <c r="O196" s="15">
        <f>IFERROR(INDEX(Venues!$C$2:$C$10,MATCH(M196,Venues!$A$2:$A$10,0)),"Not checked")</f>
        <v/>
      </c>
      <c r="P196" s="15">
        <f>IFERROR(INDEX(Venues!$D$2:$D$10,MATCH(M196,Venues!$A$2:$A$10,0)),0)</f>
        <v/>
      </c>
      <c r="Q196" s="42">
        <f>IFERROR(INDEX(Venues!$E$2:$E$10,MATCH(M196,Venues!$A$2:$A$10,0)),"")</f>
        <v/>
      </c>
      <c r="R196" s="15">
        <f>IF(P196&gt;0,"Yes","No")</f>
        <v/>
      </c>
      <c r="S196" s="13" t="inlineStr">
        <is>
          <t>Old St - Moreland Primary School</t>
        </is>
      </c>
      <c r="T196" s="42">
        <f>IFERROR(INDEX(Venues!$E$2:$E$10,MATCH(S196,Venues!$A$2:$A$10,0)),"")</f>
        <v/>
      </c>
      <c r="U196" s="15">
        <f>IFERROR(INDEX(Venues!$F$2:$F$10,MATCH(S196,Venues!$A$2:$A$10,0)),"")</f>
        <v/>
      </c>
      <c r="V196" s="43">
        <f>IFERROR(INDEX(Venues!$H$2:$H$10,MATCH(S196,Venues!$A$2:$A$10,0)),"")</f>
        <v/>
      </c>
      <c r="W196" s="15">
        <f>IF('Pilot offer'!$C$24="Yes",'Pilot offer'!$C$3,S196)</f>
        <v/>
      </c>
      <c r="X196" s="42">
        <f>IF('Pilot offer'!$C$24="Yes",'Pilot offer'!$C$5+'Pilot offer'!$C$6,T196)</f>
        <v/>
      </c>
      <c r="Y196" s="15">
        <f>IF('Pilot offer'!$C$24="Yes",'Pilot offer'!$C$8,U196)</f>
        <v/>
      </c>
      <c r="Z196" s="43">
        <f>IF('Pilot offer'!$C$24="Yes",'Pilot offer'!$C$11,"")</f>
        <v/>
      </c>
      <c r="AA196" s="15">
        <f>IF(X196="","",W196&amp;" · "&amp;TEXT(X196,"ddd d mmm, hh:mm")&amp;" · "&amp;Y196&amp;IF(Z196&lt;&gt;""," · £"&amp;TEXT(Z196,"0.00")&amp;" per player"," · price TBC (cost £"&amp;TEXT(V196,"0.00")&amp;" pp)"))</f>
        <v/>
      </c>
      <c r="AD196" s="44" t="n"/>
    </row>
    <row r="197">
      <c r="A197" s="13" t="n">
        <v>195</v>
      </c>
      <c r="B197" s="13" t="inlineStr">
        <is>
          <t>2 · EC2A Shoreditch</t>
        </is>
      </c>
      <c r="C197" s="13" t="inlineStr">
        <is>
          <t>Office &amp; professional</t>
        </is>
      </c>
      <c r="D197" s="13" t="inlineStr">
        <is>
          <t>Corporate</t>
        </is>
      </c>
      <c r="E197" s="13" t="inlineStr">
        <is>
          <t>Onclusive</t>
        </is>
      </c>
      <c r="F197" s="13" t="inlineStr">
        <is>
          <t>service</t>
        </is>
      </c>
      <c r="G197" s="13" t="inlineStr">
        <is>
          <t>info@onclusive.com</t>
        </is>
      </c>
      <c r="H197" s="13" t="inlineStr">
        <is>
          <t>general</t>
        </is>
      </c>
      <c r="I197" s="13" t="n"/>
      <c r="J197" s="14" t="inlineStr">
        <is>
          <t>https://onclusive.com/en-gb/</t>
        </is>
      </c>
      <c r="K197" s="13" t="inlineStr">
        <is>
          <t>1 Finsbury Market, London EC2A 2BN, UK</t>
        </is>
      </c>
      <c r="L197" s="13" t="inlineStr">
        <is>
          <t>EC2A 2BN</t>
        </is>
      </c>
      <c r="M197" s="13" t="inlineStr">
        <is>
          <t>Old St - Moreland Primary School</t>
        </is>
      </c>
      <c r="N197" s="13" t="n">
        <v>21</v>
      </c>
      <c r="O197" s="15">
        <f>IFERROR(INDEX(Venues!$C$2:$C$10,MATCH(M197,Venues!$A$2:$A$10,0)),"Not checked")</f>
        <v/>
      </c>
      <c r="P197" s="15">
        <f>IFERROR(INDEX(Venues!$D$2:$D$10,MATCH(M197,Venues!$A$2:$A$10,0)),0)</f>
        <v/>
      </c>
      <c r="Q197" s="42">
        <f>IFERROR(INDEX(Venues!$E$2:$E$10,MATCH(M197,Venues!$A$2:$A$10,0)),"")</f>
        <v/>
      </c>
      <c r="R197" s="15">
        <f>IF(P197&gt;0,"Yes","No")</f>
        <v/>
      </c>
      <c r="S197" s="13" t="inlineStr">
        <is>
          <t>Old St - Moreland Primary School</t>
        </is>
      </c>
      <c r="T197" s="42">
        <f>IFERROR(INDEX(Venues!$E$2:$E$10,MATCH(S197,Venues!$A$2:$A$10,0)),"")</f>
        <v/>
      </c>
      <c r="U197" s="15">
        <f>IFERROR(INDEX(Venues!$F$2:$F$10,MATCH(S197,Venues!$A$2:$A$10,0)),"")</f>
        <v/>
      </c>
      <c r="V197" s="43">
        <f>IFERROR(INDEX(Venues!$H$2:$H$10,MATCH(S197,Venues!$A$2:$A$10,0)),"")</f>
        <v/>
      </c>
      <c r="W197" s="15">
        <f>IF('Pilot offer'!$C$24="Yes",'Pilot offer'!$C$3,S197)</f>
        <v/>
      </c>
      <c r="X197" s="42">
        <f>IF('Pilot offer'!$C$24="Yes",'Pilot offer'!$C$5+'Pilot offer'!$C$6,T197)</f>
        <v/>
      </c>
      <c r="Y197" s="15">
        <f>IF('Pilot offer'!$C$24="Yes",'Pilot offer'!$C$8,U197)</f>
        <v/>
      </c>
      <c r="Z197" s="43">
        <f>IF('Pilot offer'!$C$24="Yes",'Pilot offer'!$C$11,"")</f>
        <v/>
      </c>
      <c r="AA197" s="15">
        <f>IF(X197="","",W197&amp;" · "&amp;TEXT(X197,"ddd d mmm, hh:mm")&amp;" · "&amp;Y197&amp;IF(Z197&lt;&gt;""," · £"&amp;TEXT(Z197,"0.00")&amp;" per player"," · price TBC (cost £"&amp;TEXT(V197,"0.00")&amp;" pp)"))</f>
        <v/>
      </c>
      <c r="AD197" s="44" t="n"/>
    </row>
    <row r="198">
      <c r="A198" s="13" t="n">
        <v>196</v>
      </c>
      <c r="B198" s="13" t="inlineStr">
        <is>
          <t>2 · EC2A Shoreditch</t>
        </is>
      </c>
      <c r="C198" s="13" t="inlineStr">
        <is>
          <t>Office &amp; professional</t>
        </is>
      </c>
      <c r="D198" s="13" t="inlineStr">
        <is>
          <t>Corporate</t>
        </is>
      </c>
      <c r="E198" s="13" t="inlineStr">
        <is>
          <t>Honest London</t>
        </is>
      </c>
      <c r="F198" s="13" t="inlineStr">
        <is>
          <t>service</t>
        </is>
      </c>
      <c r="G198" s="13" t="inlineStr">
        <is>
          <t>info@honestlondon.co.uk</t>
        </is>
      </c>
      <c r="H198" s="13" t="inlineStr">
        <is>
          <t>general</t>
        </is>
      </c>
      <c r="I198" s="13" t="inlineStr">
        <is>
          <t>+44 7568 303609</t>
        </is>
      </c>
      <c r="J198" s="14" t="inlineStr">
        <is>
          <t>http://honestlondon.co.uk/</t>
        </is>
      </c>
      <c r="K198" s="13" t="inlineStr">
        <is>
          <t>93 Worship St, London EC2A 2BW, UK</t>
        </is>
      </c>
      <c r="L198" s="13" t="inlineStr">
        <is>
          <t>EC2A 2BW</t>
        </is>
      </c>
      <c r="M198" s="13" t="inlineStr">
        <is>
          <t>Old St - Moreland Primary School</t>
        </is>
      </c>
      <c r="N198" s="13" t="n">
        <v>22</v>
      </c>
      <c r="O198" s="15">
        <f>IFERROR(INDEX(Venues!$C$2:$C$10,MATCH(M198,Venues!$A$2:$A$10,0)),"Not checked")</f>
        <v/>
      </c>
      <c r="P198" s="15">
        <f>IFERROR(INDEX(Venues!$D$2:$D$10,MATCH(M198,Venues!$A$2:$A$10,0)),0)</f>
        <v/>
      </c>
      <c r="Q198" s="42">
        <f>IFERROR(INDEX(Venues!$E$2:$E$10,MATCH(M198,Venues!$A$2:$A$10,0)),"")</f>
        <v/>
      </c>
      <c r="R198" s="15">
        <f>IF(P198&gt;0,"Yes","No")</f>
        <v/>
      </c>
      <c r="S198" s="13" t="inlineStr">
        <is>
          <t>Old St - Moreland Primary School</t>
        </is>
      </c>
      <c r="T198" s="42">
        <f>IFERROR(INDEX(Venues!$E$2:$E$10,MATCH(S198,Venues!$A$2:$A$10,0)),"")</f>
        <v/>
      </c>
      <c r="U198" s="15">
        <f>IFERROR(INDEX(Venues!$F$2:$F$10,MATCH(S198,Venues!$A$2:$A$10,0)),"")</f>
        <v/>
      </c>
      <c r="V198" s="43">
        <f>IFERROR(INDEX(Venues!$H$2:$H$10,MATCH(S198,Venues!$A$2:$A$10,0)),"")</f>
        <v/>
      </c>
      <c r="W198" s="15">
        <f>IF('Pilot offer'!$C$24="Yes",'Pilot offer'!$C$3,S198)</f>
        <v/>
      </c>
      <c r="X198" s="42">
        <f>IF('Pilot offer'!$C$24="Yes",'Pilot offer'!$C$5+'Pilot offer'!$C$6,T198)</f>
        <v/>
      </c>
      <c r="Y198" s="15">
        <f>IF('Pilot offer'!$C$24="Yes",'Pilot offer'!$C$8,U198)</f>
        <v/>
      </c>
      <c r="Z198" s="43">
        <f>IF('Pilot offer'!$C$24="Yes",'Pilot offer'!$C$11,"")</f>
        <v/>
      </c>
      <c r="AA198" s="15">
        <f>IF(X198="","",W198&amp;" · "&amp;TEXT(X198,"ddd d mmm, hh:mm")&amp;" · "&amp;Y198&amp;IF(Z198&lt;&gt;""," · £"&amp;TEXT(Z198,"0.00")&amp;" per player"," · price TBC (cost £"&amp;TEXT(V198,"0.00")&amp;" pp)"))</f>
        <v/>
      </c>
      <c r="AD198" s="44" t="n"/>
    </row>
    <row r="199">
      <c r="A199" s="13" t="n">
        <v>197</v>
      </c>
      <c r="B199" s="13" t="inlineStr">
        <is>
          <t>2 · EC2A Shoreditch</t>
        </is>
      </c>
      <c r="C199" s="13" t="inlineStr">
        <is>
          <t>Office &amp; professional</t>
        </is>
      </c>
      <c r="D199" s="13" t="inlineStr">
        <is>
          <t>Corporate</t>
        </is>
      </c>
      <c r="E199" s="13" t="inlineStr">
        <is>
          <t>Credit Agricole</t>
        </is>
      </c>
      <c r="F199" s="13" t="inlineStr">
        <is>
          <t>finance</t>
        </is>
      </c>
      <c r="G199" s="13" t="inlineStr">
        <is>
          <t>externalcommunications@ca-cib.com</t>
        </is>
      </c>
      <c r="H199" s="13" t="inlineStr">
        <is>
          <t>person_or_other</t>
        </is>
      </c>
      <c r="I199" s="13" t="inlineStr">
        <is>
          <t>+44 20 7214 5000</t>
        </is>
      </c>
      <c r="J199" s="14" t="inlineStr">
        <is>
          <t>http://www.ca-cib.com/</t>
        </is>
      </c>
      <c r="K199" s="13" t="inlineStr">
        <is>
          <t>Broadwalk House, 5 Appold St, London EC2A 2DA, UK</t>
        </is>
      </c>
      <c r="L199" s="13" t="inlineStr">
        <is>
          <t>EC2A 2DA</t>
        </is>
      </c>
      <c r="M199" s="13" t="inlineStr">
        <is>
          <t>Old St - Moreland Primary School</t>
        </is>
      </c>
      <c r="N199" s="13" t="n">
        <v>23</v>
      </c>
      <c r="O199" s="15">
        <f>IFERROR(INDEX(Venues!$C$2:$C$10,MATCH(M199,Venues!$A$2:$A$10,0)),"Not checked")</f>
        <v/>
      </c>
      <c r="P199" s="15">
        <f>IFERROR(INDEX(Venues!$D$2:$D$10,MATCH(M199,Venues!$A$2:$A$10,0)),0)</f>
        <v/>
      </c>
      <c r="Q199" s="42">
        <f>IFERROR(INDEX(Venues!$E$2:$E$10,MATCH(M199,Venues!$A$2:$A$10,0)),"")</f>
        <v/>
      </c>
      <c r="R199" s="15">
        <f>IF(P199&gt;0,"Yes","No")</f>
        <v/>
      </c>
      <c r="S199" s="13" t="inlineStr">
        <is>
          <t>Old St - Moreland Primary School</t>
        </is>
      </c>
      <c r="T199" s="42">
        <f>IFERROR(INDEX(Venues!$E$2:$E$10,MATCH(S199,Venues!$A$2:$A$10,0)),"")</f>
        <v/>
      </c>
      <c r="U199" s="15">
        <f>IFERROR(INDEX(Venues!$F$2:$F$10,MATCH(S199,Venues!$A$2:$A$10,0)),"")</f>
        <v/>
      </c>
      <c r="V199" s="43">
        <f>IFERROR(INDEX(Venues!$H$2:$H$10,MATCH(S199,Venues!$A$2:$A$10,0)),"")</f>
        <v/>
      </c>
      <c r="W199" s="15">
        <f>IF('Pilot offer'!$C$24="Yes",'Pilot offer'!$C$3,S199)</f>
        <v/>
      </c>
      <c r="X199" s="42">
        <f>IF('Pilot offer'!$C$24="Yes",'Pilot offer'!$C$5+'Pilot offer'!$C$6,T199)</f>
        <v/>
      </c>
      <c r="Y199" s="15">
        <f>IF('Pilot offer'!$C$24="Yes",'Pilot offer'!$C$8,U199)</f>
        <v/>
      </c>
      <c r="Z199" s="43">
        <f>IF('Pilot offer'!$C$24="Yes",'Pilot offer'!$C$11,"")</f>
        <v/>
      </c>
      <c r="AA199" s="15">
        <f>IF(X199="","",W199&amp;" · "&amp;TEXT(X199,"ddd d mmm, hh:mm")&amp;" · "&amp;Y199&amp;IF(Z199&lt;&gt;""," · £"&amp;TEXT(Z199,"0.00")&amp;" per player"," · price TBC (cost £"&amp;TEXT(V199,"0.00")&amp;" pp)"))</f>
        <v/>
      </c>
      <c r="AD199" s="44" t="n"/>
    </row>
    <row r="200">
      <c r="A200" s="13" t="n">
        <v>198</v>
      </c>
      <c r="B200" s="13" t="inlineStr">
        <is>
          <t>2 · EC2A Shoreditch</t>
        </is>
      </c>
      <c r="C200" s="13" t="inlineStr">
        <is>
          <t>Office &amp; professional</t>
        </is>
      </c>
      <c r="D200" s="13" t="inlineStr">
        <is>
          <t>Corporate</t>
        </is>
      </c>
      <c r="E200" s="13" t="inlineStr">
        <is>
          <t>Duffel Technology Limited</t>
        </is>
      </c>
      <c r="F200" s="13" t="inlineStr">
        <is>
          <t>service</t>
        </is>
      </c>
      <c r="G200" s="13" t="inlineStr">
        <is>
          <t>hello@duffel.com</t>
        </is>
      </c>
      <c r="H200" s="13" t="inlineStr">
        <is>
          <t>general</t>
        </is>
      </c>
      <c r="I200" s="13" t="n"/>
      <c r="J200" s="14" t="inlineStr">
        <is>
          <t>https://duffel.com/</t>
        </is>
      </c>
      <c r="K200" s="13" t="inlineStr">
        <is>
          <t>43 Worship St, London EC2A 2DU, UK</t>
        </is>
      </c>
      <c r="L200" s="13" t="inlineStr">
        <is>
          <t>EC2A 2DU</t>
        </is>
      </c>
      <c r="M200" s="13" t="inlineStr">
        <is>
          <t>Old St - Moreland Primary School</t>
        </is>
      </c>
      <c r="N200" s="13" t="n">
        <v>19</v>
      </c>
      <c r="O200" s="15">
        <f>IFERROR(INDEX(Venues!$C$2:$C$10,MATCH(M200,Venues!$A$2:$A$10,0)),"Not checked")</f>
        <v/>
      </c>
      <c r="P200" s="15">
        <f>IFERROR(INDEX(Venues!$D$2:$D$10,MATCH(M200,Venues!$A$2:$A$10,0)),0)</f>
        <v/>
      </c>
      <c r="Q200" s="42">
        <f>IFERROR(INDEX(Venues!$E$2:$E$10,MATCH(M200,Venues!$A$2:$A$10,0)),"")</f>
        <v/>
      </c>
      <c r="R200" s="15">
        <f>IF(P200&gt;0,"Yes","No")</f>
        <v/>
      </c>
      <c r="S200" s="13" t="inlineStr">
        <is>
          <t>Old St - Moreland Primary School</t>
        </is>
      </c>
      <c r="T200" s="42">
        <f>IFERROR(INDEX(Venues!$E$2:$E$10,MATCH(S200,Venues!$A$2:$A$10,0)),"")</f>
        <v/>
      </c>
      <c r="U200" s="15">
        <f>IFERROR(INDEX(Venues!$F$2:$F$10,MATCH(S200,Venues!$A$2:$A$10,0)),"")</f>
        <v/>
      </c>
      <c r="V200" s="43">
        <f>IFERROR(INDEX(Venues!$H$2:$H$10,MATCH(S200,Venues!$A$2:$A$10,0)),"")</f>
        <v/>
      </c>
      <c r="W200" s="15">
        <f>IF('Pilot offer'!$C$24="Yes",'Pilot offer'!$C$3,S200)</f>
        <v/>
      </c>
      <c r="X200" s="42">
        <f>IF('Pilot offer'!$C$24="Yes",'Pilot offer'!$C$5+'Pilot offer'!$C$6,T200)</f>
        <v/>
      </c>
      <c r="Y200" s="15">
        <f>IF('Pilot offer'!$C$24="Yes",'Pilot offer'!$C$8,U200)</f>
        <v/>
      </c>
      <c r="Z200" s="43">
        <f>IF('Pilot offer'!$C$24="Yes",'Pilot offer'!$C$11,"")</f>
        <v/>
      </c>
      <c r="AA200" s="15">
        <f>IF(X200="","",W200&amp;" · "&amp;TEXT(X200,"ddd d mmm, hh:mm")&amp;" · "&amp;Y200&amp;IF(Z200&lt;&gt;""," · £"&amp;TEXT(Z200,"0.00")&amp;" per player"," · price TBC (cost £"&amp;TEXT(V200,"0.00")&amp;" pp)"))</f>
        <v/>
      </c>
      <c r="AD200" s="44" t="n"/>
    </row>
    <row r="201">
      <c r="A201" s="13" t="n">
        <v>199</v>
      </c>
      <c r="B201" s="13" t="inlineStr">
        <is>
          <t>2 · EC2A Shoreditch</t>
        </is>
      </c>
      <c r="C201" s="13" t="inlineStr">
        <is>
          <t>Education</t>
        </is>
      </c>
      <c r="D201" s="13" t="inlineStr">
        <is>
          <t>Local businesses</t>
        </is>
      </c>
      <c r="E201" s="13" t="inlineStr">
        <is>
          <t>The Lyceum</t>
        </is>
      </c>
      <c r="F201" s="13" t="inlineStr">
        <is>
          <t>amenity: school</t>
        </is>
      </c>
      <c r="G201" s="13" t="inlineStr">
        <is>
          <t>registrar@lyceumschool.co.uk</t>
        </is>
      </c>
      <c r="H201" s="13" t="inlineStr">
        <is>
          <t>person_or_other</t>
        </is>
      </c>
      <c r="I201" s="13" t="inlineStr">
        <is>
          <t>+44 20 7247 1588</t>
        </is>
      </c>
      <c r="J201" s="14" t="inlineStr">
        <is>
          <t>https://www.lyceumschool.co.uk/</t>
        </is>
      </c>
      <c r="K201" s="13" t="inlineStr">
        <is>
          <t>Paul Street 6, London</t>
        </is>
      </c>
      <c r="L201" s="13" t="inlineStr">
        <is>
          <t>EC2A 2DU</t>
        </is>
      </c>
      <c r="M201" s="13" t="inlineStr">
        <is>
          <t>Old St - Moreland Primary School</t>
        </is>
      </c>
      <c r="N201" s="13" t="n">
        <v>19</v>
      </c>
      <c r="O201" s="15">
        <f>IFERROR(INDEX(Venues!$C$2:$C$10,MATCH(M201,Venues!$A$2:$A$10,0)),"Not checked")</f>
        <v/>
      </c>
      <c r="P201" s="15">
        <f>IFERROR(INDEX(Venues!$D$2:$D$10,MATCH(M201,Venues!$A$2:$A$10,0)),0)</f>
        <v/>
      </c>
      <c r="Q201" s="42">
        <f>IFERROR(INDEX(Venues!$E$2:$E$10,MATCH(M201,Venues!$A$2:$A$10,0)),"")</f>
        <v/>
      </c>
      <c r="R201" s="15">
        <f>IF(P201&gt;0,"Yes","No")</f>
        <v/>
      </c>
      <c r="S201" s="13" t="inlineStr">
        <is>
          <t>Old St - Moreland Primary School</t>
        </is>
      </c>
      <c r="T201" s="42">
        <f>IFERROR(INDEX(Venues!$E$2:$E$10,MATCH(S201,Venues!$A$2:$A$10,0)),"")</f>
        <v/>
      </c>
      <c r="U201" s="15">
        <f>IFERROR(INDEX(Venues!$F$2:$F$10,MATCH(S201,Venues!$A$2:$A$10,0)),"")</f>
        <v/>
      </c>
      <c r="V201" s="43">
        <f>IFERROR(INDEX(Venues!$H$2:$H$10,MATCH(S201,Venues!$A$2:$A$10,0)),"")</f>
        <v/>
      </c>
      <c r="W201" s="15">
        <f>IF('Pilot offer'!$C$24="Yes",'Pilot offer'!$C$3,S201)</f>
        <v/>
      </c>
      <c r="X201" s="42">
        <f>IF('Pilot offer'!$C$24="Yes",'Pilot offer'!$C$5+'Pilot offer'!$C$6,T201)</f>
        <v/>
      </c>
      <c r="Y201" s="15">
        <f>IF('Pilot offer'!$C$24="Yes",'Pilot offer'!$C$8,U201)</f>
        <v/>
      </c>
      <c r="Z201" s="43">
        <f>IF('Pilot offer'!$C$24="Yes",'Pilot offer'!$C$11,"")</f>
        <v/>
      </c>
      <c r="AA201" s="15">
        <f>IF(X201="","",W201&amp;" · "&amp;TEXT(X201,"ddd d mmm, hh:mm")&amp;" · "&amp;Y201&amp;IF(Z201&lt;&gt;""," · £"&amp;TEXT(Z201,"0.00")&amp;" per player"," · price TBC (cost £"&amp;TEXT(V201,"0.00")&amp;" pp)"))</f>
        <v/>
      </c>
      <c r="AD201" s="44" t="n"/>
    </row>
    <row r="202">
      <c r="A202" s="13" t="n">
        <v>200</v>
      </c>
      <c r="B202" s="13" t="inlineStr">
        <is>
          <t>2 · EC2A Shoreditch</t>
        </is>
      </c>
      <c r="C202" s="13" t="inlineStr">
        <is>
          <t>Office &amp; professional</t>
        </is>
      </c>
      <c r="D202" s="13" t="inlineStr">
        <is>
          <t>Corporate</t>
        </is>
      </c>
      <c r="E202" s="13" t="inlineStr">
        <is>
          <t>Law and Lawyers</t>
        </is>
      </c>
      <c r="F202" s="13" t="inlineStr">
        <is>
          <t>consultant</t>
        </is>
      </c>
      <c r="G202" s="13" t="inlineStr">
        <is>
          <t>info@lawandlawyers.co.uk</t>
        </is>
      </c>
      <c r="H202" s="13" t="inlineStr">
        <is>
          <t>general</t>
        </is>
      </c>
      <c r="I202" s="13" t="inlineStr">
        <is>
          <t>+44 20 7062 6666</t>
        </is>
      </c>
      <c r="J202" s="14" t="inlineStr">
        <is>
          <t>https://www.lawandlawyers.co.uk/</t>
        </is>
      </c>
      <c r="K202" s="13" t="inlineStr">
        <is>
          <t>Second Floor, 31-41 Worship St, London EC2A 2DX, UK</t>
        </is>
      </c>
      <c r="L202" s="13" t="inlineStr">
        <is>
          <t>EC2A 2DX</t>
        </is>
      </c>
      <c r="M202" s="13" t="inlineStr">
        <is>
          <t>Old St - Moreland Primary School</t>
        </is>
      </c>
      <c r="N202" s="13" t="n">
        <v>18</v>
      </c>
      <c r="O202" s="15">
        <f>IFERROR(INDEX(Venues!$C$2:$C$10,MATCH(M202,Venues!$A$2:$A$10,0)),"Not checked")</f>
        <v/>
      </c>
      <c r="P202" s="15">
        <f>IFERROR(INDEX(Venues!$D$2:$D$10,MATCH(M202,Venues!$A$2:$A$10,0)),0)</f>
        <v/>
      </c>
      <c r="Q202" s="42">
        <f>IFERROR(INDEX(Venues!$E$2:$E$10,MATCH(M202,Venues!$A$2:$A$10,0)),"")</f>
        <v/>
      </c>
      <c r="R202" s="15">
        <f>IF(P202&gt;0,"Yes","No")</f>
        <v/>
      </c>
      <c r="S202" s="13" t="inlineStr">
        <is>
          <t>Old St - Moreland Primary School</t>
        </is>
      </c>
      <c r="T202" s="42">
        <f>IFERROR(INDEX(Venues!$E$2:$E$10,MATCH(S202,Venues!$A$2:$A$10,0)),"")</f>
        <v/>
      </c>
      <c r="U202" s="15">
        <f>IFERROR(INDEX(Venues!$F$2:$F$10,MATCH(S202,Venues!$A$2:$A$10,0)),"")</f>
        <v/>
      </c>
      <c r="V202" s="43">
        <f>IFERROR(INDEX(Venues!$H$2:$H$10,MATCH(S202,Venues!$A$2:$A$10,0)),"")</f>
        <v/>
      </c>
      <c r="W202" s="15">
        <f>IF('Pilot offer'!$C$24="Yes",'Pilot offer'!$C$3,S202)</f>
        <v/>
      </c>
      <c r="X202" s="42">
        <f>IF('Pilot offer'!$C$24="Yes",'Pilot offer'!$C$5+'Pilot offer'!$C$6,T202)</f>
        <v/>
      </c>
      <c r="Y202" s="15">
        <f>IF('Pilot offer'!$C$24="Yes",'Pilot offer'!$C$8,U202)</f>
        <v/>
      </c>
      <c r="Z202" s="43">
        <f>IF('Pilot offer'!$C$24="Yes",'Pilot offer'!$C$11,"")</f>
        <v/>
      </c>
      <c r="AA202" s="15">
        <f>IF(X202="","",W202&amp;" · "&amp;TEXT(X202,"ddd d mmm, hh:mm")&amp;" · "&amp;Y202&amp;IF(Z202&lt;&gt;""," · £"&amp;TEXT(Z202,"0.00")&amp;" per player"," · price TBC (cost £"&amp;TEXT(V202,"0.00")&amp;" pp)"))</f>
        <v/>
      </c>
      <c r="AD202" s="44" t="n"/>
    </row>
    <row r="203">
      <c r="A203" s="13" t="n">
        <v>201</v>
      </c>
      <c r="B203" s="13" t="inlineStr">
        <is>
          <t>2 · EC2A Shoreditch</t>
        </is>
      </c>
      <c r="C203" s="13" t="inlineStr">
        <is>
          <t>Hospitality</t>
        </is>
      </c>
      <c r="D203" s="13" t="inlineStr">
        <is>
          <t>Local businesses</t>
        </is>
      </c>
      <c r="E203" s="13" t="inlineStr">
        <is>
          <t>Long Arm Pub &amp; Brewery</t>
        </is>
      </c>
      <c r="F203" s="13" t="inlineStr">
        <is>
          <t>amenity: pub</t>
        </is>
      </c>
      <c r="G203" s="13" t="inlineStr">
        <is>
          <t>info@longarmpub.co.uk</t>
        </is>
      </c>
      <c r="H203" s="13" t="inlineStr">
        <is>
          <t>openstreetmap_tag</t>
        </is>
      </c>
      <c r="I203" s="13" t="n"/>
      <c r="J203" s="14" t="inlineStr">
        <is>
          <t>http://longarmpub.com/</t>
        </is>
      </c>
      <c r="K203" s="13" t="inlineStr">
        <is>
          <t>Worship Street 20-26, London</t>
        </is>
      </c>
      <c r="L203" s="13" t="inlineStr">
        <is>
          <t>EC2A 2DX</t>
        </is>
      </c>
      <c r="M203" s="13" t="inlineStr">
        <is>
          <t>Old St - Moreland Primary School</t>
        </is>
      </c>
      <c r="N203" s="13" t="n">
        <v>19</v>
      </c>
      <c r="O203" s="15">
        <f>IFERROR(INDEX(Venues!$C$2:$C$10,MATCH(M203,Venues!$A$2:$A$10,0)),"Not checked")</f>
        <v/>
      </c>
      <c r="P203" s="15">
        <f>IFERROR(INDEX(Venues!$D$2:$D$10,MATCH(M203,Venues!$A$2:$A$10,0)),0)</f>
        <v/>
      </c>
      <c r="Q203" s="42">
        <f>IFERROR(INDEX(Venues!$E$2:$E$10,MATCH(M203,Venues!$A$2:$A$10,0)),"")</f>
        <v/>
      </c>
      <c r="R203" s="15">
        <f>IF(P203&gt;0,"Yes","No")</f>
        <v/>
      </c>
      <c r="S203" s="13" t="inlineStr">
        <is>
          <t>Old St - Moreland Primary School</t>
        </is>
      </c>
      <c r="T203" s="42">
        <f>IFERROR(INDEX(Venues!$E$2:$E$10,MATCH(S203,Venues!$A$2:$A$10,0)),"")</f>
        <v/>
      </c>
      <c r="U203" s="15">
        <f>IFERROR(INDEX(Venues!$F$2:$F$10,MATCH(S203,Venues!$A$2:$A$10,0)),"")</f>
        <v/>
      </c>
      <c r="V203" s="43">
        <f>IFERROR(INDEX(Venues!$H$2:$H$10,MATCH(S203,Venues!$A$2:$A$10,0)),"")</f>
        <v/>
      </c>
      <c r="W203" s="15">
        <f>IF('Pilot offer'!$C$24="Yes",'Pilot offer'!$C$3,S203)</f>
        <v/>
      </c>
      <c r="X203" s="42">
        <f>IF('Pilot offer'!$C$24="Yes",'Pilot offer'!$C$5+'Pilot offer'!$C$6,T203)</f>
        <v/>
      </c>
      <c r="Y203" s="15">
        <f>IF('Pilot offer'!$C$24="Yes",'Pilot offer'!$C$8,U203)</f>
        <v/>
      </c>
      <c r="Z203" s="43">
        <f>IF('Pilot offer'!$C$24="Yes",'Pilot offer'!$C$11,"")</f>
        <v/>
      </c>
      <c r="AA203" s="15">
        <f>IF(X203="","",W203&amp;" · "&amp;TEXT(X203,"ddd d mmm, hh:mm")&amp;" · "&amp;Y203&amp;IF(Z203&lt;&gt;""," · £"&amp;TEXT(Z203,"0.00")&amp;" per player"," · price TBC (cost £"&amp;TEXT(V203,"0.00")&amp;" pp)"))</f>
        <v/>
      </c>
      <c r="AD203" s="44" t="n"/>
    </row>
    <row r="204">
      <c r="A204" s="13" t="n">
        <v>202</v>
      </c>
      <c r="B204" s="13" t="inlineStr">
        <is>
          <t>2 · EC2A Shoreditch</t>
        </is>
      </c>
      <c r="C204" s="13" t="inlineStr">
        <is>
          <t>Office &amp; professional</t>
        </is>
      </c>
      <c r="D204" s="13" t="inlineStr">
        <is>
          <t>Corporate</t>
        </is>
      </c>
      <c r="E204" s="13" t="inlineStr">
        <is>
          <t>Hill Dickinson</t>
        </is>
      </c>
      <c r="F204" s="13" t="inlineStr">
        <is>
          <t>lawyer</t>
        </is>
      </c>
      <c r="G204" s="13" t="inlineStr">
        <is>
          <t>kiran.bhogal@hilldickinson.com</t>
        </is>
      </c>
      <c r="H204" s="13" t="inlineStr">
        <is>
          <t>person_or_other</t>
        </is>
      </c>
      <c r="I204" s="13" t="inlineStr">
        <is>
          <t>+44 20 7283 9033</t>
        </is>
      </c>
      <c r="J204" s="14" t="inlineStr">
        <is>
          <t>https://www.hilldickinson.com/our-locations/london-city/</t>
        </is>
      </c>
      <c r="K204" s="13" t="inlineStr">
        <is>
          <t>The Broadgate Tower, 20 Primrose St, London EC2A 2EW, UK</t>
        </is>
      </c>
      <c r="L204" s="13" t="inlineStr">
        <is>
          <t>EC2A 2EW</t>
        </is>
      </c>
      <c r="M204" s="13" t="inlineStr">
        <is>
          <t>Old St - Moreland Primary School</t>
        </is>
      </c>
      <c r="N204" s="13" t="n">
        <v>24</v>
      </c>
      <c r="O204" s="15">
        <f>IFERROR(INDEX(Venues!$C$2:$C$10,MATCH(M204,Venues!$A$2:$A$10,0)),"Not checked")</f>
        <v/>
      </c>
      <c r="P204" s="15">
        <f>IFERROR(INDEX(Venues!$D$2:$D$10,MATCH(M204,Venues!$A$2:$A$10,0)),0)</f>
        <v/>
      </c>
      <c r="Q204" s="42">
        <f>IFERROR(INDEX(Venues!$E$2:$E$10,MATCH(M204,Venues!$A$2:$A$10,0)),"")</f>
        <v/>
      </c>
      <c r="R204" s="15">
        <f>IF(P204&gt;0,"Yes","No")</f>
        <v/>
      </c>
      <c r="S204" s="13" t="inlineStr">
        <is>
          <t>Old St - Moreland Primary School</t>
        </is>
      </c>
      <c r="T204" s="42">
        <f>IFERROR(INDEX(Venues!$E$2:$E$10,MATCH(S204,Venues!$A$2:$A$10,0)),"")</f>
        <v/>
      </c>
      <c r="U204" s="15">
        <f>IFERROR(INDEX(Venues!$F$2:$F$10,MATCH(S204,Venues!$A$2:$A$10,0)),"")</f>
        <v/>
      </c>
      <c r="V204" s="43">
        <f>IFERROR(INDEX(Venues!$H$2:$H$10,MATCH(S204,Venues!$A$2:$A$10,0)),"")</f>
        <v/>
      </c>
      <c r="W204" s="15">
        <f>IF('Pilot offer'!$C$24="Yes",'Pilot offer'!$C$3,S204)</f>
        <v/>
      </c>
      <c r="X204" s="42">
        <f>IF('Pilot offer'!$C$24="Yes",'Pilot offer'!$C$5+'Pilot offer'!$C$6,T204)</f>
        <v/>
      </c>
      <c r="Y204" s="15">
        <f>IF('Pilot offer'!$C$24="Yes",'Pilot offer'!$C$8,U204)</f>
        <v/>
      </c>
      <c r="Z204" s="43">
        <f>IF('Pilot offer'!$C$24="Yes",'Pilot offer'!$C$11,"")</f>
        <v/>
      </c>
      <c r="AA204" s="15">
        <f>IF(X204="","",W204&amp;" · "&amp;TEXT(X204,"ddd d mmm, hh:mm")&amp;" · "&amp;Y204&amp;IF(Z204&lt;&gt;""," · £"&amp;TEXT(Z204,"0.00")&amp;" per player"," · price TBC (cost £"&amp;TEXT(V204,"0.00")&amp;" pp)"))</f>
        <v/>
      </c>
      <c r="AD204" s="44" t="n"/>
    </row>
    <row r="205">
      <c r="A205" s="13" t="n">
        <v>203</v>
      </c>
      <c r="B205" s="13" t="inlineStr">
        <is>
          <t>2 · EC2A Shoreditch</t>
        </is>
      </c>
      <c r="C205" s="13" t="inlineStr">
        <is>
          <t>Office &amp; professional</t>
        </is>
      </c>
      <c r="D205" s="13" t="inlineStr">
        <is>
          <t>Corporate</t>
        </is>
      </c>
      <c r="E205" s="13" t="inlineStr">
        <is>
          <t>Intercity Technology</t>
        </is>
      </c>
      <c r="F205" s="13" t="inlineStr">
        <is>
          <t>service</t>
        </is>
      </c>
      <c r="G205" s="13" t="inlineStr">
        <is>
          <t>enquiries@intercity.technology</t>
        </is>
      </c>
      <c r="H205" s="13" t="inlineStr">
        <is>
          <t>general</t>
        </is>
      </c>
      <c r="I205" s="13" t="inlineStr">
        <is>
          <t>+44 330 332 7933</t>
        </is>
      </c>
      <c r="J205" s="14" t="inlineStr">
        <is>
          <t>https://intercity.technology/</t>
        </is>
      </c>
      <c r="K205" s="13" t="inlineStr">
        <is>
          <t>20 Primrose St, London EC2A 2EW, UK</t>
        </is>
      </c>
      <c r="L205" s="13" t="inlineStr">
        <is>
          <t>EC2A 2EW</t>
        </is>
      </c>
      <c r="M205" s="13" t="inlineStr">
        <is>
          <t>Shoreditch Rooftop</t>
        </is>
      </c>
      <c r="N205" s="13" t="n">
        <v>24</v>
      </c>
      <c r="O205" s="15">
        <f>IFERROR(INDEX(Venues!$C$2:$C$10,MATCH(M205,Venues!$A$2:$A$10,0)),"Not checked")</f>
        <v/>
      </c>
      <c r="P205" s="15">
        <f>IFERROR(INDEX(Venues!$D$2:$D$10,MATCH(M205,Venues!$A$2:$A$10,0)),0)</f>
        <v/>
      </c>
      <c r="Q205" s="42">
        <f>IFERROR(INDEX(Venues!$E$2:$E$10,MATCH(M205,Venues!$A$2:$A$10,0)),"")</f>
        <v/>
      </c>
      <c r="R205" s="15">
        <f>IF(P205&gt;0,"Yes","No")</f>
        <v/>
      </c>
      <c r="S205" s="13" t="inlineStr">
        <is>
          <t>Shoreditch Rooftop</t>
        </is>
      </c>
      <c r="T205" s="42">
        <f>IFERROR(INDEX(Venues!$E$2:$E$10,MATCH(S205,Venues!$A$2:$A$10,0)),"")</f>
        <v/>
      </c>
      <c r="U205" s="15">
        <f>IFERROR(INDEX(Venues!$F$2:$F$10,MATCH(S205,Venues!$A$2:$A$10,0)),"")</f>
        <v/>
      </c>
      <c r="V205" s="43">
        <f>IFERROR(INDEX(Venues!$H$2:$H$10,MATCH(S205,Venues!$A$2:$A$10,0)),"")</f>
        <v/>
      </c>
      <c r="W205" s="15">
        <f>IF('Pilot offer'!$C$24="Yes",'Pilot offer'!$C$3,S205)</f>
        <v/>
      </c>
      <c r="X205" s="42">
        <f>IF('Pilot offer'!$C$24="Yes",'Pilot offer'!$C$5+'Pilot offer'!$C$6,T205)</f>
        <v/>
      </c>
      <c r="Y205" s="15">
        <f>IF('Pilot offer'!$C$24="Yes",'Pilot offer'!$C$8,U205)</f>
        <v/>
      </c>
      <c r="Z205" s="43">
        <f>IF('Pilot offer'!$C$24="Yes",'Pilot offer'!$C$11,"")</f>
        <v/>
      </c>
      <c r="AA205" s="15">
        <f>IF(X205="","",W205&amp;" · "&amp;TEXT(X205,"ddd d mmm, hh:mm")&amp;" · "&amp;Y205&amp;IF(Z205&lt;&gt;""," · £"&amp;TEXT(Z205,"0.00")&amp;" per player"," · price TBC (cost £"&amp;TEXT(V205,"0.00")&amp;" pp)"))</f>
        <v/>
      </c>
      <c r="AD205" s="44" t="n"/>
    </row>
    <row r="206">
      <c r="A206" s="13" t="n">
        <v>204</v>
      </c>
      <c r="B206" s="13" t="inlineStr">
        <is>
          <t>2 · EC2A Shoreditch</t>
        </is>
      </c>
      <c r="C206" s="13" t="inlineStr">
        <is>
          <t>Office &amp; professional</t>
        </is>
      </c>
      <c r="D206" s="13" t="inlineStr">
        <is>
          <t>Corporate</t>
        </is>
      </c>
      <c r="E206" s="13" t="inlineStr">
        <is>
          <t>RMB - Corporate and Investment Banking</t>
        </is>
      </c>
      <c r="F206" s="13" t="inlineStr">
        <is>
          <t>finance</t>
        </is>
      </c>
      <c r="G206" s="13" t="inlineStr">
        <is>
          <t>info@rmb.co.uk</t>
        </is>
      </c>
      <c r="H206" s="13" t="inlineStr">
        <is>
          <t>general</t>
        </is>
      </c>
      <c r="I206" s="13" t="inlineStr">
        <is>
          <t>+44 20 7939 1700</t>
        </is>
      </c>
      <c r="J206" s="14" t="inlineStr">
        <is>
          <t>https://www.rmb.co.uk/</t>
        </is>
      </c>
      <c r="K206" s="13" t="inlineStr">
        <is>
          <t>Fl 23, The Broadgate Tower, 20 Primrose St, London EC2A 2EW, UK</t>
        </is>
      </c>
      <c r="L206" s="13" t="inlineStr">
        <is>
          <t>EC2A 2EW</t>
        </is>
      </c>
      <c r="M206" s="13" t="inlineStr">
        <is>
          <t>Shoreditch Rooftop</t>
        </is>
      </c>
      <c r="N206" s="13" t="n">
        <v>24</v>
      </c>
      <c r="O206" s="15">
        <f>IFERROR(INDEX(Venues!$C$2:$C$10,MATCH(M206,Venues!$A$2:$A$10,0)),"Not checked")</f>
        <v/>
      </c>
      <c r="P206" s="15">
        <f>IFERROR(INDEX(Venues!$D$2:$D$10,MATCH(M206,Venues!$A$2:$A$10,0)),0)</f>
        <v/>
      </c>
      <c r="Q206" s="42">
        <f>IFERROR(INDEX(Venues!$E$2:$E$10,MATCH(M206,Venues!$A$2:$A$10,0)),"")</f>
        <v/>
      </c>
      <c r="R206" s="15">
        <f>IF(P206&gt;0,"Yes","No")</f>
        <v/>
      </c>
      <c r="S206" s="13" t="inlineStr">
        <is>
          <t>Shoreditch Rooftop</t>
        </is>
      </c>
      <c r="T206" s="42">
        <f>IFERROR(INDEX(Venues!$E$2:$E$10,MATCH(S206,Venues!$A$2:$A$10,0)),"")</f>
        <v/>
      </c>
      <c r="U206" s="15">
        <f>IFERROR(INDEX(Venues!$F$2:$F$10,MATCH(S206,Venues!$A$2:$A$10,0)),"")</f>
        <v/>
      </c>
      <c r="V206" s="43">
        <f>IFERROR(INDEX(Venues!$H$2:$H$10,MATCH(S206,Venues!$A$2:$A$10,0)),"")</f>
        <v/>
      </c>
      <c r="W206" s="15">
        <f>IF('Pilot offer'!$C$24="Yes",'Pilot offer'!$C$3,S206)</f>
        <v/>
      </c>
      <c r="X206" s="42">
        <f>IF('Pilot offer'!$C$24="Yes",'Pilot offer'!$C$5+'Pilot offer'!$C$6,T206)</f>
        <v/>
      </c>
      <c r="Y206" s="15">
        <f>IF('Pilot offer'!$C$24="Yes",'Pilot offer'!$C$8,U206)</f>
        <v/>
      </c>
      <c r="Z206" s="43">
        <f>IF('Pilot offer'!$C$24="Yes",'Pilot offer'!$C$11,"")</f>
        <v/>
      </c>
      <c r="AA206" s="15">
        <f>IF(X206="","",W206&amp;" · "&amp;TEXT(X206,"ddd d mmm, hh:mm")&amp;" · "&amp;Y206&amp;IF(Z206&lt;&gt;""," · £"&amp;TEXT(Z206,"0.00")&amp;" per player"," · price TBC (cost £"&amp;TEXT(V206,"0.00")&amp;" pp)"))</f>
        <v/>
      </c>
      <c r="AD206" s="44" t="n"/>
    </row>
    <row r="207">
      <c r="A207" s="13" t="n">
        <v>205</v>
      </c>
      <c r="B207" s="13" t="inlineStr">
        <is>
          <t>2 · EC2A Shoreditch</t>
        </is>
      </c>
      <c r="C207" s="13" t="inlineStr">
        <is>
          <t>Coworking / shared office</t>
        </is>
      </c>
      <c r="D207" s="13" t="inlineStr">
        <is>
          <t>Corporate</t>
        </is>
      </c>
      <c r="E207" s="13" t="inlineStr">
        <is>
          <t>Huckletree Liverpool Street - London City Coworking &amp; Office Space</t>
        </is>
      </c>
      <c r="F207" s="13" t="inlineStr">
        <is>
          <t>coworking_space</t>
        </is>
      </c>
      <c r="G207" s="13" t="inlineStr">
        <is>
          <t>info@huckletree.com</t>
        </is>
      </c>
      <c r="H207" s="13" t="inlineStr">
        <is>
          <t>general</t>
        </is>
      </c>
      <c r="I207" s="13" t="inlineStr">
        <is>
          <t>+44 20 7167 6560</t>
        </is>
      </c>
      <c r="J207" s="14" t="inlineStr">
        <is>
          <t>https://www.huckletree.com/hubs/liverpool-street</t>
        </is>
      </c>
      <c r="K207" s="13" t="inlineStr">
        <is>
          <t>1 Primrose St, London EC2A 2EX, UK</t>
        </is>
      </c>
      <c r="L207" s="13" t="inlineStr">
        <is>
          <t>EC2A 2EX</t>
        </is>
      </c>
      <c r="M207" s="13" t="inlineStr">
        <is>
          <t>Whitechapel</t>
        </is>
      </c>
      <c r="N207" s="13" t="n">
        <v>24</v>
      </c>
      <c r="O207" s="15">
        <f>IFERROR(INDEX(Venues!$C$2:$C$10,MATCH(M207,Venues!$A$2:$A$10,0)),"Not checked")</f>
        <v/>
      </c>
      <c r="P207" s="15">
        <f>IFERROR(INDEX(Venues!$D$2:$D$10,MATCH(M207,Venues!$A$2:$A$10,0)),0)</f>
        <v/>
      </c>
      <c r="Q207" s="42">
        <f>IFERROR(INDEX(Venues!$E$2:$E$10,MATCH(M207,Venues!$A$2:$A$10,0)),"")</f>
        <v/>
      </c>
      <c r="R207" s="15">
        <f>IF(P207&gt;0,"Yes","No")</f>
        <v/>
      </c>
      <c r="S207" s="13" t="inlineStr">
        <is>
          <t>COLA Shoreditch Park</t>
        </is>
      </c>
      <c r="T207" s="42">
        <f>IFERROR(INDEX(Venues!$E$2:$E$10,MATCH(S207,Venues!$A$2:$A$10,0)),"")</f>
        <v/>
      </c>
      <c r="U207" s="15">
        <f>IFERROR(INDEX(Venues!$F$2:$F$10,MATCH(S207,Venues!$A$2:$A$10,0)),"")</f>
        <v/>
      </c>
      <c r="V207" s="43">
        <f>IFERROR(INDEX(Venues!$H$2:$H$10,MATCH(S207,Venues!$A$2:$A$10,0)),"")</f>
        <v/>
      </c>
      <c r="W207" s="15">
        <f>IF('Pilot offer'!$C$24="Yes",'Pilot offer'!$C$3,S207)</f>
        <v/>
      </c>
      <c r="X207" s="42">
        <f>IF('Pilot offer'!$C$24="Yes",'Pilot offer'!$C$5+'Pilot offer'!$C$6,T207)</f>
        <v/>
      </c>
      <c r="Y207" s="15">
        <f>IF('Pilot offer'!$C$24="Yes",'Pilot offer'!$C$8,U207)</f>
        <v/>
      </c>
      <c r="Z207" s="43">
        <f>IF('Pilot offer'!$C$24="Yes",'Pilot offer'!$C$11,"")</f>
        <v/>
      </c>
      <c r="AA207" s="15">
        <f>IF(X207="","",W207&amp;" · "&amp;TEXT(X207,"ddd d mmm, hh:mm")&amp;" · "&amp;Y207&amp;IF(Z207&lt;&gt;""," · £"&amp;TEXT(Z207,"0.00")&amp;" per player"," · price TBC (cost £"&amp;TEXT(V207,"0.00")&amp;" pp)"))</f>
        <v/>
      </c>
      <c r="AD207" s="44" t="n"/>
    </row>
    <row r="208">
      <c r="A208" s="13" t="n">
        <v>206</v>
      </c>
      <c r="B208" s="13" t="inlineStr">
        <is>
          <t>2 · EC2A Shoreditch</t>
        </is>
      </c>
      <c r="C208" s="13" t="inlineStr">
        <is>
          <t>Hospitality</t>
        </is>
      </c>
      <c r="D208" s="13" t="inlineStr">
        <is>
          <t>Local businesses</t>
        </is>
      </c>
      <c r="E208" s="13" t="inlineStr">
        <is>
          <t>The Leaf</t>
        </is>
      </c>
      <c r="F208" s="13" t="inlineStr">
        <is>
          <t>amenity: cafe</t>
        </is>
      </c>
      <c r="G208" s="13" t="inlineStr">
        <is>
          <t>theleaf1025@gmail.com</t>
        </is>
      </c>
      <c r="H208" s="13" t="inlineStr">
        <is>
          <t>openstreetmap_tag</t>
        </is>
      </c>
      <c r="I208" s="13" t="inlineStr">
        <is>
          <t>+44 7947 731343</t>
        </is>
      </c>
      <c r="J208" s="13" t="n"/>
      <c r="K208" s="13" t="inlineStr">
        <is>
          <t>Curtain Road 96, London</t>
        </is>
      </c>
      <c r="L208" s="13" t="inlineStr">
        <is>
          <t>EC2A 3AA</t>
        </is>
      </c>
      <c r="M208" s="13" t="inlineStr">
        <is>
          <t>Shoreditch Rooftop</t>
        </is>
      </c>
      <c r="N208" s="13" t="n">
        <v>18</v>
      </c>
      <c r="O208" s="15">
        <f>IFERROR(INDEX(Venues!$C$2:$C$10,MATCH(M208,Venues!$A$2:$A$10,0)),"Not checked")</f>
        <v/>
      </c>
      <c r="P208" s="15">
        <f>IFERROR(INDEX(Venues!$D$2:$D$10,MATCH(M208,Venues!$A$2:$A$10,0)),0)</f>
        <v/>
      </c>
      <c r="Q208" s="42">
        <f>IFERROR(INDEX(Venues!$E$2:$E$10,MATCH(M208,Venues!$A$2:$A$10,0)),"")</f>
        <v/>
      </c>
      <c r="R208" s="15">
        <f>IF(P208&gt;0,"Yes","No")</f>
        <v/>
      </c>
      <c r="S208" s="13" t="inlineStr">
        <is>
          <t>Shoreditch Rooftop</t>
        </is>
      </c>
      <c r="T208" s="42">
        <f>IFERROR(INDEX(Venues!$E$2:$E$10,MATCH(S208,Venues!$A$2:$A$10,0)),"")</f>
        <v/>
      </c>
      <c r="U208" s="15">
        <f>IFERROR(INDEX(Venues!$F$2:$F$10,MATCH(S208,Venues!$A$2:$A$10,0)),"")</f>
        <v/>
      </c>
      <c r="V208" s="43">
        <f>IFERROR(INDEX(Venues!$H$2:$H$10,MATCH(S208,Venues!$A$2:$A$10,0)),"")</f>
        <v/>
      </c>
      <c r="W208" s="15">
        <f>IF('Pilot offer'!$C$24="Yes",'Pilot offer'!$C$3,S208)</f>
        <v/>
      </c>
      <c r="X208" s="42">
        <f>IF('Pilot offer'!$C$24="Yes",'Pilot offer'!$C$5+'Pilot offer'!$C$6,T208)</f>
        <v/>
      </c>
      <c r="Y208" s="15">
        <f>IF('Pilot offer'!$C$24="Yes",'Pilot offer'!$C$8,U208)</f>
        <v/>
      </c>
      <c r="Z208" s="43">
        <f>IF('Pilot offer'!$C$24="Yes",'Pilot offer'!$C$11,"")</f>
        <v/>
      </c>
      <c r="AA208" s="15">
        <f>IF(X208="","",W208&amp;" · "&amp;TEXT(X208,"ddd d mmm, hh:mm")&amp;" · "&amp;Y208&amp;IF(Z208&lt;&gt;""," · £"&amp;TEXT(Z208,"0.00")&amp;" per player"," · price TBC (cost £"&amp;TEXT(V208,"0.00")&amp;" pp)"))</f>
        <v/>
      </c>
      <c r="AD208" s="44" t="n"/>
    </row>
    <row r="209">
      <c r="A209" s="13" t="n">
        <v>207</v>
      </c>
      <c r="B209" s="13" t="inlineStr">
        <is>
          <t>2 · EC2A Shoreditch</t>
        </is>
      </c>
      <c r="C209" s="13" t="inlineStr">
        <is>
          <t>Office &amp; professional</t>
        </is>
      </c>
      <c r="D209" s="13" t="inlineStr">
        <is>
          <t>Corporate</t>
        </is>
      </c>
      <c r="E209" s="13" t="inlineStr">
        <is>
          <t>Highwoods Group - Shoreditch, London</t>
        </is>
      </c>
      <c r="F209" s="13" t="inlineStr">
        <is>
          <t>finance</t>
        </is>
      </c>
      <c r="G209" s="13" t="inlineStr">
        <is>
          <t>support@highwoodsgroup.co.uk</t>
        </is>
      </c>
      <c r="H209" s="13" t="inlineStr">
        <is>
          <t>commercial</t>
        </is>
      </c>
      <c r="I209" s="13" t="inlineStr">
        <is>
          <t>+44 20 7096 1043</t>
        </is>
      </c>
      <c r="J209" s="14" t="inlineStr">
        <is>
          <t>http://www.highwoodsgroup.co.uk/</t>
        </is>
      </c>
      <c r="K209" s="13" t="inlineStr">
        <is>
          <t>The Black &amp; White Building, 74 Rivington St, London EC2A 3AY, UK</t>
        </is>
      </c>
      <c r="L209" s="13" t="inlineStr">
        <is>
          <t>EC2A 3AY</t>
        </is>
      </c>
      <c r="M209" s="13" t="inlineStr">
        <is>
          <t>Shoreditch Rooftop</t>
        </is>
      </c>
      <c r="N209" s="13" t="n">
        <v>16</v>
      </c>
      <c r="O209" s="15">
        <f>IFERROR(INDEX(Venues!$C$2:$C$10,MATCH(M209,Venues!$A$2:$A$10,0)),"Not checked")</f>
        <v/>
      </c>
      <c r="P209" s="15">
        <f>IFERROR(INDEX(Venues!$D$2:$D$10,MATCH(M209,Venues!$A$2:$A$10,0)),0)</f>
        <v/>
      </c>
      <c r="Q209" s="42">
        <f>IFERROR(INDEX(Venues!$E$2:$E$10,MATCH(M209,Venues!$A$2:$A$10,0)),"")</f>
        <v/>
      </c>
      <c r="R209" s="15">
        <f>IF(P209&gt;0,"Yes","No")</f>
        <v/>
      </c>
      <c r="S209" s="13" t="inlineStr">
        <is>
          <t>Shoreditch Rooftop</t>
        </is>
      </c>
      <c r="T209" s="42">
        <f>IFERROR(INDEX(Venues!$E$2:$E$10,MATCH(S209,Venues!$A$2:$A$10,0)),"")</f>
        <v/>
      </c>
      <c r="U209" s="15">
        <f>IFERROR(INDEX(Venues!$F$2:$F$10,MATCH(S209,Venues!$A$2:$A$10,0)),"")</f>
        <v/>
      </c>
      <c r="V209" s="43">
        <f>IFERROR(INDEX(Venues!$H$2:$H$10,MATCH(S209,Venues!$A$2:$A$10,0)),"")</f>
        <v/>
      </c>
      <c r="W209" s="15">
        <f>IF('Pilot offer'!$C$24="Yes",'Pilot offer'!$C$3,S209)</f>
        <v/>
      </c>
      <c r="X209" s="42">
        <f>IF('Pilot offer'!$C$24="Yes",'Pilot offer'!$C$5+'Pilot offer'!$C$6,T209)</f>
        <v/>
      </c>
      <c r="Y209" s="15">
        <f>IF('Pilot offer'!$C$24="Yes",'Pilot offer'!$C$8,U209)</f>
        <v/>
      </c>
      <c r="Z209" s="43">
        <f>IF('Pilot offer'!$C$24="Yes",'Pilot offer'!$C$11,"")</f>
        <v/>
      </c>
      <c r="AA209" s="15">
        <f>IF(X209="","",W209&amp;" · "&amp;TEXT(X209,"ddd d mmm, hh:mm")&amp;" · "&amp;Y209&amp;IF(Z209&lt;&gt;""," · £"&amp;TEXT(Z209,"0.00")&amp;" per player"," · price TBC (cost £"&amp;TEXT(V209,"0.00")&amp;" pp)"))</f>
        <v/>
      </c>
      <c r="AD209" s="44" t="n"/>
    </row>
    <row r="210">
      <c r="A210" s="13" t="n">
        <v>208</v>
      </c>
      <c r="B210" s="13" t="inlineStr">
        <is>
          <t>2 · EC2A Shoreditch</t>
        </is>
      </c>
      <c r="C210" s="13" t="inlineStr">
        <is>
          <t>Hospitality</t>
        </is>
      </c>
      <c r="D210" s="13" t="inlineStr">
        <is>
          <t>Local businesses</t>
        </is>
      </c>
      <c r="E210" s="13" t="inlineStr">
        <is>
          <t>Ballie Ballerson</t>
        </is>
      </c>
      <c r="F210" s="13" t="inlineStr">
        <is>
          <t>amenity: bar</t>
        </is>
      </c>
      <c r="G210" s="13" t="inlineStr">
        <is>
          <t>hello@ballieballerson.com</t>
        </is>
      </c>
      <c r="H210" s="13" t="inlineStr">
        <is>
          <t>openstreetmap_tag</t>
        </is>
      </c>
      <c r="I210" s="13" t="inlineStr">
        <is>
          <t>+44 20 3950 2424</t>
        </is>
      </c>
      <c r="J210" s="14" t="inlineStr">
        <is>
          <t>https://shoreditch.ballieballerson.com/</t>
        </is>
      </c>
      <c r="K210" s="13" t="inlineStr">
        <is>
          <t>Curtain Road 97-113, London</t>
        </is>
      </c>
      <c r="L210" s="13" t="inlineStr">
        <is>
          <t>EC2A 3BS</t>
        </is>
      </c>
      <c r="M210" s="13" t="inlineStr">
        <is>
          <t>Shoreditch Rooftop</t>
        </is>
      </c>
      <c r="N210" s="13" t="n">
        <v>17</v>
      </c>
      <c r="O210" s="15">
        <f>IFERROR(INDEX(Venues!$C$2:$C$10,MATCH(M210,Venues!$A$2:$A$10,0)),"Not checked")</f>
        <v/>
      </c>
      <c r="P210" s="15">
        <f>IFERROR(INDEX(Venues!$D$2:$D$10,MATCH(M210,Venues!$A$2:$A$10,0)),0)</f>
        <v/>
      </c>
      <c r="Q210" s="42">
        <f>IFERROR(INDEX(Venues!$E$2:$E$10,MATCH(M210,Venues!$A$2:$A$10,0)),"")</f>
        <v/>
      </c>
      <c r="R210" s="15">
        <f>IF(P210&gt;0,"Yes","No")</f>
        <v/>
      </c>
      <c r="S210" s="13" t="inlineStr">
        <is>
          <t>Shoreditch Rooftop</t>
        </is>
      </c>
      <c r="T210" s="42">
        <f>IFERROR(INDEX(Venues!$E$2:$E$10,MATCH(S210,Venues!$A$2:$A$10,0)),"")</f>
        <v/>
      </c>
      <c r="U210" s="15">
        <f>IFERROR(INDEX(Venues!$F$2:$F$10,MATCH(S210,Venues!$A$2:$A$10,0)),"")</f>
        <v/>
      </c>
      <c r="V210" s="43">
        <f>IFERROR(INDEX(Venues!$H$2:$H$10,MATCH(S210,Venues!$A$2:$A$10,0)),"")</f>
        <v/>
      </c>
      <c r="W210" s="15">
        <f>IF('Pilot offer'!$C$24="Yes",'Pilot offer'!$C$3,S210)</f>
        <v/>
      </c>
      <c r="X210" s="42">
        <f>IF('Pilot offer'!$C$24="Yes",'Pilot offer'!$C$5+'Pilot offer'!$C$6,T210)</f>
        <v/>
      </c>
      <c r="Y210" s="15">
        <f>IF('Pilot offer'!$C$24="Yes",'Pilot offer'!$C$8,U210)</f>
        <v/>
      </c>
      <c r="Z210" s="43">
        <f>IF('Pilot offer'!$C$24="Yes",'Pilot offer'!$C$11,"")</f>
        <v/>
      </c>
      <c r="AA210" s="15">
        <f>IF(X210="","",W210&amp;" · "&amp;TEXT(X210,"ddd d mmm, hh:mm")&amp;" · "&amp;Y210&amp;IF(Z210&lt;&gt;""," · £"&amp;TEXT(Z210,"0.00")&amp;" per player"," · price TBC (cost £"&amp;TEXT(V210,"0.00")&amp;" pp)"))</f>
        <v/>
      </c>
      <c r="AD210" s="44" t="n"/>
    </row>
    <row r="211">
      <c r="A211" s="13" t="n">
        <v>209</v>
      </c>
      <c r="B211" s="13" t="inlineStr">
        <is>
          <t>2 · EC2A Shoreditch</t>
        </is>
      </c>
      <c r="C211" s="13" t="inlineStr">
        <is>
          <t>Office &amp; professional</t>
        </is>
      </c>
      <c r="D211" s="13" t="inlineStr">
        <is>
          <t>Corporate</t>
        </is>
      </c>
      <c r="E211" s="13" t="inlineStr">
        <is>
          <t>Findmypast</t>
        </is>
      </c>
      <c r="F211" s="13" t="inlineStr">
        <is>
          <t>company</t>
        </is>
      </c>
      <c r="G211" s="13" t="inlineStr">
        <is>
          <t>support@findmypast.co.uk</t>
        </is>
      </c>
      <c r="H211" s="13" t="inlineStr">
        <is>
          <t>commercial</t>
        </is>
      </c>
      <c r="I211" s="13" t="n"/>
      <c r="J211" s="14" t="inlineStr">
        <is>
          <t>https://www.findmypast.co.uk/</t>
        </is>
      </c>
      <c r="K211" s="13" t="inlineStr">
        <is>
          <t>6 Chapel Place, London</t>
        </is>
      </c>
      <c r="L211" s="13" t="inlineStr">
        <is>
          <t>EC2A 3DQ</t>
        </is>
      </c>
      <c r="M211" s="13" t="inlineStr">
        <is>
          <t>Shoreditch Rooftop</t>
        </is>
      </c>
      <c r="N211" s="13" t="n">
        <v>15</v>
      </c>
      <c r="O211" s="15">
        <f>IFERROR(INDEX(Venues!$C$2:$C$10,MATCH(M211,Venues!$A$2:$A$10,0)),"Not checked")</f>
        <v/>
      </c>
      <c r="P211" s="15">
        <f>IFERROR(INDEX(Venues!$D$2:$D$10,MATCH(M211,Venues!$A$2:$A$10,0)),0)</f>
        <v/>
      </c>
      <c r="Q211" s="42">
        <f>IFERROR(INDEX(Venues!$E$2:$E$10,MATCH(M211,Venues!$A$2:$A$10,0)),"")</f>
        <v/>
      </c>
      <c r="R211" s="15">
        <f>IF(P211&gt;0,"Yes","No")</f>
        <v/>
      </c>
      <c r="S211" s="13" t="inlineStr">
        <is>
          <t>Shoreditch Rooftop</t>
        </is>
      </c>
      <c r="T211" s="42">
        <f>IFERROR(INDEX(Venues!$E$2:$E$10,MATCH(S211,Venues!$A$2:$A$10,0)),"")</f>
        <v/>
      </c>
      <c r="U211" s="15">
        <f>IFERROR(INDEX(Venues!$F$2:$F$10,MATCH(S211,Venues!$A$2:$A$10,0)),"")</f>
        <v/>
      </c>
      <c r="V211" s="43">
        <f>IFERROR(INDEX(Venues!$H$2:$H$10,MATCH(S211,Venues!$A$2:$A$10,0)),"")</f>
        <v/>
      </c>
      <c r="W211" s="15">
        <f>IF('Pilot offer'!$C$24="Yes",'Pilot offer'!$C$3,S211)</f>
        <v/>
      </c>
      <c r="X211" s="42">
        <f>IF('Pilot offer'!$C$24="Yes",'Pilot offer'!$C$5+'Pilot offer'!$C$6,T211)</f>
        <v/>
      </c>
      <c r="Y211" s="15">
        <f>IF('Pilot offer'!$C$24="Yes",'Pilot offer'!$C$8,U211)</f>
        <v/>
      </c>
      <c r="Z211" s="43">
        <f>IF('Pilot offer'!$C$24="Yes",'Pilot offer'!$C$11,"")</f>
        <v/>
      </c>
      <c r="AA211" s="15">
        <f>IF(X211="","",W211&amp;" · "&amp;TEXT(X211,"ddd d mmm, hh:mm")&amp;" · "&amp;Y211&amp;IF(Z211&lt;&gt;""," · £"&amp;TEXT(Z211,"0.00")&amp;" per player"," · price TBC (cost £"&amp;TEXT(V211,"0.00")&amp;" pp)"))</f>
        <v/>
      </c>
      <c r="AD211" s="44" t="n"/>
    </row>
    <row r="212">
      <c r="A212" s="13" t="n">
        <v>210</v>
      </c>
      <c r="B212" s="13" t="inlineStr">
        <is>
          <t>2 · EC2A Shoreditch</t>
        </is>
      </c>
      <c r="C212" s="13" t="inlineStr">
        <is>
          <t>Office &amp; professional</t>
        </is>
      </c>
      <c r="D212" s="13" t="inlineStr">
        <is>
          <t>Corporate</t>
        </is>
      </c>
      <c r="E212" s="13" t="inlineStr">
        <is>
          <t>Newinton Accountancy Ltd</t>
        </is>
      </c>
      <c r="F212" s="13" t="inlineStr">
        <is>
          <t>finance</t>
        </is>
      </c>
      <c r="G212" s="13" t="inlineStr">
        <is>
          <t>info@newintonacc.com</t>
        </is>
      </c>
      <c r="H212" s="13" t="inlineStr">
        <is>
          <t>general</t>
        </is>
      </c>
      <c r="I212" s="13" t="inlineStr">
        <is>
          <t>+44 20 3172 6503</t>
        </is>
      </c>
      <c r="J212" s="14" t="inlineStr">
        <is>
          <t>http://www.newintonacc.com/</t>
        </is>
      </c>
      <c r="K212" s="13" t="inlineStr">
        <is>
          <t>9 Chapel Pl, Rivington St, London EC2A 3DQ, UK</t>
        </is>
      </c>
      <c r="L212" s="13" t="inlineStr">
        <is>
          <t>EC2A 3DQ</t>
        </is>
      </c>
      <c r="M212" s="13" t="inlineStr">
        <is>
          <t>Shoreditch Rooftop</t>
        </is>
      </c>
      <c r="N212" s="13" t="n">
        <v>15</v>
      </c>
      <c r="O212" s="15">
        <f>IFERROR(INDEX(Venues!$C$2:$C$10,MATCH(M212,Venues!$A$2:$A$10,0)),"Not checked")</f>
        <v/>
      </c>
      <c r="P212" s="15">
        <f>IFERROR(INDEX(Venues!$D$2:$D$10,MATCH(M212,Venues!$A$2:$A$10,0)),0)</f>
        <v/>
      </c>
      <c r="Q212" s="42">
        <f>IFERROR(INDEX(Venues!$E$2:$E$10,MATCH(M212,Venues!$A$2:$A$10,0)),"")</f>
        <v/>
      </c>
      <c r="R212" s="15">
        <f>IF(P212&gt;0,"Yes","No")</f>
        <v/>
      </c>
      <c r="S212" s="13" t="inlineStr">
        <is>
          <t>Shoreditch Rooftop</t>
        </is>
      </c>
      <c r="T212" s="42">
        <f>IFERROR(INDEX(Venues!$E$2:$E$10,MATCH(S212,Venues!$A$2:$A$10,0)),"")</f>
        <v/>
      </c>
      <c r="U212" s="15">
        <f>IFERROR(INDEX(Venues!$F$2:$F$10,MATCH(S212,Venues!$A$2:$A$10,0)),"")</f>
        <v/>
      </c>
      <c r="V212" s="43">
        <f>IFERROR(INDEX(Venues!$H$2:$H$10,MATCH(S212,Venues!$A$2:$A$10,0)),"")</f>
        <v/>
      </c>
      <c r="W212" s="15">
        <f>IF('Pilot offer'!$C$24="Yes",'Pilot offer'!$C$3,S212)</f>
        <v/>
      </c>
      <c r="X212" s="42">
        <f>IF('Pilot offer'!$C$24="Yes",'Pilot offer'!$C$5+'Pilot offer'!$C$6,T212)</f>
        <v/>
      </c>
      <c r="Y212" s="15">
        <f>IF('Pilot offer'!$C$24="Yes",'Pilot offer'!$C$8,U212)</f>
        <v/>
      </c>
      <c r="Z212" s="43">
        <f>IF('Pilot offer'!$C$24="Yes",'Pilot offer'!$C$11,"")</f>
        <v/>
      </c>
      <c r="AA212" s="15">
        <f>IF(X212="","",W212&amp;" · "&amp;TEXT(X212,"ddd d mmm, hh:mm")&amp;" · "&amp;Y212&amp;IF(Z212&lt;&gt;""," · £"&amp;TEXT(Z212,"0.00")&amp;" per player"," · price TBC (cost £"&amp;TEXT(V212,"0.00")&amp;" pp)"))</f>
        <v/>
      </c>
      <c r="AD212" s="44" t="n"/>
    </row>
    <row r="213">
      <c r="A213" s="13" t="n">
        <v>211</v>
      </c>
      <c r="B213" s="13" t="inlineStr">
        <is>
          <t>2 · EC2A Shoreditch</t>
        </is>
      </c>
      <c r="C213" s="13" t="inlineStr">
        <is>
          <t>Hospitality</t>
        </is>
      </c>
      <c r="D213" s="13" t="inlineStr">
        <is>
          <t>Local businesses</t>
        </is>
      </c>
      <c r="E213" s="13" t="inlineStr">
        <is>
          <t>art'otel London Hoxton</t>
        </is>
      </c>
      <c r="F213" s="13" t="inlineStr">
        <is>
          <t>tourism: hotel</t>
        </is>
      </c>
      <c r="G213" s="13" t="inlineStr">
        <is>
          <t>ask.hoxton@artotel.com</t>
        </is>
      </c>
      <c r="H213" s="13" t="inlineStr">
        <is>
          <t>openstreetmap_tag</t>
        </is>
      </c>
      <c r="I213" s="13" t="inlineStr">
        <is>
          <t>+44 333 400 6156</t>
        </is>
      </c>
      <c r="J213" s="14" t="inlineStr">
        <is>
          <t>https://artotellondonhoxton.com/</t>
        </is>
      </c>
      <c r="K213" s="13" t="inlineStr">
        <is>
          <t>Rivington Street 1-3, London</t>
        </is>
      </c>
      <c r="L213" s="13" t="inlineStr">
        <is>
          <t>EC2A 3DT</t>
        </is>
      </c>
      <c r="M213" s="13" t="inlineStr">
        <is>
          <t>Shoreditch Rooftop</t>
        </is>
      </c>
      <c r="N213" s="13" t="n">
        <v>15</v>
      </c>
      <c r="O213" s="15">
        <f>IFERROR(INDEX(Venues!$C$2:$C$10,MATCH(M213,Venues!$A$2:$A$10,0)),"Not checked")</f>
        <v/>
      </c>
      <c r="P213" s="15">
        <f>IFERROR(INDEX(Venues!$D$2:$D$10,MATCH(M213,Venues!$A$2:$A$10,0)),0)</f>
        <v/>
      </c>
      <c r="Q213" s="42">
        <f>IFERROR(INDEX(Venues!$E$2:$E$10,MATCH(M213,Venues!$A$2:$A$10,0)),"")</f>
        <v/>
      </c>
      <c r="R213" s="15">
        <f>IF(P213&gt;0,"Yes","No")</f>
        <v/>
      </c>
      <c r="S213" s="13" t="inlineStr">
        <is>
          <t>Shoreditch Rooftop</t>
        </is>
      </c>
      <c r="T213" s="42">
        <f>IFERROR(INDEX(Venues!$E$2:$E$10,MATCH(S213,Venues!$A$2:$A$10,0)),"")</f>
        <v/>
      </c>
      <c r="U213" s="15">
        <f>IFERROR(INDEX(Venues!$F$2:$F$10,MATCH(S213,Venues!$A$2:$A$10,0)),"")</f>
        <v/>
      </c>
      <c r="V213" s="43">
        <f>IFERROR(INDEX(Venues!$H$2:$H$10,MATCH(S213,Venues!$A$2:$A$10,0)),"")</f>
        <v/>
      </c>
      <c r="W213" s="15">
        <f>IF('Pilot offer'!$C$24="Yes",'Pilot offer'!$C$3,S213)</f>
        <v/>
      </c>
      <c r="X213" s="42">
        <f>IF('Pilot offer'!$C$24="Yes",'Pilot offer'!$C$5+'Pilot offer'!$C$6,T213)</f>
        <v/>
      </c>
      <c r="Y213" s="15">
        <f>IF('Pilot offer'!$C$24="Yes",'Pilot offer'!$C$8,U213)</f>
        <v/>
      </c>
      <c r="Z213" s="43">
        <f>IF('Pilot offer'!$C$24="Yes",'Pilot offer'!$C$11,"")</f>
        <v/>
      </c>
      <c r="AA213" s="15">
        <f>IF(X213="","",W213&amp;" · "&amp;TEXT(X213,"ddd d mmm, hh:mm")&amp;" · "&amp;Y213&amp;IF(Z213&lt;&gt;""," · £"&amp;TEXT(Z213,"0.00")&amp;" per player"," · price TBC (cost £"&amp;TEXT(V213,"0.00")&amp;" pp)"))</f>
        <v/>
      </c>
      <c r="AD213" s="44" t="n"/>
    </row>
    <row r="214">
      <c r="A214" s="13" t="n">
        <v>212</v>
      </c>
      <c r="B214" s="13" t="inlineStr">
        <is>
          <t>2 · EC2A Shoreditch</t>
        </is>
      </c>
      <c r="C214" s="13" t="inlineStr">
        <is>
          <t>Hospitality</t>
        </is>
      </c>
      <c r="D214" s="13" t="inlineStr">
        <is>
          <t>Local businesses</t>
        </is>
      </c>
      <c r="E214" s="13" t="inlineStr">
        <is>
          <t>Popolo</t>
        </is>
      </c>
      <c r="F214" s="13" t="inlineStr">
        <is>
          <t>amenity: restaurant</t>
        </is>
      </c>
      <c r="G214" s="13" t="inlineStr">
        <is>
          <t>info@popoloshoreditch.com</t>
        </is>
      </c>
      <c r="H214" s="13" t="inlineStr">
        <is>
          <t>general</t>
        </is>
      </c>
      <c r="I214" s="13" t="inlineStr">
        <is>
          <t>+44 20 7729 4299</t>
        </is>
      </c>
      <c r="J214" s="14" t="inlineStr">
        <is>
          <t>https://popoloshoreditch.com/</t>
        </is>
      </c>
      <c r="K214" s="13" t="inlineStr">
        <is>
          <t>Rivington Street 26, London</t>
        </is>
      </c>
      <c r="L214" s="13" t="inlineStr">
        <is>
          <t>EC2A 3DU</t>
        </is>
      </c>
      <c r="M214" s="13" t="inlineStr">
        <is>
          <t>Shoreditch Rooftop</t>
        </is>
      </c>
      <c r="N214" s="13" t="n">
        <v>15</v>
      </c>
      <c r="O214" s="15">
        <f>IFERROR(INDEX(Venues!$C$2:$C$10,MATCH(M214,Venues!$A$2:$A$10,0)),"Not checked")</f>
        <v/>
      </c>
      <c r="P214" s="15">
        <f>IFERROR(INDEX(Venues!$D$2:$D$10,MATCH(M214,Venues!$A$2:$A$10,0)),0)</f>
        <v/>
      </c>
      <c r="Q214" s="42">
        <f>IFERROR(INDEX(Venues!$E$2:$E$10,MATCH(M214,Venues!$A$2:$A$10,0)),"")</f>
        <v/>
      </c>
      <c r="R214" s="15">
        <f>IF(P214&gt;0,"Yes","No")</f>
        <v/>
      </c>
      <c r="S214" s="13" t="inlineStr">
        <is>
          <t>Shoreditch Rooftop</t>
        </is>
      </c>
      <c r="T214" s="42">
        <f>IFERROR(INDEX(Venues!$E$2:$E$10,MATCH(S214,Venues!$A$2:$A$10,0)),"")</f>
        <v/>
      </c>
      <c r="U214" s="15">
        <f>IFERROR(INDEX(Venues!$F$2:$F$10,MATCH(S214,Venues!$A$2:$A$10,0)),"")</f>
        <v/>
      </c>
      <c r="V214" s="43">
        <f>IFERROR(INDEX(Venues!$H$2:$H$10,MATCH(S214,Venues!$A$2:$A$10,0)),"")</f>
        <v/>
      </c>
      <c r="W214" s="15">
        <f>IF('Pilot offer'!$C$24="Yes",'Pilot offer'!$C$3,S214)</f>
        <v/>
      </c>
      <c r="X214" s="42">
        <f>IF('Pilot offer'!$C$24="Yes",'Pilot offer'!$C$5+'Pilot offer'!$C$6,T214)</f>
        <v/>
      </c>
      <c r="Y214" s="15">
        <f>IF('Pilot offer'!$C$24="Yes",'Pilot offer'!$C$8,U214)</f>
        <v/>
      </c>
      <c r="Z214" s="43">
        <f>IF('Pilot offer'!$C$24="Yes",'Pilot offer'!$C$11,"")</f>
        <v/>
      </c>
      <c r="AA214" s="15">
        <f>IF(X214="","",W214&amp;" · "&amp;TEXT(X214,"ddd d mmm, hh:mm")&amp;" · "&amp;Y214&amp;IF(Z214&lt;&gt;""," · £"&amp;TEXT(Z214,"0.00")&amp;" per player"," · price TBC (cost £"&amp;TEXT(V214,"0.00")&amp;" pp)"))</f>
        <v/>
      </c>
      <c r="AD214" s="44" t="n"/>
    </row>
    <row r="215">
      <c r="A215" s="13" t="n">
        <v>213</v>
      </c>
      <c r="B215" s="13" t="inlineStr">
        <is>
          <t>2 · EC2A Shoreditch</t>
        </is>
      </c>
      <c r="C215" s="13" t="inlineStr">
        <is>
          <t>Hospitality</t>
        </is>
      </c>
      <c r="D215" s="13" t="inlineStr">
        <is>
          <t>Local businesses</t>
        </is>
      </c>
      <c r="E215" s="13" t="inlineStr">
        <is>
          <t>Butchies</t>
        </is>
      </c>
      <c r="F215" s="13" t="inlineStr">
        <is>
          <t>amenity: fast food</t>
        </is>
      </c>
      <c r="G215" s="13" t="inlineStr">
        <is>
          <t>info@butchies.co.uk</t>
        </is>
      </c>
      <c r="H215" s="13" t="inlineStr">
        <is>
          <t>openstreetmap_tag</t>
        </is>
      </c>
      <c r="I215" s="13" t="n"/>
      <c r="J215" s="14" t="inlineStr">
        <is>
          <t>https://www.butchies.co.uk</t>
        </is>
      </c>
      <c r="K215" s="13" t="inlineStr">
        <is>
          <t>Rivington Street 22, London</t>
        </is>
      </c>
      <c r="L215" s="13" t="inlineStr">
        <is>
          <t>EC2A 3DY</t>
        </is>
      </c>
      <c r="M215" s="13" t="inlineStr">
        <is>
          <t>Shoreditch Rooftop</t>
        </is>
      </c>
      <c r="N215" s="13" t="n">
        <v>15</v>
      </c>
      <c r="O215" s="15">
        <f>IFERROR(INDEX(Venues!$C$2:$C$10,MATCH(M215,Venues!$A$2:$A$10,0)),"Not checked")</f>
        <v/>
      </c>
      <c r="P215" s="15">
        <f>IFERROR(INDEX(Venues!$D$2:$D$10,MATCH(M215,Venues!$A$2:$A$10,0)),0)</f>
        <v/>
      </c>
      <c r="Q215" s="42">
        <f>IFERROR(INDEX(Venues!$E$2:$E$10,MATCH(M215,Venues!$A$2:$A$10,0)),"")</f>
        <v/>
      </c>
      <c r="R215" s="15">
        <f>IF(P215&gt;0,"Yes","No")</f>
        <v/>
      </c>
      <c r="S215" s="13" t="inlineStr">
        <is>
          <t>Shoreditch Rooftop</t>
        </is>
      </c>
      <c r="T215" s="42">
        <f>IFERROR(INDEX(Venues!$E$2:$E$10,MATCH(S215,Venues!$A$2:$A$10,0)),"")</f>
        <v/>
      </c>
      <c r="U215" s="15">
        <f>IFERROR(INDEX(Venues!$F$2:$F$10,MATCH(S215,Venues!$A$2:$A$10,0)),"")</f>
        <v/>
      </c>
      <c r="V215" s="43">
        <f>IFERROR(INDEX(Venues!$H$2:$H$10,MATCH(S215,Venues!$A$2:$A$10,0)),"")</f>
        <v/>
      </c>
      <c r="W215" s="15">
        <f>IF('Pilot offer'!$C$24="Yes",'Pilot offer'!$C$3,S215)</f>
        <v/>
      </c>
      <c r="X215" s="42">
        <f>IF('Pilot offer'!$C$24="Yes",'Pilot offer'!$C$5+'Pilot offer'!$C$6,T215)</f>
        <v/>
      </c>
      <c r="Y215" s="15">
        <f>IF('Pilot offer'!$C$24="Yes",'Pilot offer'!$C$8,U215)</f>
        <v/>
      </c>
      <c r="Z215" s="43">
        <f>IF('Pilot offer'!$C$24="Yes",'Pilot offer'!$C$11,"")</f>
        <v/>
      </c>
      <c r="AA215" s="15">
        <f>IF(X215="","",W215&amp;" · "&amp;TEXT(X215,"ddd d mmm, hh:mm")&amp;" · "&amp;Y215&amp;IF(Z215&lt;&gt;""," · £"&amp;TEXT(Z215,"0.00")&amp;" per player"," · price TBC (cost £"&amp;TEXT(V215,"0.00")&amp;" pp)"))</f>
        <v/>
      </c>
      <c r="AD215" s="44" t="n"/>
    </row>
    <row r="216">
      <c r="A216" s="13" t="n">
        <v>214</v>
      </c>
      <c r="B216" s="13" t="inlineStr">
        <is>
          <t>2 · EC2A Shoreditch</t>
        </is>
      </c>
      <c r="C216" s="13" t="inlineStr">
        <is>
          <t>Hospitality</t>
        </is>
      </c>
      <c r="D216" s="13" t="inlineStr">
        <is>
          <t>Local businesses</t>
        </is>
      </c>
      <c r="E216" s="13" t="inlineStr">
        <is>
          <t>The Old Blue Last</t>
        </is>
      </c>
      <c r="F216" s="13" t="inlineStr">
        <is>
          <t>amenity: pub</t>
        </is>
      </c>
      <c r="G216" s="13" t="inlineStr">
        <is>
          <t>managers@theoldbluelast.com</t>
        </is>
      </c>
      <c r="H216" s="13" t="inlineStr">
        <is>
          <t>openstreetmap_tag</t>
        </is>
      </c>
      <c r="I216" s="13" t="inlineStr">
        <is>
          <t>+44 20 7739 7033</t>
        </is>
      </c>
      <c r="J216" s="14" t="inlineStr">
        <is>
          <t>https://www.theoldbluelast.com</t>
        </is>
      </c>
      <c r="K216" s="13" t="inlineStr">
        <is>
          <t>Great Eastern Street 38, London</t>
        </is>
      </c>
      <c r="L216" s="13" t="inlineStr">
        <is>
          <t>EC2A 3ES</t>
        </is>
      </c>
      <c r="M216" s="13" t="inlineStr">
        <is>
          <t>Shoreditch Rooftop</t>
        </is>
      </c>
      <c r="N216" s="13" t="n">
        <v>19</v>
      </c>
      <c r="O216" s="15">
        <f>IFERROR(INDEX(Venues!$C$2:$C$10,MATCH(M216,Venues!$A$2:$A$10,0)),"Not checked")</f>
        <v/>
      </c>
      <c r="P216" s="15">
        <f>IFERROR(INDEX(Venues!$D$2:$D$10,MATCH(M216,Venues!$A$2:$A$10,0)),0)</f>
        <v/>
      </c>
      <c r="Q216" s="42">
        <f>IFERROR(INDEX(Venues!$E$2:$E$10,MATCH(M216,Venues!$A$2:$A$10,0)),"")</f>
        <v/>
      </c>
      <c r="R216" s="15">
        <f>IF(P216&gt;0,"Yes","No")</f>
        <v/>
      </c>
      <c r="S216" s="13" t="inlineStr">
        <is>
          <t>Shoreditch Rooftop</t>
        </is>
      </c>
      <c r="T216" s="42">
        <f>IFERROR(INDEX(Venues!$E$2:$E$10,MATCH(S216,Venues!$A$2:$A$10,0)),"")</f>
        <v/>
      </c>
      <c r="U216" s="15">
        <f>IFERROR(INDEX(Venues!$F$2:$F$10,MATCH(S216,Venues!$A$2:$A$10,0)),"")</f>
        <v/>
      </c>
      <c r="V216" s="43">
        <f>IFERROR(INDEX(Venues!$H$2:$H$10,MATCH(S216,Venues!$A$2:$A$10,0)),"")</f>
        <v/>
      </c>
      <c r="W216" s="15">
        <f>IF('Pilot offer'!$C$24="Yes",'Pilot offer'!$C$3,S216)</f>
        <v/>
      </c>
      <c r="X216" s="42">
        <f>IF('Pilot offer'!$C$24="Yes",'Pilot offer'!$C$5+'Pilot offer'!$C$6,T216)</f>
        <v/>
      </c>
      <c r="Y216" s="15">
        <f>IF('Pilot offer'!$C$24="Yes",'Pilot offer'!$C$8,U216)</f>
        <v/>
      </c>
      <c r="Z216" s="43">
        <f>IF('Pilot offer'!$C$24="Yes",'Pilot offer'!$C$11,"")</f>
        <v/>
      </c>
      <c r="AA216" s="15">
        <f>IF(X216="","",W216&amp;" · "&amp;TEXT(X216,"ddd d mmm, hh:mm")&amp;" · "&amp;Y216&amp;IF(Z216&lt;&gt;""," · £"&amp;TEXT(Z216,"0.00")&amp;" per player"," · price TBC (cost £"&amp;TEXT(V216,"0.00")&amp;" pp)"))</f>
        <v/>
      </c>
      <c r="AD216" s="44" t="n"/>
    </row>
    <row r="217">
      <c r="A217" s="13" t="n">
        <v>215</v>
      </c>
      <c r="B217" s="13" t="inlineStr">
        <is>
          <t>2 · EC2A Shoreditch</t>
        </is>
      </c>
      <c r="C217" s="13" t="inlineStr">
        <is>
          <t>Coworking / shared office</t>
        </is>
      </c>
      <c r="D217" s="13" t="inlineStr">
        <is>
          <t>Corporate</t>
        </is>
      </c>
      <c r="E217" s="13" t="inlineStr">
        <is>
          <t>Protein Studios Shoreditch</t>
        </is>
      </c>
      <c r="F217" s="13" t="inlineStr">
        <is>
          <t>coworking_space</t>
        </is>
      </c>
      <c r="G217" s="13" t="inlineStr">
        <is>
          <t>info@proteinstudios.com</t>
        </is>
      </c>
      <c r="H217" s="13" t="inlineStr">
        <is>
          <t>general</t>
        </is>
      </c>
      <c r="I217" s="13" t="inlineStr">
        <is>
          <t>+44 20 7247 3999</t>
        </is>
      </c>
      <c r="J217" s="14" t="inlineStr">
        <is>
          <t>https://www.proteinstudios.com/</t>
        </is>
      </c>
      <c r="K217" s="13" t="inlineStr">
        <is>
          <t>31 New Inn Yard, London EC2A 3EY, UK</t>
        </is>
      </c>
      <c r="L217" s="13" t="inlineStr">
        <is>
          <t>EC2A 3EY</t>
        </is>
      </c>
      <c r="M217" s="13" t="inlineStr">
        <is>
          <t>Shoreditch Rooftop</t>
        </is>
      </c>
      <c r="N217" s="13" t="n">
        <v>19</v>
      </c>
      <c r="O217" s="15">
        <f>IFERROR(INDEX(Venues!$C$2:$C$10,MATCH(M217,Venues!$A$2:$A$10,0)),"Not checked")</f>
        <v/>
      </c>
      <c r="P217" s="15">
        <f>IFERROR(INDEX(Venues!$D$2:$D$10,MATCH(M217,Venues!$A$2:$A$10,0)),0)</f>
        <v/>
      </c>
      <c r="Q217" s="42">
        <f>IFERROR(INDEX(Venues!$E$2:$E$10,MATCH(M217,Venues!$A$2:$A$10,0)),"")</f>
        <v/>
      </c>
      <c r="R217" s="15">
        <f>IF(P217&gt;0,"Yes","No")</f>
        <v/>
      </c>
      <c r="S217" s="13" t="inlineStr">
        <is>
          <t>Shoreditch Rooftop</t>
        </is>
      </c>
      <c r="T217" s="42">
        <f>IFERROR(INDEX(Venues!$E$2:$E$10,MATCH(S217,Venues!$A$2:$A$10,0)),"")</f>
        <v/>
      </c>
      <c r="U217" s="15">
        <f>IFERROR(INDEX(Venues!$F$2:$F$10,MATCH(S217,Venues!$A$2:$A$10,0)),"")</f>
        <v/>
      </c>
      <c r="V217" s="43">
        <f>IFERROR(INDEX(Venues!$H$2:$H$10,MATCH(S217,Venues!$A$2:$A$10,0)),"")</f>
        <v/>
      </c>
      <c r="W217" s="15">
        <f>IF('Pilot offer'!$C$24="Yes",'Pilot offer'!$C$3,S217)</f>
        <v/>
      </c>
      <c r="X217" s="42">
        <f>IF('Pilot offer'!$C$24="Yes",'Pilot offer'!$C$5+'Pilot offer'!$C$6,T217)</f>
        <v/>
      </c>
      <c r="Y217" s="15">
        <f>IF('Pilot offer'!$C$24="Yes",'Pilot offer'!$C$8,U217)</f>
        <v/>
      </c>
      <c r="Z217" s="43">
        <f>IF('Pilot offer'!$C$24="Yes",'Pilot offer'!$C$11,"")</f>
        <v/>
      </c>
      <c r="AA217" s="15">
        <f>IF(X217="","",W217&amp;" · "&amp;TEXT(X217,"ddd d mmm, hh:mm")&amp;" · "&amp;Y217&amp;IF(Z217&lt;&gt;""," · £"&amp;TEXT(Z217,"0.00")&amp;" per player"," · price TBC (cost £"&amp;TEXT(V217,"0.00")&amp;" pp)"))</f>
        <v/>
      </c>
      <c r="AD217" s="44" t="n"/>
    </row>
    <row r="218">
      <c r="A218" s="13" t="n">
        <v>216</v>
      </c>
      <c r="B218" s="13" t="inlineStr">
        <is>
          <t>2 · EC2A Shoreditch</t>
        </is>
      </c>
      <c r="C218" s="13" t="inlineStr">
        <is>
          <t>Office &amp; professional</t>
        </is>
      </c>
      <c r="D218" s="13" t="inlineStr">
        <is>
          <t>Corporate</t>
        </is>
      </c>
      <c r="E218" s="13" t="inlineStr">
        <is>
          <t>mackenzie wheeler</t>
        </is>
      </c>
      <c r="F218" s="13" t="inlineStr">
        <is>
          <t>architect</t>
        </is>
      </c>
      <c r="G218" s="13" t="inlineStr">
        <is>
          <t>admin@mackenziewheeler.co.uk</t>
        </is>
      </c>
      <c r="H218" s="13" t="inlineStr">
        <is>
          <t>general</t>
        </is>
      </c>
      <c r="I218" s="13" t="inlineStr">
        <is>
          <t>+44 20 7739 8279</t>
        </is>
      </c>
      <c r="J218" s="14" t="inlineStr">
        <is>
          <t>https://www.mackenziewheeler.co.uk/</t>
        </is>
      </c>
      <c r="K218" s="13" t="inlineStr">
        <is>
          <t>471-473 Dereham Place, London</t>
        </is>
      </c>
      <c r="L218" s="13" t="inlineStr">
        <is>
          <t>EC2A 3HJ</t>
        </is>
      </c>
      <c r="M218" s="13" t="inlineStr">
        <is>
          <t>Shoreditch Rooftop</t>
        </is>
      </c>
      <c r="N218" s="13" t="n">
        <v>17</v>
      </c>
      <c r="O218" s="15">
        <f>IFERROR(INDEX(Venues!$C$2:$C$10,MATCH(M218,Venues!$A$2:$A$10,0)),"Not checked")</f>
        <v/>
      </c>
      <c r="P218" s="15">
        <f>IFERROR(INDEX(Venues!$D$2:$D$10,MATCH(M218,Venues!$A$2:$A$10,0)),0)</f>
        <v/>
      </c>
      <c r="Q218" s="42">
        <f>IFERROR(INDEX(Venues!$E$2:$E$10,MATCH(M218,Venues!$A$2:$A$10,0)),"")</f>
        <v/>
      </c>
      <c r="R218" s="15">
        <f>IF(P218&gt;0,"Yes","No")</f>
        <v/>
      </c>
      <c r="S218" s="13" t="inlineStr">
        <is>
          <t>Shoreditch Rooftop</t>
        </is>
      </c>
      <c r="T218" s="42">
        <f>IFERROR(INDEX(Venues!$E$2:$E$10,MATCH(S218,Venues!$A$2:$A$10,0)),"")</f>
        <v/>
      </c>
      <c r="U218" s="15">
        <f>IFERROR(INDEX(Venues!$F$2:$F$10,MATCH(S218,Venues!$A$2:$A$10,0)),"")</f>
        <v/>
      </c>
      <c r="V218" s="43">
        <f>IFERROR(INDEX(Venues!$H$2:$H$10,MATCH(S218,Venues!$A$2:$A$10,0)),"")</f>
        <v/>
      </c>
      <c r="W218" s="15">
        <f>IF('Pilot offer'!$C$24="Yes",'Pilot offer'!$C$3,S218)</f>
        <v/>
      </c>
      <c r="X218" s="42">
        <f>IF('Pilot offer'!$C$24="Yes",'Pilot offer'!$C$5+'Pilot offer'!$C$6,T218)</f>
        <v/>
      </c>
      <c r="Y218" s="15">
        <f>IF('Pilot offer'!$C$24="Yes",'Pilot offer'!$C$8,U218)</f>
        <v/>
      </c>
      <c r="Z218" s="43">
        <f>IF('Pilot offer'!$C$24="Yes",'Pilot offer'!$C$11,"")</f>
        <v/>
      </c>
      <c r="AA218" s="15">
        <f>IF(X218="","",W218&amp;" · "&amp;TEXT(X218,"ddd d mmm, hh:mm")&amp;" · "&amp;Y218&amp;IF(Z218&lt;&gt;""," · £"&amp;TEXT(Z218,"0.00")&amp;" per player"," · price TBC (cost £"&amp;TEXT(V218,"0.00")&amp;" pp)"))</f>
        <v/>
      </c>
      <c r="AD218" s="44" t="n"/>
    </row>
    <row r="219">
      <c r="A219" s="13" t="n">
        <v>217</v>
      </c>
      <c r="B219" s="13" t="inlineStr">
        <is>
          <t>2 · EC2A Shoreditch</t>
        </is>
      </c>
      <c r="C219" s="13" t="inlineStr">
        <is>
          <t>Hospitality</t>
        </is>
      </c>
      <c r="D219" s="13" t="inlineStr">
        <is>
          <t>Local businesses</t>
        </is>
      </c>
      <c r="E219" s="13" t="inlineStr">
        <is>
          <t>Santo Remedio</t>
        </is>
      </c>
      <c r="F219" s="13" t="inlineStr">
        <is>
          <t>amenity: cafe</t>
        </is>
      </c>
      <c r="G219" s="13" t="inlineStr">
        <is>
          <t>contact@santoremedio.co.uk</t>
        </is>
      </c>
      <c r="H219" s="13" t="inlineStr">
        <is>
          <t>general</t>
        </is>
      </c>
      <c r="I219" s="13" t="inlineStr">
        <is>
          <t>+44 20 7403 3020</t>
        </is>
      </c>
      <c r="J219" s="14" t="inlineStr">
        <is>
          <t>https://www.santoremedio.co.uk/</t>
        </is>
      </c>
      <c r="K219" s="13" t="inlineStr">
        <is>
          <t>Great Eastern Street 55, London</t>
        </is>
      </c>
      <c r="L219" s="13" t="inlineStr">
        <is>
          <t>EC2A 3HP</t>
        </is>
      </c>
      <c r="M219" s="13" t="inlineStr">
        <is>
          <t>Shoreditch Rooftop</t>
        </is>
      </c>
      <c r="N219" s="13" t="n">
        <v>18</v>
      </c>
      <c r="O219" s="15">
        <f>IFERROR(INDEX(Venues!$C$2:$C$10,MATCH(M219,Venues!$A$2:$A$10,0)),"Not checked")</f>
        <v/>
      </c>
      <c r="P219" s="15">
        <f>IFERROR(INDEX(Venues!$D$2:$D$10,MATCH(M219,Venues!$A$2:$A$10,0)),0)</f>
        <v/>
      </c>
      <c r="Q219" s="42">
        <f>IFERROR(INDEX(Venues!$E$2:$E$10,MATCH(M219,Venues!$A$2:$A$10,0)),"")</f>
        <v/>
      </c>
      <c r="R219" s="15">
        <f>IF(P219&gt;0,"Yes","No")</f>
        <v/>
      </c>
      <c r="S219" s="13" t="inlineStr">
        <is>
          <t>Shoreditch Rooftop</t>
        </is>
      </c>
      <c r="T219" s="42">
        <f>IFERROR(INDEX(Venues!$E$2:$E$10,MATCH(S219,Venues!$A$2:$A$10,0)),"")</f>
        <v/>
      </c>
      <c r="U219" s="15">
        <f>IFERROR(INDEX(Venues!$F$2:$F$10,MATCH(S219,Venues!$A$2:$A$10,0)),"")</f>
        <v/>
      </c>
      <c r="V219" s="43">
        <f>IFERROR(INDEX(Venues!$H$2:$H$10,MATCH(S219,Venues!$A$2:$A$10,0)),"")</f>
        <v/>
      </c>
      <c r="W219" s="15">
        <f>IF('Pilot offer'!$C$24="Yes",'Pilot offer'!$C$3,S219)</f>
        <v/>
      </c>
      <c r="X219" s="42">
        <f>IF('Pilot offer'!$C$24="Yes",'Pilot offer'!$C$5+'Pilot offer'!$C$6,T219)</f>
        <v/>
      </c>
      <c r="Y219" s="15">
        <f>IF('Pilot offer'!$C$24="Yes",'Pilot offer'!$C$8,U219)</f>
        <v/>
      </c>
      <c r="Z219" s="43">
        <f>IF('Pilot offer'!$C$24="Yes",'Pilot offer'!$C$11,"")</f>
        <v/>
      </c>
      <c r="AA219" s="15">
        <f>IF(X219="","",W219&amp;" · "&amp;TEXT(X219,"ddd d mmm, hh:mm")&amp;" · "&amp;Y219&amp;IF(Z219&lt;&gt;""," · £"&amp;TEXT(Z219,"0.00")&amp;" per player"," · price TBC (cost £"&amp;TEXT(V219,"0.00")&amp;" pp)"))</f>
        <v/>
      </c>
      <c r="AD219" s="44" t="n"/>
    </row>
    <row r="220">
      <c r="A220" s="13" t="n">
        <v>218</v>
      </c>
      <c r="B220" s="13" t="inlineStr">
        <is>
          <t>2 · EC2A Shoreditch</t>
        </is>
      </c>
      <c r="C220" s="13" t="inlineStr">
        <is>
          <t>Hospitality</t>
        </is>
      </c>
      <c r="D220" s="13" t="inlineStr">
        <is>
          <t>Local businesses</t>
        </is>
      </c>
      <c r="E220" s="13" t="inlineStr">
        <is>
          <t>Hart Shoreditch Hotel London, Curio Collection by Hilton</t>
        </is>
      </c>
      <c r="F220" s="13" t="inlineStr">
        <is>
          <t>tourism: hotel</t>
        </is>
      </c>
      <c r="G220" s="13" t="inlineStr">
        <is>
          <t>hartshoreditch.reservations@hilton.com</t>
        </is>
      </c>
      <c r="H220" s="13" t="inlineStr">
        <is>
          <t>openstreetmap_tag</t>
        </is>
      </c>
      <c r="I220" s="13" t="inlineStr">
        <is>
          <t>+44 20 3995 3655</t>
        </is>
      </c>
      <c r="J220" s="14" t="inlineStr">
        <is>
          <t>https://www.hilton.com/en/hotels/lonsdqq-hart-shoreditch-hotel-london/?WT.mc_id=zCBEC0UK1QQ2NaturalSearch3Google_LGHotelListing4DGGeneric_5LocalSearch6LONSDQQ7EN8i92146</t>
        </is>
      </c>
      <c r="K220" s="13" t="inlineStr">
        <is>
          <t>Great Eastern Street 61 - 67, London</t>
        </is>
      </c>
      <c r="L220" s="13" t="inlineStr">
        <is>
          <t>EC2A 3HU</t>
        </is>
      </c>
      <c r="M220" s="13" t="inlineStr">
        <is>
          <t>Shoreditch Rooftop</t>
        </is>
      </c>
      <c r="N220" s="13" t="n">
        <v>17</v>
      </c>
      <c r="O220" s="15">
        <f>IFERROR(INDEX(Venues!$C$2:$C$10,MATCH(M220,Venues!$A$2:$A$10,0)),"Not checked")</f>
        <v/>
      </c>
      <c r="P220" s="15">
        <f>IFERROR(INDEX(Venues!$D$2:$D$10,MATCH(M220,Venues!$A$2:$A$10,0)),0)</f>
        <v/>
      </c>
      <c r="Q220" s="42">
        <f>IFERROR(INDEX(Venues!$E$2:$E$10,MATCH(M220,Venues!$A$2:$A$10,0)),"")</f>
        <v/>
      </c>
      <c r="R220" s="15">
        <f>IF(P220&gt;0,"Yes","No")</f>
        <v/>
      </c>
      <c r="S220" s="13" t="inlineStr">
        <is>
          <t>Shoreditch Rooftop</t>
        </is>
      </c>
      <c r="T220" s="42">
        <f>IFERROR(INDEX(Venues!$E$2:$E$10,MATCH(S220,Venues!$A$2:$A$10,0)),"")</f>
        <v/>
      </c>
      <c r="U220" s="15">
        <f>IFERROR(INDEX(Venues!$F$2:$F$10,MATCH(S220,Venues!$A$2:$A$10,0)),"")</f>
        <v/>
      </c>
      <c r="V220" s="43">
        <f>IFERROR(INDEX(Venues!$H$2:$H$10,MATCH(S220,Venues!$A$2:$A$10,0)),"")</f>
        <v/>
      </c>
      <c r="W220" s="15">
        <f>IF('Pilot offer'!$C$24="Yes",'Pilot offer'!$C$3,S220)</f>
        <v/>
      </c>
      <c r="X220" s="42">
        <f>IF('Pilot offer'!$C$24="Yes",'Pilot offer'!$C$5+'Pilot offer'!$C$6,T220)</f>
        <v/>
      </c>
      <c r="Y220" s="15">
        <f>IF('Pilot offer'!$C$24="Yes",'Pilot offer'!$C$8,U220)</f>
        <v/>
      </c>
      <c r="Z220" s="43">
        <f>IF('Pilot offer'!$C$24="Yes",'Pilot offer'!$C$11,"")</f>
        <v/>
      </c>
      <c r="AA220" s="15">
        <f>IF(X220="","",W220&amp;" · "&amp;TEXT(X220,"ddd d mmm, hh:mm")&amp;" · "&amp;Y220&amp;IF(Z220&lt;&gt;""," · £"&amp;TEXT(Z220,"0.00")&amp;" per player"," · price TBC (cost £"&amp;TEXT(V220,"0.00")&amp;" pp)"))</f>
        <v/>
      </c>
      <c r="AD220" s="44" t="n"/>
    </row>
    <row r="221">
      <c r="A221" s="13" t="n">
        <v>219</v>
      </c>
      <c r="B221" s="13" t="inlineStr">
        <is>
          <t>2 · EC2A Shoreditch</t>
        </is>
      </c>
      <c r="C221" s="13" t="inlineStr">
        <is>
          <t>Office &amp; professional</t>
        </is>
      </c>
      <c r="D221" s="13" t="inlineStr">
        <is>
          <t>Corporate</t>
        </is>
      </c>
      <c r="E221" s="13" t="inlineStr">
        <is>
          <t>Digivate</t>
        </is>
      </c>
      <c r="F221" s="13" t="inlineStr">
        <is>
          <t>service</t>
        </is>
      </c>
      <c r="G221" s="13" t="inlineStr">
        <is>
          <t>hello@digivate.com</t>
        </is>
      </c>
      <c r="H221" s="13" t="inlineStr">
        <is>
          <t>general</t>
        </is>
      </c>
      <c r="I221" s="13" t="inlineStr">
        <is>
          <t>+44 20 7183 9341</t>
        </is>
      </c>
      <c r="J221" s="14" t="inlineStr">
        <is>
          <t>https://www.digivate.com/</t>
        </is>
      </c>
      <c r="K221" s="13" t="inlineStr">
        <is>
          <t>91, 93 Great Eastern St, London EC2A 3HZ, UK</t>
        </is>
      </c>
      <c r="L221" s="13" t="inlineStr">
        <is>
          <t>EC2A 3HZ</t>
        </is>
      </c>
      <c r="M221" s="13" t="inlineStr">
        <is>
          <t>Shoreditch Rooftop</t>
        </is>
      </c>
      <c r="N221" s="13" t="n">
        <v>16</v>
      </c>
      <c r="O221" s="15">
        <f>IFERROR(INDEX(Venues!$C$2:$C$10,MATCH(M221,Venues!$A$2:$A$10,0)),"Not checked")</f>
        <v/>
      </c>
      <c r="P221" s="15">
        <f>IFERROR(INDEX(Venues!$D$2:$D$10,MATCH(M221,Venues!$A$2:$A$10,0)),0)</f>
        <v/>
      </c>
      <c r="Q221" s="42">
        <f>IFERROR(INDEX(Venues!$E$2:$E$10,MATCH(M221,Venues!$A$2:$A$10,0)),"")</f>
        <v/>
      </c>
      <c r="R221" s="15">
        <f>IF(P221&gt;0,"Yes","No")</f>
        <v/>
      </c>
      <c r="S221" s="13" t="inlineStr">
        <is>
          <t>Shoreditch Rooftop</t>
        </is>
      </c>
      <c r="T221" s="42">
        <f>IFERROR(INDEX(Venues!$E$2:$E$10,MATCH(S221,Venues!$A$2:$A$10,0)),"")</f>
        <v/>
      </c>
      <c r="U221" s="15">
        <f>IFERROR(INDEX(Venues!$F$2:$F$10,MATCH(S221,Venues!$A$2:$A$10,0)),"")</f>
        <v/>
      </c>
      <c r="V221" s="43">
        <f>IFERROR(INDEX(Venues!$H$2:$H$10,MATCH(S221,Venues!$A$2:$A$10,0)),"")</f>
        <v/>
      </c>
      <c r="W221" s="15">
        <f>IF('Pilot offer'!$C$24="Yes",'Pilot offer'!$C$3,S221)</f>
        <v/>
      </c>
      <c r="X221" s="42">
        <f>IF('Pilot offer'!$C$24="Yes",'Pilot offer'!$C$5+'Pilot offer'!$C$6,T221)</f>
        <v/>
      </c>
      <c r="Y221" s="15">
        <f>IF('Pilot offer'!$C$24="Yes",'Pilot offer'!$C$8,U221)</f>
        <v/>
      </c>
      <c r="Z221" s="43">
        <f>IF('Pilot offer'!$C$24="Yes",'Pilot offer'!$C$11,"")</f>
        <v/>
      </c>
      <c r="AA221" s="15">
        <f>IF(X221="","",W221&amp;" · "&amp;TEXT(X221,"ddd d mmm, hh:mm")&amp;" · "&amp;Y221&amp;IF(Z221&lt;&gt;""," · £"&amp;TEXT(Z221,"0.00")&amp;" per player"," · price TBC (cost £"&amp;TEXT(V221,"0.00")&amp;" pp)"))</f>
        <v/>
      </c>
      <c r="AD221" s="44" t="n"/>
    </row>
    <row r="222">
      <c r="A222" s="13" t="n">
        <v>220</v>
      </c>
      <c r="B222" s="13" t="inlineStr">
        <is>
          <t>2 · EC2A Shoreditch</t>
        </is>
      </c>
      <c r="C222" s="13" t="inlineStr">
        <is>
          <t>Office &amp; professional</t>
        </is>
      </c>
      <c r="D222" s="13" t="inlineStr">
        <is>
          <t>Corporate</t>
        </is>
      </c>
      <c r="E222" s="13" t="inlineStr">
        <is>
          <t>Make Honey Ltd</t>
        </is>
      </c>
      <c r="F222" s="13" t="inlineStr">
        <is>
          <t>advertising_agency</t>
        </is>
      </c>
      <c r="G222" s="13" t="inlineStr">
        <is>
          <t>growth@makehoney.com</t>
        </is>
      </c>
      <c r="H222" s="13" t="inlineStr">
        <is>
          <t>openstreetmap_tag</t>
        </is>
      </c>
      <c r="I222" s="13" t="inlineStr">
        <is>
          <t>+44 20 3488 4253</t>
        </is>
      </c>
      <c r="J222" s="14" t="inlineStr">
        <is>
          <t>https://makehoney.com</t>
        </is>
      </c>
      <c r="K222" s="13" t="inlineStr">
        <is>
          <t>82 Great Eastern Street, London</t>
        </is>
      </c>
      <c r="L222" s="13" t="inlineStr">
        <is>
          <t>EC2A 3JF</t>
        </is>
      </c>
      <c r="M222" s="13" t="inlineStr">
        <is>
          <t>Whitechapel</t>
        </is>
      </c>
      <c r="N222" s="13" t="n">
        <v>15</v>
      </c>
      <c r="O222" s="15">
        <f>IFERROR(INDEX(Venues!$C$2:$C$10,MATCH(M222,Venues!$A$2:$A$10,0)),"Not checked")</f>
        <v/>
      </c>
      <c r="P222" s="15">
        <f>IFERROR(INDEX(Venues!$D$2:$D$10,MATCH(M222,Venues!$A$2:$A$10,0)),0)</f>
        <v/>
      </c>
      <c r="Q222" s="42">
        <f>IFERROR(INDEX(Venues!$E$2:$E$10,MATCH(M222,Venues!$A$2:$A$10,0)),"")</f>
        <v/>
      </c>
      <c r="R222" s="15">
        <f>IF(P222&gt;0,"Yes","No")</f>
        <v/>
      </c>
      <c r="S222" s="13" t="inlineStr">
        <is>
          <t>COLA Shoreditch Park</t>
        </is>
      </c>
      <c r="T222" s="42">
        <f>IFERROR(INDEX(Venues!$E$2:$E$10,MATCH(S222,Venues!$A$2:$A$10,0)),"")</f>
        <v/>
      </c>
      <c r="U222" s="15">
        <f>IFERROR(INDEX(Venues!$F$2:$F$10,MATCH(S222,Venues!$A$2:$A$10,0)),"")</f>
        <v/>
      </c>
      <c r="V222" s="43">
        <f>IFERROR(INDEX(Venues!$H$2:$H$10,MATCH(S222,Venues!$A$2:$A$10,0)),"")</f>
        <v/>
      </c>
      <c r="W222" s="15">
        <f>IF('Pilot offer'!$C$24="Yes",'Pilot offer'!$C$3,S222)</f>
        <v/>
      </c>
      <c r="X222" s="42">
        <f>IF('Pilot offer'!$C$24="Yes",'Pilot offer'!$C$5+'Pilot offer'!$C$6,T222)</f>
        <v/>
      </c>
      <c r="Y222" s="15">
        <f>IF('Pilot offer'!$C$24="Yes",'Pilot offer'!$C$8,U222)</f>
        <v/>
      </c>
      <c r="Z222" s="43">
        <f>IF('Pilot offer'!$C$24="Yes",'Pilot offer'!$C$11,"")</f>
        <v/>
      </c>
      <c r="AA222" s="15">
        <f>IF(X222="","",W222&amp;" · "&amp;TEXT(X222,"ddd d mmm, hh:mm")&amp;" · "&amp;Y222&amp;IF(Z222&lt;&gt;""," · £"&amp;TEXT(Z222,"0.00")&amp;" per player"," · price TBC (cost £"&amp;TEXT(V222,"0.00")&amp;" pp)"))</f>
        <v/>
      </c>
      <c r="AD222" s="44" t="n"/>
    </row>
    <row r="223">
      <c r="A223" s="13" t="n">
        <v>221</v>
      </c>
      <c r="B223" s="13" t="inlineStr">
        <is>
          <t>2 · EC2A Shoreditch</t>
        </is>
      </c>
      <c r="C223" s="13" t="inlineStr">
        <is>
          <t>Other</t>
        </is>
      </c>
      <c r="D223" s="13" t="inlineStr">
        <is>
          <t>Corporate</t>
        </is>
      </c>
      <c r="E223" s="13" t="inlineStr">
        <is>
          <t>Tally Workspace</t>
        </is>
      </c>
      <c r="F223" s="13" t="inlineStr">
        <is>
          <t>real_estate_agency</t>
        </is>
      </c>
      <c r="G223" s="13" t="inlineStr">
        <is>
          <t>hello@tallyworkspace.com</t>
        </is>
      </c>
      <c r="H223" s="13" t="inlineStr">
        <is>
          <t>general</t>
        </is>
      </c>
      <c r="I223" s="13" t="inlineStr">
        <is>
          <t>+44 117 463 8200</t>
        </is>
      </c>
      <c r="J223" s="14" t="inlineStr">
        <is>
          <t>https://www.tallyworkspace.com/</t>
        </is>
      </c>
      <c r="K223" s="13" t="inlineStr">
        <is>
          <t>82 Great Eastern St, London EC2A 3JF, UK</t>
        </is>
      </c>
      <c r="L223" s="13" t="inlineStr">
        <is>
          <t>EC2A 3JF</t>
        </is>
      </c>
      <c r="M223" s="13" t="inlineStr">
        <is>
          <t>Shoreditch Rooftop</t>
        </is>
      </c>
      <c r="N223" s="13" t="n">
        <v>15</v>
      </c>
      <c r="O223" s="15">
        <f>IFERROR(INDEX(Venues!$C$2:$C$10,MATCH(M223,Venues!$A$2:$A$10,0)),"Not checked")</f>
        <v/>
      </c>
      <c r="P223" s="15">
        <f>IFERROR(INDEX(Venues!$D$2:$D$10,MATCH(M223,Venues!$A$2:$A$10,0)),0)</f>
        <v/>
      </c>
      <c r="Q223" s="42">
        <f>IFERROR(INDEX(Venues!$E$2:$E$10,MATCH(M223,Venues!$A$2:$A$10,0)),"")</f>
        <v/>
      </c>
      <c r="R223" s="15">
        <f>IF(P223&gt;0,"Yes","No")</f>
        <v/>
      </c>
      <c r="S223" s="13" t="inlineStr">
        <is>
          <t>Shoreditch Rooftop</t>
        </is>
      </c>
      <c r="T223" s="42">
        <f>IFERROR(INDEX(Venues!$E$2:$E$10,MATCH(S223,Venues!$A$2:$A$10,0)),"")</f>
        <v/>
      </c>
      <c r="U223" s="15">
        <f>IFERROR(INDEX(Venues!$F$2:$F$10,MATCH(S223,Venues!$A$2:$A$10,0)),"")</f>
        <v/>
      </c>
      <c r="V223" s="43">
        <f>IFERROR(INDEX(Venues!$H$2:$H$10,MATCH(S223,Venues!$A$2:$A$10,0)),"")</f>
        <v/>
      </c>
      <c r="W223" s="15">
        <f>IF('Pilot offer'!$C$24="Yes",'Pilot offer'!$C$3,S223)</f>
        <v/>
      </c>
      <c r="X223" s="42">
        <f>IF('Pilot offer'!$C$24="Yes",'Pilot offer'!$C$5+'Pilot offer'!$C$6,T223)</f>
        <v/>
      </c>
      <c r="Y223" s="15">
        <f>IF('Pilot offer'!$C$24="Yes",'Pilot offer'!$C$8,U223)</f>
        <v/>
      </c>
      <c r="Z223" s="43">
        <f>IF('Pilot offer'!$C$24="Yes",'Pilot offer'!$C$11,"")</f>
        <v/>
      </c>
      <c r="AA223" s="15">
        <f>IF(X223="","",W223&amp;" · "&amp;TEXT(X223,"ddd d mmm, hh:mm")&amp;" · "&amp;Y223&amp;IF(Z223&lt;&gt;""," · £"&amp;TEXT(Z223,"0.00")&amp;" per player"," · price TBC (cost £"&amp;TEXT(V223,"0.00")&amp;" pp)"))</f>
        <v/>
      </c>
      <c r="AD223" s="44" t="n"/>
    </row>
    <row r="224">
      <c r="A224" s="13" t="n">
        <v>222</v>
      </c>
      <c r="B224" s="13" t="inlineStr">
        <is>
          <t>2 · EC2A Shoreditch</t>
        </is>
      </c>
      <c r="C224" s="13" t="inlineStr">
        <is>
          <t>Hospitality</t>
        </is>
      </c>
      <c r="D224" s="13" t="inlineStr">
        <is>
          <t>Local businesses</t>
        </is>
      </c>
      <c r="E224" s="13" t="inlineStr">
        <is>
          <t>The Brush</t>
        </is>
      </c>
      <c r="F224" s="13" t="inlineStr">
        <is>
          <t>amenity: cafe</t>
        </is>
      </c>
      <c r="G224" s="13" t="inlineStr">
        <is>
          <t>info@thebrushhoxton.co.uk</t>
        </is>
      </c>
      <c r="H224" s="13" t="inlineStr">
        <is>
          <t>openstreetmap_tag</t>
        </is>
      </c>
      <c r="I224" s="13" t="inlineStr">
        <is>
          <t>+44 20 7123 8686</t>
        </is>
      </c>
      <c r="J224" s="14" t="inlineStr">
        <is>
          <t>https://www.thebrushhoxton.co.uk/</t>
        </is>
      </c>
      <c r="K224" s="13" t="inlineStr">
        <is>
          <t>Great Eastern Street 84-86, London</t>
        </is>
      </c>
      <c r="L224" s="13" t="inlineStr">
        <is>
          <t>EC2A 3JL</t>
        </is>
      </c>
      <c r="M224" s="13" t="inlineStr">
        <is>
          <t>Shoreditch Rooftop</t>
        </is>
      </c>
      <c r="N224" s="13" t="n">
        <v>15</v>
      </c>
      <c r="O224" s="15">
        <f>IFERROR(INDEX(Venues!$C$2:$C$10,MATCH(M224,Venues!$A$2:$A$10,0)),"Not checked")</f>
        <v/>
      </c>
      <c r="P224" s="15">
        <f>IFERROR(INDEX(Venues!$D$2:$D$10,MATCH(M224,Venues!$A$2:$A$10,0)),0)</f>
        <v/>
      </c>
      <c r="Q224" s="42">
        <f>IFERROR(INDEX(Venues!$E$2:$E$10,MATCH(M224,Venues!$A$2:$A$10,0)),"")</f>
        <v/>
      </c>
      <c r="R224" s="15">
        <f>IF(P224&gt;0,"Yes","No")</f>
        <v/>
      </c>
      <c r="S224" s="13" t="inlineStr">
        <is>
          <t>Shoreditch Rooftop</t>
        </is>
      </c>
      <c r="T224" s="42">
        <f>IFERROR(INDEX(Venues!$E$2:$E$10,MATCH(S224,Venues!$A$2:$A$10,0)),"")</f>
        <v/>
      </c>
      <c r="U224" s="15">
        <f>IFERROR(INDEX(Venues!$F$2:$F$10,MATCH(S224,Venues!$A$2:$A$10,0)),"")</f>
        <v/>
      </c>
      <c r="V224" s="43">
        <f>IFERROR(INDEX(Venues!$H$2:$H$10,MATCH(S224,Venues!$A$2:$A$10,0)),"")</f>
        <v/>
      </c>
      <c r="W224" s="15">
        <f>IF('Pilot offer'!$C$24="Yes",'Pilot offer'!$C$3,S224)</f>
        <v/>
      </c>
      <c r="X224" s="42">
        <f>IF('Pilot offer'!$C$24="Yes",'Pilot offer'!$C$5+'Pilot offer'!$C$6,T224)</f>
        <v/>
      </c>
      <c r="Y224" s="15">
        <f>IF('Pilot offer'!$C$24="Yes",'Pilot offer'!$C$8,U224)</f>
        <v/>
      </c>
      <c r="Z224" s="43">
        <f>IF('Pilot offer'!$C$24="Yes",'Pilot offer'!$C$11,"")</f>
        <v/>
      </c>
      <c r="AA224" s="15">
        <f>IF(X224="","",W224&amp;" · "&amp;TEXT(X224,"ddd d mmm, hh:mm")&amp;" · "&amp;Y224&amp;IF(Z224&lt;&gt;""," · £"&amp;TEXT(Z224,"0.00")&amp;" per player"," · price TBC (cost £"&amp;TEXT(V224,"0.00")&amp;" pp)"))</f>
        <v/>
      </c>
      <c r="AD224" s="44" t="n"/>
    </row>
    <row r="225">
      <c r="A225" s="13" t="n">
        <v>223</v>
      </c>
      <c r="B225" s="13" t="inlineStr">
        <is>
          <t>2 · EC2A Shoreditch</t>
        </is>
      </c>
      <c r="C225" s="13" t="inlineStr">
        <is>
          <t>Office &amp; professional</t>
        </is>
      </c>
      <c r="D225" s="13" t="inlineStr">
        <is>
          <t>Corporate</t>
        </is>
      </c>
      <c r="E225" s="13" t="inlineStr">
        <is>
          <t>AR Urbanism</t>
        </is>
      </c>
      <c r="F225" s="13" t="inlineStr">
        <is>
          <t>architect</t>
        </is>
      </c>
      <c r="G225" s="13" t="inlineStr">
        <is>
          <t>ukstudio@ar-urbanism.com</t>
        </is>
      </c>
      <c r="H225" s="13" t="inlineStr">
        <is>
          <t>person_or_other</t>
        </is>
      </c>
      <c r="I225" s="13" t="n"/>
      <c r="J225" s="14" t="inlineStr">
        <is>
          <t>https://ar-urbanism.com/</t>
        </is>
      </c>
      <c r="K225" s="13" t="inlineStr">
        <is>
          <t>3 Plough Yard, London</t>
        </is>
      </c>
      <c r="L225" s="13" t="inlineStr">
        <is>
          <t>EC2A 3LP</t>
        </is>
      </c>
      <c r="M225" s="13" t="inlineStr">
        <is>
          <t>Shoreditch Rooftop</t>
        </is>
      </c>
      <c r="N225" s="13" t="n">
        <v>22</v>
      </c>
      <c r="O225" s="15">
        <f>IFERROR(INDEX(Venues!$C$2:$C$10,MATCH(M225,Venues!$A$2:$A$10,0)),"Not checked")</f>
        <v/>
      </c>
      <c r="P225" s="15">
        <f>IFERROR(INDEX(Venues!$D$2:$D$10,MATCH(M225,Venues!$A$2:$A$10,0)),0)</f>
        <v/>
      </c>
      <c r="Q225" s="42">
        <f>IFERROR(INDEX(Venues!$E$2:$E$10,MATCH(M225,Venues!$A$2:$A$10,0)),"")</f>
        <v/>
      </c>
      <c r="R225" s="15">
        <f>IF(P225&gt;0,"Yes","No")</f>
        <v/>
      </c>
      <c r="S225" s="13" t="inlineStr">
        <is>
          <t>Shoreditch Rooftop</t>
        </is>
      </c>
      <c r="T225" s="42">
        <f>IFERROR(INDEX(Venues!$E$2:$E$10,MATCH(S225,Venues!$A$2:$A$10,0)),"")</f>
        <v/>
      </c>
      <c r="U225" s="15">
        <f>IFERROR(INDEX(Venues!$F$2:$F$10,MATCH(S225,Venues!$A$2:$A$10,0)),"")</f>
        <v/>
      </c>
      <c r="V225" s="43">
        <f>IFERROR(INDEX(Venues!$H$2:$H$10,MATCH(S225,Venues!$A$2:$A$10,0)),"")</f>
        <v/>
      </c>
      <c r="W225" s="15">
        <f>IF('Pilot offer'!$C$24="Yes",'Pilot offer'!$C$3,S225)</f>
        <v/>
      </c>
      <c r="X225" s="42">
        <f>IF('Pilot offer'!$C$24="Yes",'Pilot offer'!$C$5+'Pilot offer'!$C$6,T225)</f>
        <v/>
      </c>
      <c r="Y225" s="15">
        <f>IF('Pilot offer'!$C$24="Yes",'Pilot offer'!$C$8,U225)</f>
        <v/>
      </c>
      <c r="Z225" s="43">
        <f>IF('Pilot offer'!$C$24="Yes",'Pilot offer'!$C$11,"")</f>
        <v/>
      </c>
      <c r="AA225" s="15">
        <f>IF(X225="","",W225&amp;" · "&amp;TEXT(X225,"ddd d mmm, hh:mm")&amp;" · "&amp;Y225&amp;IF(Z225&lt;&gt;""," · £"&amp;TEXT(Z225,"0.00")&amp;" per player"," · price TBC (cost £"&amp;TEXT(V225,"0.00")&amp;" pp)"))</f>
        <v/>
      </c>
      <c r="AD225" s="44" t="n"/>
    </row>
    <row r="226">
      <c r="A226" s="13" t="n">
        <v>224</v>
      </c>
      <c r="B226" s="13" t="inlineStr">
        <is>
          <t>2 · EC2A Shoreditch</t>
        </is>
      </c>
      <c r="C226" s="13" t="inlineStr">
        <is>
          <t>Retail</t>
        </is>
      </c>
      <c r="D226" s="13" t="inlineStr">
        <is>
          <t>Local businesses</t>
        </is>
      </c>
      <c r="E226" s="13" t="inlineStr">
        <is>
          <t>Tala</t>
        </is>
      </c>
      <c r="F226" s="13" t="inlineStr">
        <is>
          <t>shop: lighting</t>
        </is>
      </c>
      <c r="G226" s="13" t="inlineStr">
        <is>
          <t>hello@tala.co.uk</t>
        </is>
      </c>
      <c r="H226" s="13" t="inlineStr">
        <is>
          <t>general</t>
        </is>
      </c>
      <c r="I226" s="13" t="inlineStr">
        <is>
          <t>+44 7723 469919</t>
        </is>
      </c>
      <c r="J226" s="14" t="inlineStr">
        <is>
          <t>https://eu.tala.co.uk/pages/flagship-showroom</t>
        </is>
      </c>
      <c r="K226" s="13" t="inlineStr">
        <is>
          <t>Rivington Street 40, London</t>
        </is>
      </c>
      <c r="L226" s="13" t="inlineStr">
        <is>
          <t>EC2A 3LX</t>
        </is>
      </c>
      <c r="M226" s="13" t="inlineStr">
        <is>
          <t>Shoreditch Rooftop</t>
        </is>
      </c>
      <c r="N226" s="13" t="n">
        <v>16</v>
      </c>
      <c r="O226" s="15">
        <f>IFERROR(INDEX(Venues!$C$2:$C$10,MATCH(M226,Venues!$A$2:$A$10,0)),"Not checked")</f>
        <v/>
      </c>
      <c r="P226" s="15">
        <f>IFERROR(INDEX(Venues!$D$2:$D$10,MATCH(M226,Venues!$A$2:$A$10,0)),0)</f>
        <v/>
      </c>
      <c r="Q226" s="42">
        <f>IFERROR(INDEX(Venues!$E$2:$E$10,MATCH(M226,Venues!$A$2:$A$10,0)),"")</f>
        <v/>
      </c>
      <c r="R226" s="15">
        <f>IF(P226&gt;0,"Yes","No")</f>
        <v/>
      </c>
      <c r="S226" s="13" t="inlineStr">
        <is>
          <t>Shoreditch Rooftop</t>
        </is>
      </c>
      <c r="T226" s="42">
        <f>IFERROR(INDEX(Venues!$E$2:$E$10,MATCH(S226,Venues!$A$2:$A$10,0)),"")</f>
        <v/>
      </c>
      <c r="U226" s="15">
        <f>IFERROR(INDEX(Venues!$F$2:$F$10,MATCH(S226,Venues!$A$2:$A$10,0)),"")</f>
        <v/>
      </c>
      <c r="V226" s="43">
        <f>IFERROR(INDEX(Venues!$H$2:$H$10,MATCH(S226,Venues!$A$2:$A$10,0)),"")</f>
        <v/>
      </c>
      <c r="W226" s="15">
        <f>IF('Pilot offer'!$C$24="Yes",'Pilot offer'!$C$3,S226)</f>
        <v/>
      </c>
      <c r="X226" s="42">
        <f>IF('Pilot offer'!$C$24="Yes",'Pilot offer'!$C$5+'Pilot offer'!$C$6,T226)</f>
        <v/>
      </c>
      <c r="Y226" s="15">
        <f>IF('Pilot offer'!$C$24="Yes",'Pilot offer'!$C$8,U226)</f>
        <v/>
      </c>
      <c r="Z226" s="43">
        <f>IF('Pilot offer'!$C$24="Yes",'Pilot offer'!$C$11,"")</f>
        <v/>
      </c>
      <c r="AA226" s="15">
        <f>IF(X226="","",W226&amp;" · "&amp;TEXT(X226,"ddd d mmm, hh:mm")&amp;" · "&amp;Y226&amp;IF(Z226&lt;&gt;""," · £"&amp;TEXT(Z226,"0.00")&amp;" per player"," · price TBC (cost £"&amp;TEXT(V226,"0.00")&amp;" pp)"))</f>
        <v/>
      </c>
      <c r="AD226" s="44" t="n"/>
    </row>
    <row r="227">
      <c r="A227" s="13" t="n">
        <v>225</v>
      </c>
      <c r="B227" s="13" t="inlineStr">
        <is>
          <t>2 · EC2A Shoreditch</t>
        </is>
      </c>
      <c r="C227" s="13" t="inlineStr">
        <is>
          <t>Office &amp; professional</t>
        </is>
      </c>
      <c r="D227" s="13" t="inlineStr">
        <is>
          <t>Corporate</t>
        </is>
      </c>
      <c r="E227" s="13" t="inlineStr">
        <is>
          <t>Croud</t>
        </is>
      </c>
      <c r="F227" s="13" t="inlineStr">
        <is>
          <t>consultant</t>
        </is>
      </c>
      <c r="G227" s="13" t="inlineStr">
        <is>
          <t>report@croud.com</t>
        </is>
      </c>
      <c r="H227" s="13" t="inlineStr">
        <is>
          <t>person_or_other</t>
        </is>
      </c>
      <c r="I227" s="13" t="inlineStr">
        <is>
          <t>+44 20 8017 7723</t>
        </is>
      </c>
      <c r="J227" s="14" t="inlineStr">
        <is>
          <t>https://croud.com/en-gb/</t>
        </is>
      </c>
      <c r="K227" s="13" t="inlineStr">
        <is>
          <t>The Bard Building, 20 Curtain Rd, London EC2A 3NG, UK</t>
        </is>
      </c>
      <c r="L227" s="13" t="inlineStr">
        <is>
          <t>EC2A 3NG</t>
        </is>
      </c>
      <c r="M227" s="13" t="inlineStr">
        <is>
          <t>Shoreditch Rooftop</t>
        </is>
      </c>
      <c r="N227" s="13" t="n">
        <v>21</v>
      </c>
      <c r="O227" s="15">
        <f>IFERROR(INDEX(Venues!$C$2:$C$10,MATCH(M227,Venues!$A$2:$A$10,0)),"Not checked")</f>
        <v/>
      </c>
      <c r="P227" s="15">
        <f>IFERROR(INDEX(Venues!$D$2:$D$10,MATCH(M227,Venues!$A$2:$A$10,0)),0)</f>
        <v/>
      </c>
      <c r="Q227" s="42">
        <f>IFERROR(INDEX(Venues!$E$2:$E$10,MATCH(M227,Venues!$A$2:$A$10,0)),"")</f>
        <v/>
      </c>
      <c r="R227" s="15">
        <f>IF(P227&gt;0,"Yes","No")</f>
        <v/>
      </c>
      <c r="S227" s="13" t="inlineStr">
        <is>
          <t>Shoreditch Rooftop</t>
        </is>
      </c>
      <c r="T227" s="42">
        <f>IFERROR(INDEX(Venues!$E$2:$E$10,MATCH(S227,Venues!$A$2:$A$10,0)),"")</f>
        <v/>
      </c>
      <c r="U227" s="15">
        <f>IFERROR(INDEX(Venues!$F$2:$F$10,MATCH(S227,Venues!$A$2:$A$10,0)),"")</f>
        <v/>
      </c>
      <c r="V227" s="43">
        <f>IFERROR(INDEX(Venues!$H$2:$H$10,MATCH(S227,Venues!$A$2:$A$10,0)),"")</f>
        <v/>
      </c>
      <c r="W227" s="15">
        <f>IF('Pilot offer'!$C$24="Yes",'Pilot offer'!$C$3,S227)</f>
        <v/>
      </c>
      <c r="X227" s="42">
        <f>IF('Pilot offer'!$C$24="Yes",'Pilot offer'!$C$5+'Pilot offer'!$C$6,T227)</f>
        <v/>
      </c>
      <c r="Y227" s="15">
        <f>IF('Pilot offer'!$C$24="Yes",'Pilot offer'!$C$8,U227)</f>
        <v/>
      </c>
      <c r="Z227" s="43">
        <f>IF('Pilot offer'!$C$24="Yes",'Pilot offer'!$C$11,"")</f>
        <v/>
      </c>
      <c r="AA227" s="15">
        <f>IF(X227="","",W227&amp;" · "&amp;TEXT(X227,"ddd d mmm, hh:mm")&amp;" · "&amp;Y227&amp;IF(Z227&lt;&gt;""," · £"&amp;TEXT(Z227,"0.00")&amp;" per player"," · price TBC (cost £"&amp;TEXT(V227,"0.00")&amp;" pp)"))</f>
        <v/>
      </c>
      <c r="AD227" s="44" t="n"/>
    </row>
    <row r="228">
      <c r="A228" s="13" t="n">
        <v>226</v>
      </c>
      <c r="B228" s="13" t="inlineStr">
        <is>
          <t>2 · EC2A Shoreditch</t>
        </is>
      </c>
      <c r="C228" s="13" t="inlineStr">
        <is>
          <t>Hospitality</t>
        </is>
      </c>
      <c r="D228" s="13" t="inlineStr">
        <is>
          <t>Local businesses</t>
        </is>
      </c>
      <c r="E228" s="13" t="inlineStr">
        <is>
          <t>Kricket</t>
        </is>
      </c>
      <c r="F228" s="13" t="inlineStr">
        <is>
          <t>amenity: restaurant</t>
        </is>
      </c>
      <c r="G228" s="13" t="inlineStr">
        <is>
          <t>hello@kricket.co.uk</t>
        </is>
      </c>
      <c r="H228" s="13" t="inlineStr">
        <is>
          <t>general</t>
        </is>
      </c>
      <c r="I228" s="13" t="inlineStr">
        <is>
          <t>+44 20 3835 8805</t>
        </is>
      </c>
      <c r="J228" s="14" t="inlineStr">
        <is>
          <t>https://kricket.co.uk/shoreditch/</t>
        </is>
      </c>
      <c r="K228" s="13" t="inlineStr">
        <is>
          <t>Charlotte Road 35-42, London</t>
        </is>
      </c>
      <c r="L228" s="13" t="inlineStr">
        <is>
          <t>EC2A 3PB</t>
        </is>
      </c>
      <c r="M228" s="13" t="inlineStr">
        <is>
          <t>Shoreditch Rooftop</t>
        </is>
      </c>
      <c r="N228" s="13" t="n">
        <v>17</v>
      </c>
      <c r="O228" s="15">
        <f>IFERROR(INDEX(Venues!$C$2:$C$10,MATCH(M228,Venues!$A$2:$A$10,0)),"Not checked")</f>
        <v/>
      </c>
      <c r="P228" s="15">
        <f>IFERROR(INDEX(Venues!$D$2:$D$10,MATCH(M228,Venues!$A$2:$A$10,0)),0)</f>
        <v/>
      </c>
      <c r="Q228" s="42">
        <f>IFERROR(INDEX(Venues!$E$2:$E$10,MATCH(M228,Venues!$A$2:$A$10,0)),"")</f>
        <v/>
      </c>
      <c r="R228" s="15">
        <f>IF(P228&gt;0,"Yes","No")</f>
        <v/>
      </c>
      <c r="S228" s="13" t="inlineStr">
        <is>
          <t>Shoreditch Rooftop</t>
        </is>
      </c>
      <c r="T228" s="42">
        <f>IFERROR(INDEX(Venues!$E$2:$E$10,MATCH(S228,Venues!$A$2:$A$10,0)),"")</f>
        <v/>
      </c>
      <c r="U228" s="15">
        <f>IFERROR(INDEX(Venues!$F$2:$F$10,MATCH(S228,Venues!$A$2:$A$10,0)),"")</f>
        <v/>
      </c>
      <c r="V228" s="43">
        <f>IFERROR(INDEX(Venues!$H$2:$H$10,MATCH(S228,Venues!$A$2:$A$10,0)),"")</f>
        <v/>
      </c>
      <c r="W228" s="15">
        <f>IF('Pilot offer'!$C$24="Yes",'Pilot offer'!$C$3,S228)</f>
        <v/>
      </c>
      <c r="X228" s="42">
        <f>IF('Pilot offer'!$C$24="Yes",'Pilot offer'!$C$5+'Pilot offer'!$C$6,T228)</f>
        <v/>
      </c>
      <c r="Y228" s="15">
        <f>IF('Pilot offer'!$C$24="Yes",'Pilot offer'!$C$8,U228)</f>
        <v/>
      </c>
      <c r="Z228" s="43">
        <f>IF('Pilot offer'!$C$24="Yes",'Pilot offer'!$C$11,"")</f>
        <v/>
      </c>
      <c r="AA228" s="15">
        <f>IF(X228="","",W228&amp;" · "&amp;TEXT(X228,"ddd d mmm, hh:mm")&amp;" · "&amp;Y228&amp;IF(Z228&lt;&gt;""," · £"&amp;TEXT(Z228,"0.00")&amp;" per player"," · price TBC (cost £"&amp;TEXT(V228,"0.00")&amp;" pp)"))</f>
        <v/>
      </c>
      <c r="AD228" s="44" t="n"/>
    </row>
    <row r="229">
      <c r="A229" s="13" t="n">
        <v>227</v>
      </c>
      <c r="B229" s="13" t="inlineStr">
        <is>
          <t>2 · EC2A Shoreditch</t>
        </is>
      </c>
      <c r="C229" s="13" t="inlineStr">
        <is>
          <t>Leisure &amp; culture</t>
        </is>
      </c>
      <c r="D229" s="13" t="inlineStr">
        <is>
          <t>Local businesses</t>
        </is>
      </c>
      <c r="E229" s="13" t="inlineStr">
        <is>
          <t>Marsden Woo</t>
        </is>
      </c>
      <c r="F229" s="13" t="inlineStr">
        <is>
          <t>tourism: gallery</t>
        </is>
      </c>
      <c r="G229" s="13" t="inlineStr">
        <is>
          <t>info@marsdenwoo.com</t>
        </is>
      </c>
      <c r="H229" s="13" t="inlineStr">
        <is>
          <t>openstreetmap_tag</t>
        </is>
      </c>
      <c r="I229" s="13" t="inlineStr">
        <is>
          <t>+44 20 7336 6396</t>
        </is>
      </c>
      <c r="J229" s="14" t="inlineStr">
        <is>
          <t>https://marsdenwoo.com/</t>
        </is>
      </c>
      <c r="K229" s="13" t="inlineStr">
        <is>
          <t>Charlotte Road 23, London</t>
        </is>
      </c>
      <c r="L229" s="13" t="inlineStr">
        <is>
          <t>EC2A 3PB</t>
        </is>
      </c>
      <c r="M229" s="13" t="inlineStr">
        <is>
          <t>Shoreditch Rooftop</t>
        </is>
      </c>
      <c r="N229" s="13" t="n">
        <v>16</v>
      </c>
      <c r="O229" s="15">
        <f>IFERROR(INDEX(Venues!$C$2:$C$10,MATCH(M229,Venues!$A$2:$A$10,0)),"Not checked")</f>
        <v/>
      </c>
      <c r="P229" s="15">
        <f>IFERROR(INDEX(Venues!$D$2:$D$10,MATCH(M229,Venues!$A$2:$A$10,0)),0)</f>
        <v/>
      </c>
      <c r="Q229" s="42">
        <f>IFERROR(INDEX(Venues!$E$2:$E$10,MATCH(M229,Venues!$A$2:$A$10,0)),"")</f>
        <v/>
      </c>
      <c r="R229" s="15">
        <f>IF(P229&gt;0,"Yes","No")</f>
        <v/>
      </c>
      <c r="S229" s="13" t="inlineStr">
        <is>
          <t>Shoreditch Rooftop</t>
        </is>
      </c>
      <c r="T229" s="42">
        <f>IFERROR(INDEX(Venues!$E$2:$E$10,MATCH(S229,Venues!$A$2:$A$10,0)),"")</f>
        <v/>
      </c>
      <c r="U229" s="15">
        <f>IFERROR(INDEX(Venues!$F$2:$F$10,MATCH(S229,Venues!$A$2:$A$10,0)),"")</f>
        <v/>
      </c>
      <c r="V229" s="43">
        <f>IFERROR(INDEX(Venues!$H$2:$H$10,MATCH(S229,Venues!$A$2:$A$10,0)),"")</f>
        <v/>
      </c>
      <c r="W229" s="15">
        <f>IF('Pilot offer'!$C$24="Yes",'Pilot offer'!$C$3,S229)</f>
        <v/>
      </c>
      <c r="X229" s="42">
        <f>IF('Pilot offer'!$C$24="Yes",'Pilot offer'!$C$5+'Pilot offer'!$C$6,T229)</f>
        <v/>
      </c>
      <c r="Y229" s="15">
        <f>IF('Pilot offer'!$C$24="Yes",'Pilot offer'!$C$8,U229)</f>
        <v/>
      </c>
      <c r="Z229" s="43">
        <f>IF('Pilot offer'!$C$24="Yes",'Pilot offer'!$C$11,"")</f>
        <v/>
      </c>
      <c r="AA229" s="15">
        <f>IF(X229="","",W229&amp;" · "&amp;TEXT(X229,"ddd d mmm, hh:mm")&amp;" · "&amp;Y229&amp;IF(Z229&lt;&gt;""," · £"&amp;TEXT(Z229,"0.00")&amp;" per player"," · price TBC (cost £"&amp;TEXT(V229,"0.00")&amp;" pp)"))</f>
        <v/>
      </c>
      <c r="AD229" s="44" t="n"/>
    </row>
    <row r="230">
      <c r="A230" s="13" t="n">
        <v>228</v>
      </c>
      <c r="B230" s="13" t="inlineStr">
        <is>
          <t>2 · EC2A Shoreditch</t>
        </is>
      </c>
      <c r="C230" s="13" t="inlineStr">
        <is>
          <t>Hospitality</t>
        </is>
      </c>
      <c r="D230" s="13" t="inlineStr">
        <is>
          <t>Local businesses</t>
        </is>
      </c>
      <c r="E230" s="13" t="inlineStr">
        <is>
          <t>Bottega Prelibato</t>
        </is>
      </c>
      <c r="F230" s="13" t="inlineStr">
        <is>
          <t>amenity: restaurant</t>
        </is>
      </c>
      <c r="G230" s="13" t="inlineStr">
        <is>
          <t>info@bottegaprelibato.com</t>
        </is>
      </c>
      <c r="H230" s="13" t="inlineStr">
        <is>
          <t>general</t>
        </is>
      </c>
      <c r="I230" s="13" t="inlineStr">
        <is>
          <t>+44 20 7739 4995</t>
        </is>
      </c>
      <c r="J230" s="14" t="inlineStr">
        <is>
          <t>https://www.bottegaprelibato.com/</t>
        </is>
      </c>
      <c r="K230" s="13" t="inlineStr">
        <is>
          <t>Rivington Street 43-45, London</t>
        </is>
      </c>
      <c r="L230" s="13" t="inlineStr">
        <is>
          <t>EC2A 3QB</t>
        </is>
      </c>
      <c r="M230" s="13" t="inlineStr">
        <is>
          <t>Shoreditch Rooftop</t>
        </is>
      </c>
      <c r="N230" s="13" t="n">
        <v>15</v>
      </c>
      <c r="O230" s="15">
        <f>IFERROR(INDEX(Venues!$C$2:$C$10,MATCH(M230,Venues!$A$2:$A$10,0)),"Not checked")</f>
        <v/>
      </c>
      <c r="P230" s="15">
        <f>IFERROR(INDEX(Venues!$D$2:$D$10,MATCH(M230,Venues!$A$2:$A$10,0)),0)</f>
        <v/>
      </c>
      <c r="Q230" s="42">
        <f>IFERROR(INDEX(Venues!$E$2:$E$10,MATCH(M230,Venues!$A$2:$A$10,0)),"")</f>
        <v/>
      </c>
      <c r="R230" s="15">
        <f>IF(P230&gt;0,"Yes","No")</f>
        <v/>
      </c>
      <c r="S230" s="13" t="inlineStr">
        <is>
          <t>Shoreditch Rooftop</t>
        </is>
      </c>
      <c r="T230" s="42">
        <f>IFERROR(INDEX(Venues!$E$2:$E$10,MATCH(S230,Venues!$A$2:$A$10,0)),"")</f>
        <v/>
      </c>
      <c r="U230" s="15">
        <f>IFERROR(INDEX(Venues!$F$2:$F$10,MATCH(S230,Venues!$A$2:$A$10,0)),"")</f>
        <v/>
      </c>
      <c r="V230" s="43">
        <f>IFERROR(INDEX(Venues!$H$2:$H$10,MATCH(S230,Venues!$A$2:$A$10,0)),"")</f>
        <v/>
      </c>
      <c r="W230" s="15">
        <f>IF('Pilot offer'!$C$24="Yes",'Pilot offer'!$C$3,S230)</f>
        <v/>
      </c>
      <c r="X230" s="42">
        <f>IF('Pilot offer'!$C$24="Yes",'Pilot offer'!$C$5+'Pilot offer'!$C$6,T230)</f>
        <v/>
      </c>
      <c r="Y230" s="15">
        <f>IF('Pilot offer'!$C$24="Yes",'Pilot offer'!$C$8,U230)</f>
        <v/>
      </c>
      <c r="Z230" s="43">
        <f>IF('Pilot offer'!$C$24="Yes",'Pilot offer'!$C$11,"")</f>
        <v/>
      </c>
      <c r="AA230" s="15">
        <f>IF(X230="","",W230&amp;" · "&amp;TEXT(X230,"ddd d mmm, hh:mm")&amp;" · "&amp;Y230&amp;IF(Z230&lt;&gt;""," · £"&amp;TEXT(Z230,"0.00")&amp;" per player"," · price TBC (cost £"&amp;TEXT(V230,"0.00")&amp;" pp)"))</f>
        <v/>
      </c>
      <c r="AD230" s="44" t="n"/>
    </row>
    <row r="231">
      <c r="A231" s="13" t="n">
        <v>229</v>
      </c>
      <c r="B231" s="13" t="inlineStr">
        <is>
          <t>2 · EC2A Shoreditch</t>
        </is>
      </c>
      <c r="C231" s="13" t="inlineStr">
        <is>
          <t>Hospitality</t>
        </is>
      </c>
      <c r="D231" s="13" t="inlineStr">
        <is>
          <t>Local businesses</t>
        </is>
      </c>
      <c r="E231" s="13" t="inlineStr">
        <is>
          <t>Kybelle</t>
        </is>
      </c>
      <c r="F231" s="13" t="inlineStr">
        <is>
          <t>amenity: cafe</t>
        </is>
      </c>
      <c r="G231" s="13" t="inlineStr">
        <is>
          <t>info@kybelle.co.uk</t>
        </is>
      </c>
      <c r="H231" s="13" t="inlineStr">
        <is>
          <t>openstreetmap_tag</t>
        </is>
      </c>
      <c r="I231" s="13" t="inlineStr">
        <is>
          <t>+44 20 7209 1727</t>
        </is>
      </c>
      <c r="J231" s="14" t="inlineStr">
        <is>
          <t>https://www.kybelle.co.uk/</t>
        </is>
      </c>
      <c r="K231" s="13" t="inlineStr">
        <is>
          <t>Great Eastern Street 62, London</t>
        </is>
      </c>
      <c r="L231" s="13" t="inlineStr">
        <is>
          <t>EC2A 3QR</t>
        </is>
      </c>
      <c r="M231" s="13" t="inlineStr">
        <is>
          <t>Shoreditch Rooftop</t>
        </is>
      </c>
      <c r="N231" s="13" t="n">
        <v>17</v>
      </c>
      <c r="O231" s="15">
        <f>IFERROR(INDEX(Venues!$C$2:$C$10,MATCH(M231,Venues!$A$2:$A$10,0)),"Not checked")</f>
        <v/>
      </c>
      <c r="P231" s="15">
        <f>IFERROR(INDEX(Venues!$D$2:$D$10,MATCH(M231,Venues!$A$2:$A$10,0)),0)</f>
        <v/>
      </c>
      <c r="Q231" s="42">
        <f>IFERROR(INDEX(Venues!$E$2:$E$10,MATCH(M231,Venues!$A$2:$A$10,0)),"")</f>
        <v/>
      </c>
      <c r="R231" s="15">
        <f>IF(P231&gt;0,"Yes","No")</f>
        <v/>
      </c>
      <c r="S231" s="13" t="inlineStr">
        <is>
          <t>Shoreditch Rooftop</t>
        </is>
      </c>
      <c r="T231" s="42">
        <f>IFERROR(INDEX(Venues!$E$2:$E$10,MATCH(S231,Venues!$A$2:$A$10,0)),"")</f>
        <v/>
      </c>
      <c r="U231" s="15">
        <f>IFERROR(INDEX(Venues!$F$2:$F$10,MATCH(S231,Venues!$A$2:$A$10,0)),"")</f>
        <v/>
      </c>
      <c r="V231" s="43">
        <f>IFERROR(INDEX(Venues!$H$2:$H$10,MATCH(S231,Venues!$A$2:$A$10,0)),"")</f>
        <v/>
      </c>
      <c r="W231" s="15">
        <f>IF('Pilot offer'!$C$24="Yes",'Pilot offer'!$C$3,S231)</f>
        <v/>
      </c>
      <c r="X231" s="42">
        <f>IF('Pilot offer'!$C$24="Yes",'Pilot offer'!$C$5+'Pilot offer'!$C$6,T231)</f>
        <v/>
      </c>
      <c r="Y231" s="15">
        <f>IF('Pilot offer'!$C$24="Yes",'Pilot offer'!$C$8,U231)</f>
        <v/>
      </c>
      <c r="Z231" s="43">
        <f>IF('Pilot offer'!$C$24="Yes",'Pilot offer'!$C$11,"")</f>
        <v/>
      </c>
      <c r="AA231" s="15">
        <f>IF(X231="","",W231&amp;" · "&amp;TEXT(X231,"ddd d mmm, hh:mm")&amp;" · "&amp;Y231&amp;IF(Z231&lt;&gt;""," · £"&amp;TEXT(Z231,"0.00")&amp;" per player"," · price TBC (cost £"&amp;TEXT(V231,"0.00")&amp;" pp)"))</f>
        <v/>
      </c>
      <c r="AD231" s="44" t="n"/>
    </row>
    <row r="232">
      <c r="A232" s="13" t="n">
        <v>230</v>
      </c>
      <c r="B232" s="13" t="inlineStr">
        <is>
          <t>2 · EC2A Shoreditch</t>
        </is>
      </c>
      <c r="C232" s="13" t="inlineStr">
        <is>
          <t>Office &amp; professional</t>
        </is>
      </c>
      <c r="D232" s="13" t="inlineStr">
        <is>
          <t>Corporate</t>
        </is>
      </c>
      <c r="E232" s="13" t="inlineStr">
        <is>
          <t>Prince's Foundation for Building Community</t>
        </is>
      </c>
      <c r="F232" s="13" t="inlineStr">
        <is>
          <t>ngo</t>
        </is>
      </c>
      <c r="G232" s="13" t="inlineStr">
        <is>
          <t>enquiries@kings-foundation.org</t>
        </is>
      </c>
      <c r="H232" s="13" t="inlineStr">
        <is>
          <t>general</t>
        </is>
      </c>
      <c r="I232" s="13" t="inlineStr">
        <is>
          <t>+44 20 7613 8500</t>
        </is>
      </c>
      <c r="J232" s="14" t="inlineStr">
        <is>
          <t>https://www.princes-foundation.org/</t>
        </is>
      </c>
      <c r="K232" s="13" t="inlineStr">
        <is>
          <t>19-22 Charlotte Road, London</t>
        </is>
      </c>
      <c r="L232" s="13" t="inlineStr">
        <is>
          <t>EC2A 3SG</t>
        </is>
      </c>
      <c r="M232" s="13" t="inlineStr">
        <is>
          <t>Shoreditch Rooftop</t>
        </is>
      </c>
      <c r="N232" s="13" t="n">
        <v>16</v>
      </c>
      <c r="O232" s="15">
        <f>IFERROR(INDEX(Venues!$C$2:$C$10,MATCH(M232,Venues!$A$2:$A$10,0)),"Not checked")</f>
        <v/>
      </c>
      <c r="P232" s="15">
        <f>IFERROR(INDEX(Venues!$D$2:$D$10,MATCH(M232,Venues!$A$2:$A$10,0)),0)</f>
        <v/>
      </c>
      <c r="Q232" s="42">
        <f>IFERROR(INDEX(Venues!$E$2:$E$10,MATCH(M232,Venues!$A$2:$A$10,0)),"")</f>
        <v/>
      </c>
      <c r="R232" s="15">
        <f>IF(P232&gt;0,"Yes","No")</f>
        <v/>
      </c>
      <c r="S232" s="13" t="inlineStr">
        <is>
          <t>Shoreditch Rooftop</t>
        </is>
      </c>
      <c r="T232" s="42">
        <f>IFERROR(INDEX(Venues!$E$2:$E$10,MATCH(S232,Venues!$A$2:$A$10,0)),"")</f>
        <v/>
      </c>
      <c r="U232" s="15">
        <f>IFERROR(INDEX(Venues!$F$2:$F$10,MATCH(S232,Venues!$A$2:$A$10,0)),"")</f>
        <v/>
      </c>
      <c r="V232" s="43">
        <f>IFERROR(INDEX(Venues!$H$2:$H$10,MATCH(S232,Venues!$A$2:$A$10,0)),"")</f>
        <v/>
      </c>
      <c r="W232" s="15">
        <f>IF('Pilot offer'!$C$24="Yes",'Pilot offer'!$C$3,S232)</f>
        <v/>
      </c>
      <c r="X232" s="42">
        <f>IF('Pilot offer'!$C$24="Yes",'Pilot offer'!$C$5+'Pilot offer'!$C$6,T232)</f>
        <v/>
      </c>
      <c r="Y232" s="15">
        <f>IF('Pilot offer'!$C$24="Yes",'Pilot offer'!$C$8,U232)</f>
        <v/>
      </c>
      <c r="Z232" s="43">
        <f>IF('Pilot offer'!$C$24="Yes",'Pilot offer'!$C$11,"")</f>
        <v/>
      </c>
      <c r="AA232" s="15">
        <f>IF(X232="","",W232&amp;" · "&amp;TEXT(X232,"ddd d mmm, hh:mm")&amp;" · "&amp;Y232&amp;IF(Z232&lt;&gt;""," · £"&amp;TEXT(Z232,"0.00")&amp;" per player"," · price TBC (cost £"&amp;TEXT(V232,"0.00")&amp;" pp)"))</f>
        <v/>
      </c>
      <c r="AD232" s="44" t="n"/>
    </row>
    <row r="233">
      <c r="A233" s="13" t="n">
        <v>231</v>
      </c>
      <c r="B233" s="13" t="inlineStr">
        <is>
          <t>2 · EC2A Shoreditch</t>
        </is>
      </c>
      <c r="C233" s="13" t="inlineStr">
        <is>
          <t>Office &amp; professional</t>
        </is>
      </c>
      <c r="D233" s="13" t="inlineStr">
        <is>
          <t>Corporate</t>
        </is>
      </c>
      <c r="E233" s="13" t="inlineStr">
        <is>
          <t>Royal Drawing School</t>
        </is>
      </c>
      <c r="F233" s="13" t="inlineStr">
        <is>
          <t>ngo</t>
        </is>
      </c>
      <c r="G233" s="13" t="inlineStr">
        <is>
          <t>admin@royaldrawingschool.org</t>
        </is>
      </c>
      <c r="H233" s="13" t="inlineStr">
        <is>
          <t>general</t>
        </is>
      </c>
      <c r="I233" s="13" t="inlineStr">
        <is>
          <t>+44 20 7613 8568</t>
        </is>
      </c>
      <c r="J233" s="14" t="inlineStr">
        <is>
          <t>https://www.royaldrawingschool.org/</t>
        </is>
      </c>
      <c r="K233" s="13" t="inlineStr">
        <is>
          <t>19-22 Charlotte Road, London</t>
        </is>
      </c>
      <c r="L233" s="13" t="inlineStr">
        <is>
          <t>EC2A 3SG</t>
        </is>
      </c>
      <c r="M233" s="13" t="inlineStr">
        <is>
          <t>Shoreditch Rooftop</t>
        </is>
      </c>
      <c r="N233" s="13" t="n">
        <v>16</v>
      </c>
      <c r="O233" s="15">
        <f>IFERROR(INDEX(Venues!$C$2:$C$10,MATCH(M233,Venues!$A$2:$A$10,0)),"Not checked")</f>
        <v/>
      </c>
      <c r="P233" s="15">
        <f>IFERROR(INDEX(Venues!$D$2:$D$10,MATCH(M233,Venues!$A$2:$A$10,0)),0)</f>
        <v/>
      </c>
      <c r="Q233" s="42">
        <f>IFERROR(INDEX(Venues!$E$2:$E$10,MATCH(M233,Venues!$A$2:$A$10,0)),"")</f>
        <v/>
      </c>
      <c r="R233" s="15">
        <f>IF(P233&gt;0,"Yes","No")</f>
        <v/>
      </c>
      <c r="S233" s="13" t="inlineStr">
        <is>
          <t>Shoreditch Rooftop</t>
        </is>
      </c>
      <c r="T233" s="42">
        <f>IFERROR(INDEX(Venues!$E$2:$E$10,MATCH(S233,Venues!$A$2:$A$10,0)),"")</f>
        <v/>
      </c>
      <c r="U233" s="15">
        <f>IFERROR(INDEX(Venues!$F$2:$F$10,MATCH(S233,Venues!$A$2:$A$10,0)),"")</f>
        <v/>
      </c>
      <c r="V233" s="43">
        <f>IFERROR(INDEX(Venues!$H$2:$H$10,MATCH(S233,Venues!$A$2:$A$10,0)),"")</f>
        <v/>
      </c>
      <c r="W233" s="15">
        <f>IF('Pilot offer'!$C$24="Yes",'Pilot offer'!$C$3,S233)</f>
        <v/>
      </c>
      <c r="X233" s="42">
        <f>IF('Pilot offer'!$C$24="Yes",'Pilot offer'!$C$5+'Pilot offer'!$C$6,T233)</f>
        <v/>
      </c>
      <c r="Y233" s="15">
        <f>IF('Pilot offer'!$C$24="Yes",'Pilot offer'!$C$8,U233)</f>
        <v/>
      </c>
      <c r="Z233" s="43">
        <f>IF('Pilot offer'!$C$24="Yes",'Pilot offer'!$C$11,"")</f>
        <v/>
      </c>
      <c r="AA233" s="15">
        <f>IF(X233="","",W233&amp;" · "&amp;TEXT(X233,"ddd d mmm, hh:mm")&amp;" · "&amp;Y233&amp;IF(Z233&lt;&gt;""," · £"&amp;TEXT(Z233,"0.00")&amp;" per player"," · price TBC (cost £"&amp;TEXT(V233,"0.00")&amp;" pp)"))</f>
        <v/>
      </c>
      <c r="AD233" s="44" t="n"/>
    </row>
    <row r="234">
      <c r="A234" s="13" t="n">
        <v>232</v>
      </c>
      <c r="B234" s="13" t="inlineStr">
        <is>
          <t>2 · EC2A Shoreditch</t>
        </is>
      </c>
      <c r="C234" s="13" t="inlineStr">
        <is>
          <t>Hospitality</t>
        </is>
      </c>
      <c r="D234" s="13" t="inlineStr">
        <is>
          <t>Local businesses</t>
        </is>
      </c>
      <c r="E234" s="13" t="inlineStr">
        <is>
          <t>Ozone Coffee Roasters</t>
        </is>
      </c>
      <c r="F234" s="13" t="inlineStr">
        <is>
          <t>amenity: cafe</t>
        </is>
      </c>
      <c r="G234" s="13" t="inlineStr">
        <is>
          <t>support@ozonecoffee.co.uk</t>
        </is>
      </c>
      <c r="H234" s="13" t="inlineStr">
        <is>
          <t>commercial</t>
        </is>
      </c>
      <c r="I234" s="13" t="n"/>
      <c r="J234" s="14" t="inlineStr">
        <is>
          <t>https://www.ozonecoffee.co.uk/</t>
        </is>
      </c>
      <c r="K234" s="13" t="inlineStr">
        <is>
          <t>Leonard Street 11, London</t>
        </is>
      </c>
      <c r="L234" s="13" t="inlineStr">
        <is>
          <t>EC2A 4AQ</t>
        </is>
      </c>
      <c r="M234" s="13" t="inlineStr">
        <is>
          <t>Shoreditch Rooftop</t>
        </is>
      </c>
      <c r="N234" s="13" t="n">
        <v>18</v>
      </c>
      <c r="O234" s="15">
        <f>IFERROR(INDEX(Venues!$C$2:$C$10,MATCH(M234,Venues!$A$2:$A$10,0)),"Not checked")</f>
        <v/>
      </c>
      <c r="P234" s="15">
        <f>IFERROR(INDEX(Venues!$D$2:$D$10,MATCH(M234,Venues!$A$2:$A$10,0)),0)</f>
        <v/>
      </c>
      <c r="Q234" s="42">
        <f>IFERROR(INDEX(Venues!$E$2:$E$10,MATCH(M234,Venues!$A$2:$A$10,0)),"")</f>
        <v/>
      </c>
      <c r="R234" s="15">
        <f>IF(P234&gt;0,"Yes","No")</f>
        <v/>
      </c>
      <c r="S234" s="13" t="inlineStr">
        <is>
          <t>Shoreditch Rooftop</t>
        </is>
      </c>
      <c r="T234" s="42">
        <f>IFERROR(INDEX(Venues!$E$2:$E$10,MATCH(S234,Venues!$A$2:$A$10,0)),"")</f>
        <v/>
      </c>
      <c r="U234" s="15">
        <f>IFERROR(INDEX(Venues!$F$2:$F$10,MATCH(S234,Venues!$A$2:$A$10,0)),"")</f>
        <v/>
      </c>
      <c r="V234" s="43">
        <f>IFERROR(INDEX(Venues!$H$2:$H$10,MATCH(S234,Venues!$A$2:$A$10,0)),"")</f>
        <v/>
      </c>
      <c r="W234" s="15">
        <f>IF('Pilot offer'!$C$24="Yes",'Pilot offer'!$C$3,S234)</f>
        <v/>
      </c>
      <c r="X234" s="42">
        <f>IF('Pilot offer'!$C$24="Yes",'Pilot offer'!$C$5+'Pilot offer'!$C$6,T234)</f>
        <v/>
      </c>
      <c r="Y234" s="15">
        <f>IF('Pilot offer'!$C$24="Yes",'Pilot offer'!$C$8,U234)</f>
        <v/>
      </c>
      <c r="Z234" s="43">
        <f>IF('Pilot offer'!$C$24="Yes",'Pilot offer'!$C$11,"")</f>
        <v/>
      </c>
      <c r="AA234" s="15">
        <f>IF(X234="","",W234&amp;" · "&amp;TEXT(X234,"ddd d mmm, hh:mm")&amp;" · "&amp;Y234&amp;IF(Z234&lt;&gt;""," · £"&amp;TEXT(Z234,"0.00")&amp;" per player"," · price TBC (cost £"&amp;TEXT(V234,"0.00")&amp;" pp)"))</f>
        <v/>
      </c>
      <c r="AD234" s="44" t="n"/>
    </row>
    <row r="235">
      <c r="A235" s="13" t="n">
        <v>233</v>
      </c>
      <c r="B235" s="13" t="inlineStr">
        <is>
          <t>2 · EC2A Shoreditch</t>
        </is>
      </c>
      <c r="C235" s="13" t="inlineStr">
        <is>
          <t>Retail</t>
        </is>
      </c>
      <c r="D235" s="13" t="inlineStr">
        <is>
          <t>Local businesses</t>
        </is>
      </c>
      <c r="E235" s="13" t="inlineStr">
        <is>
          <t>tokyobike</t>
        </is>
      </c>
      <c r="F235" s="13" t="inlineStr">
        <is>
          <t>shop: bicycle</t>
        </is>
      </c>
      <c r="G235" s="13" t="inlineStr">
        <is>
          <t>sales@tokyobike.co.uk</t>
        </is>
      </c>
      <c r="H235" s="13" t="inlineStr">
        <is>
          <t>openstreetmap_tag</t>
        </is>
      </c>
      <c r="I235" s="13" t="inlineStr">
        <is>
          <t>+44 20 7251 6842</t>
        </is>
      </c>
      <c r="J235" s="14" t="inlineStr">
        <is>
          <t>https://tokyobike.co.uk/</t>
        </is>
      </c>
      <c r="K235" s="13" t="inlineStr">
        <is>
          <t>Tabernacle Street 87-89, London</t>
        </is>
      </c>
      <c r="L235" s="13" t="inlineStr">
        <is>
          <t>EC2A 4BA</t>
        </is>
      </c>
      <c r="M235" s="13" t="inlineStr">
        <is>
          <t>Shoreditch Rooftop</t>
        </is>
      </c>
      <c r="N235" s="13" t="n">
        <v>15</v>
      </c>
      <c r="O235" s="15">
        <f>IFERROR(INDEX(Venues!$C$2:$C$10,MATCH(M235,Venues!$A$2:$A$10,0)),"Not checked")</f>
        <v/>
      </c>
      <c r="P235" s="15">
        <f>IFERROR(INDEX(Venues!$D$2:$D$10,MATCH(M235,Venues!$A$2:$A$10,0)),0)</f>
        <v/>
      </c>
      <c r="Q235" s="42">
        <f>IFERROR(INDEX(Venues!$E$2:$E$10,MATCH(M235,Venues!$A$2:$A$10,0)),"")</f>
        <v/>
      </c>
      <c r="R235" s="15">
        <f>IF(P235&gt;0,"Yes","No")</f>
        <v/>
      </c>
      <c r="S235" s="13" t="inlineStr">
        <is>
          <t>Shoreditch Rooftop</t>
        </is>
      </c>
      <c r="T235" s="42">
        <f>IFERROR(INDEX(Venues!$E$2:$E$10,MATCH(S235,Venues!$A$2:$A$10,0)),"")</f>
        <v/>
      </c>
      <c r="U235" s="15">
        <f>IFERROR(INDEX(Venues!$F$2:$F$10,MATCH(S235,Venues!$A$2:$A$10,0)),"")</f>
        <v/>
      </c>
      <c r="V235" s="43">
        <f>IFERROR(INDEX(Venues!$H$2:$H$10,MATCH(S235,Venues!$A$2:$A$10,0)),"")</f>
        <v/>
      </c>
      <c r="W235" s="15">
        <f>IF('Pilot offer'!$C$24="Yes",'Pilot offer'!$C$3,S235)</f>
        <v/>
      </c>
      <c r="X235" s="42">
        <f>IF('Pilot offer'!$C$24="Yes",'Pilot offer'!$C$5+'Pilot offer'!$C$6,T235)</f>
        <v/>
      </c>
      <c r="Y235" s="15">
        <f>IF('Pilot offer'!$C$24="Yes",'Pilot offer'!$C$8,U235)</f>
        <v/>
      </c>
      <c r="Z235" s="43">
        <f>IF('Pilot offer'!$C$24="Yes",'Pilot offer'!$C$11,"")</f>
        <v/>
      </c>
      <c r="AA235" s="15">
        <f>IF(X235="","",W235&amp;" · "&amp;TEXT(X235,"ddd d mmm, hh:mm")&amp;" · "&amp;Y235&amp;IF(Z235&lt;&gt;""," · £"&amp;TEXT(Z235,"0.00")&amp;" per player"," · price TBC (cost £"&amp;TEXT(V235,"0.00")&amp;" pp)"))</f>
        <v/>
      </c>
      <c r="AD235" s="44" t="n"/>
    </row>
    <row r="236">
      <c r="A236" s="13" t="n">
        <v>234</v>
      </c>
      <c r="B236" s="13" t="inlineStr">
        <is>
          <t>2 · EC2A Shoreditch</t>
        </is>
      </c>
      <c r="C236" s="13" t="inlineStr">
        <is>
          <t>Hospitality</t>
        </is>
      </c>
      <c r="D236" s="13" t="inlineStr">
        <is>
          <t>Local businesses</t>
        </is>
      </c>
      <c r="E236" s="13" t="inlineStr">
        <is>
          <t>Aethos London Shoreditch</t>
        </is>
      </c>
      <c r="F236" s="13" t="inlineStr">
        <is>
          <t>tourism: hotel</t>
        </is>
      </c>
      <c r="G236" s="13" t="inlineStr">
        <is>
          <t>hello@aethos.com</t>
        </is>
      </c>
      <c r="H236" s="13" t="inlineStr">
        <is>
          <t>general</t>
        </is>
      </c>
      <c r="I236" s="13" t="n"/>
      <c r="J236" s="14" t="inlineStr">
        <is>
          <t>https://www.aethos.com/destinations/london</t>
        </is>
      </c>
      <c r="K236" s="13" t="inlineStr">
        <is>
          <t>Willow Street 10-50, London</t>
        </is>
      </c>
      <c r="L236" s="13" t="inlineStr">
        <is>
          <t>EC2A 4BH</t>
        </is>
      </c>
      <c r="M236" s="13" t="inlineStr">
        <is>
          <t>Shoreditch Rooftop</t>
        </is>
      </c>
      <c r="N236" s="13" t="n">
        <v>17</v>
      </c>
      <c r="O236" s="15">
        <f>IFERROR(INDEX(Venues!$C$2:$C$10,MATCH(M236,Venues!$A$2:$A$10,0)),"Not checked")</f>
        <v/>
      </c>
      <c r="P236" s="15">
        <f>IFERROR(INDEX(Venues!$D$2:$D$10,MATCH(M236,Venues!$A$2:$A$10,0)),0)</f>
        <v/>
      </c>
      <c r="Q236" s="42">
        <f>IFERROR(INDEX(Venues!$E$2:$E$10,MATCH(M236,Venues!$A$2:$A$10,0)),"")</f>
        <v/>
      </c>
      <c r="R236" s="15">
        <f>IF(P236&gt;0,"Yes","No")</f>
        <v/>
      </c>
      <c r="S236" s="13" t="inlineStr">
        <is>
          <t>Shoreditch Rooftop</t>
        </is>
      </c>
      <c r="T236" s="42">
        <f>IFERROR(INDEX(Venues!$E$2:$E$10,MATCH(S236,Venues!$A$2:$A$10,0)),"")</f>
        <v/>
      </c>
      <c r="U236" s="15">
        <f>IFERROR(INDEX(Venues!$F$2:$F$10,MATCH(S236,Venues!$A$2:$A$10,0)),"")</f>
        <v/>
      </c>
      <c r="V236" s="43">
        <f>IFERROR(INDEX(Venues!$H$2:$H$10,MATCH(S236,Venues!$A$2:$A$10,0)),"")</f>
        <v/>
      </c>
      <c r="W236" s="15">
        <f>IF('Pilot offer'!$C$24="Yes",'Pilot offer'!$C$3,S236)</f>
        <v/>
      </c>
      <c r="X236" s="42">
        <f>IF('Pilot offer'!$C$24="Yes",'Pilot offer'!$C$5+'Pilot offer'!$C$6,T236)</f>
        <v/>
      </c>
      <c r="Y236" s="15">
        <f>IF('Pilot offer'!$C$24="Yes",'Pilot offer'!$C$8,U236)</f>
        <v/>
      </c>
      <c r="Z236" s="43">
        <f>IF('Pilot offer'!$C$24="Yes",'Pilot offer'!$C$11,"")</f>
        <v/>
      </c>
      <c r="AA236" s="15">
        <f>IF(X236="","",W236&amp;" · "&amp;TEXT(X236,"ddd d mmm, hh:mm")&amp;" · "&amp;Y236&amp;IF(Z236&lt;&gt;""," · £"&amp;TEXT(Z236,"0.00")&amp;" per player"," · price TBC (cost £"&amp;TEXT(V236,"0.00")&amp;" pp)"))</f>
        <v/>
      </c>
      <c r="AD236" s="44" t="n"/>
    </row>
    <row r="237">
      <c r="A237" s="13" t="n">
        <v>235</v>
      </c>
      <c r="B237" s="13" t="inlineStr">
        <is>
          <t>2 · EC2A Shoreditch</t>
        </is>
      </c>
      <c r="C237" s="13" t="inlineStr">
        <is>
          <t>Office &amp; professional</t>
        </is>
      </c>
      <c r="D237" s="13" t="inlineStr">
        <is>
          <t>Corporate</t>
        </is>
      </c>
      <c r="E237" s="13" t="inlineStr">
        <is>
          <t>Chiumento Consulting Group</t>
        </is>
      </c>
      <c r="F237" s="13" t="inlineStr">
        <is>
          <t>service</t>
        </is>
      </c>
      <c r="G237" s="13" t="inlineStr">
        <is>
          <t>info@chiumento.co.uk</t>
        </is>
      </c>
      <c r="H237" s="13" t="inlineStr">
        <is>
          <t>general</t>
        </is>
      </c>
      <c r="I237" s="13" t="inlineStr">
        <is>
          <t>+44 20 7224 3307</t>
        </is>
      </c>
      <c r="J237" s="14" t="inlineStr">
        <is>
          <t>http://www.chiumento.co.uk/</t>
        </is>
      </c>
      <c r="K237" s="13" t="inlineStr">
        <is>
          <t>4 Crown Pl, London EC2A 4BT, UK</t>
        </is>
      </c>
      <c r="L237" s="13" t="inlineStr">
        <is>
          <t>EC2A 4BT</t>
        </is>
      </c>
      <c r="M237" s="13" t="inlineStr">
        <is>
          <t>Old St - Moreland Primary School</t>
        </is>
      </c>
      <c r="N237" s="13" t="n">
        <v>22</v>
      </c>
      <c r="O237" s="15">
        <f>IFERROR(INDEX(Venues!$C$2:$C$10,MATCH(M237,Venues!$A$2:$A$10,0)),"Not checked")</f>
        <v/>
      </c>
      <c r="P237" s="15">
        <f>IFERROR(INDEX(Venues!$D$2:$D$10,MATCH(M237,Venues!$A$2:$A$10,0)),0)</f>
        <v/>
      </c>
      <c r="Q237" s="42">
        <f>IFERROR(INDEX(Venues!$E$2:$E$10,MATCH(M237,Venues!$A$2:$A$10,0)),"")</f>
        <v/>
      </c>
      <c r="R237" s="15">
        <f>IF(P237&gt;0,"Yes","No")</f>
        <v/>
      </c>
      <c r="S237" s="13" t="inlineStr">
        <is>
          <t>Old St - Moreland Primary School</t>
        </is>
      </c>
      <c r="T237" s="42">
        <f>IFERROR(INDEX(Venues!$E$2:$E$10,MATCH(S237,Venues!$A$2:$A$10,0)),"")</f>
        <v/>
      </c>
      <c r="U237" s="15">
        <f>IFERROR(INDEX(Venues!$F$2:$F$10,MATCH(S237,Venues!$A$2:$A$10,0)),"")</f>
        <v/>
      </c>
      <c r="V237" s="43">
        <f>IFERROR(INDEX(Venues!$H$2:$H$10,MATCH(S237,Venues!$A$2:$A$10,0)),"")</f>
        <v/>
      </c>
      <c r="W237" s="15">
        <f>IF('Pilot offer'!$C$24="Yes",'Pilot offer'!$C$3,S237)</f>
        <v/>
      </c>
      <c r="X237" s="42">
        <f>IF('Pilot offer'!$C$24="Yes",'Pilot offer'!$C$5+'Pilot offer'!$C$6,T237)</f>
        <v/>
      </c>
      <c r="Y237" s="15">
        <f>IF('Pilot offer'!$C$24="Yes",'Pilot offer'!$C$8,U237)</f>
        <v/>
      </c>
      <c r="Z237" s="43">
        <f>IF('Pilot offer'!$C$24="Yes",'Pilot offer'!$C$11,"")</f>
        <v/>
      </c>
      <c r="AA237" s="15">
        <f>IF(X237="","",W237&amp;" · "&amp;TEXT(X237,"ddd d mmm, hh:mm")&amp;" · "&amp;Y237&amp;IF(Z237&lt;&gt;""," · £"&amp;TEXT(Z237,"0.00")&amp;" per player"," · price TBC (cost £"&amp;TEXT(V237,"0.00")&amp;" pp)"))</f>
        <v/>
      </c>
      <c r="AD237" s="44" t="n"/>
    </row>
    <row r="238">
      <c r="A238" s="13" t="n">
        <v>236</v>
      </c>
      <c r="B238" s="13" t="inlineStr">
        <is>
          <t>2 · EC2A Shoreditch</t>
        </is>
      </c>
      <c r="C238" s="13" t="inlineStr">
        <is>
          <t>Office &amp; professional</t>
        </is>
      </c>
      <c r="D238" s="13" t="inlineStr">
        <is>
          <t>Corporate</t>
        </is>
      </c>
      <c r="E238" s="13" t="inlineStr">
        <is>
          <t>ConsultMyApp</t>
        </is>
      </c>
      <c r="F238" s="13" t="inlineStr">
        <is>
          <t>service</t>
        </is>
      </c>
      <c r="G238" s="13" t="inlineStr">
        <is>
          <t>hello@consultmyapp.com</t>
        </is>
      </c>
      <c r="H238" s="13" t="inlineStr">
        <is>
          <t>general</t>
        </is>
      </c>
      <c r="I238" s="13" t="inlineStr">
        <is>
          <t>+44 20 3603 2643</t>
        </is>
      </c>
      <c r="J238" s="14" t="inlineStr">
        <is>
          <t>http://consultmyapp.com/</t>
        </is>
      </c>
      <c r="K238" s="13" t="inlineStr">
        <is>
          <t>14 Bonhill St, London EC2A 4BX, UK</t>
        </is>
      </c>
      <c r="L238" s="13" t="inlineStr">
        <is>
          <t>EC2A 4BX</t>
        </is>
      </c>
      <c r="M238" s="13" t="inlineStr">
        <is>
          <t>Old St - Moreland Primary School</t>
        </is>
      </c>
      <c r="N238" s="13" t="n">
        <v>18</v>
      </c>
      <c r="O238" s="15">
        <f>IFERROR(INDEX(Venues!$C$2:$C$10,MATCH(M238,Venues!$A$2:$A$10,0)),"Not checked")</f>
        <v/>
      </c>
      <c r="P238" s="15">
        <f>IFERROR(INDEX(Venues!$D$2:$D$10,MATCH(M238,Venues!$A$2:$A$10,0)),0)</f>
        <v/>
      </c>
      <c r="Q238" s="42">
        <f>IFERROR(INDEX(Venues!$E$2:$E$10,MATCH(M238,Venues!$A$2:$A$10,0)),"")</f>
        <v/>
      </c>
      <c r="R238" s="15">
        <f>IF(P238&gt;0,"Yes","No")</f>
        <v/>
      </c>
      <c r="S238" s="13" t="inlineStr">
        <is>
          <t>Old St - Moreland Primary School</t>
        </is>
      </c>
      <c r="T238" s="42">
        <f>IFERROR(INDEX(Venues!$E$2:$E$10,MATCH(S238,Venues!$A$2:$A$10,0)),"")</f>
        <v/>
      </c>
      <c r="U238" s="15">
        <f>IFERROR(INDEX(Venues!$F$2:$F$10,MATCH(S238,Venues!$A$2:$A$10,0)),"")</f>
        <v/>
      </c>
      <c r="V238" s="43">
        <f>IFERROR(INDEX(Venues!$H$2:$H$10,MATCH(S238,Venues!$A$2:$A$10,0)),"")</f>
        <v/>
      </c>
      <c r="W238" s="15">
        <f>IF('Pilot offer'!$C$24="Yes",'Pilot offer'!$C$3,S238)</f>
        <v/>
      </c>
      <c r="X238" s="42">
        <f>IF('Pilot offer'!$C$24="Yes",'Pilot offer'!$C$5+'Pilot offer'!$C$6,T238)</f>
        <v/>
      </c>
      <c r="Y238" s="15">
        <f>IF('Pilot offer'!$C$24="Yes",'Pilot offer'!$C$8,U238)</f>
        <v/>
      </c>
      <c r="Z238" s="43">
        <f>IF('Pilot offer'!$C$24="Yes",'Pilot offer'!$C$11,"")</f>
        <v/>
      </c>
      <c r="AA238" s="15">
        <f>IF(X238="","",W238&amp;" · "&amp;TEXT(X238,"ddd d mmm, hh:mm")&amp;" · "&amp;Y238&amp;IF(Z238&lt;&gt;""," · £"&amp;TEXT(Z238,"0.00")&amp;" per player"," · price TBC (cost £"&amp;TEXT(V238,"0.00")&amp;" pp)"))</f>
        <v/>
      </c>
      <c r="AD238" s="44" t="n"/>
    </row>
    <row r="239">
      <c r="A239" s="13" t="n">
        <v>237</v>
      </c>
      <c r="B239" s="13" t="inlineStr">
        <is>
          <t>2 · EC2A Shoreditch</t>
        </is>
      </c>
      <c r="C239" s="13" t="inlineStr">
        <is>
          <t>Office &amp; professional</t>
        </is>
      </c>
      <c r="D239" s="13" t="inlineStr">
        <is>
          <t>Corporate</t>
        </is>
      </c>
      <c r="E239" s="13" t="inlineStr">
        <is>
          <t>Zutec Inc. (Uk) Limited</t>
        </is>
      </c>
      <c r="F239" s="13" t="inlineStr">
        <is>
          <t>service</t>
        </is>
      </c>
      <c r="G239" s="13" t="inlineStr">
        <is>
          <t>info@zutec.com</t>
        </is>
      </c>
      <c r="H239" s="13" t="inlineStr">
        <is>
          <t>general</t>
        </is>
      </c>
      <c r="I239" s="13" t="n"/>
      <c r="J239" s="14" t="inlineStr">
        <is>
          <t>https://zutec.com/</t>
        </is>
      </c>
      <c r="K239" s="13" t="inlineStr">
        <is>
          <t>104 Clifton St, London EC2A 4DF, UK</t>
        </is>
      </c>
      <c r="L239" s="13" t="inlineStr">
        <is>
          <t>EC2A 4DF</t>
        </is>
      </c>
      <c r="M239" s="13" t="inlineStr">
        <is>
          <t>Old St - Moreland Primary School</t>
        </is>
      </c>
      <c r="N239" s="13" t="n">
        <v>19</v>
      </c>
      <c r="O239" s="15">
        <f>IFERROR(INDEX(Venues!$C$2:$C$10,MATCH(M239,Venues!$A$2:$A$10,0)),"Not checked")</f>
        <v/>
      </c>
      <c r="P239" s="15">
        <f>IFERROR(INDEX(Venues!$D$2:$D$10,MATCH(M239,Venues!$A$2:$A$10,0)),0)</f>
        <v/>
      </c>
      <c r="Q239" s="42">
        <f>IFERROR(INDEX(Venues!$E$2:$E$10,MATCH(M239,Venues!$A$2:$A$10,0)),"")</f>
        <v/>
      </c>
      <c r="R239" s="15">
        <f>IF(P239&gt;0,"Yes","No")</f>
        <v/>
      </c>
      <c r="S239" s="13" t="inlineStr">
        <is>
          <t>Old St - Moreland Primary School</t>
        </is>
      </c>
      <c r="T239" s="42">
        <f>IFERROR(INDEX(Venues!$E$2:$E$10,MATCH(S239,Venues!$A$2:$A$10,0)),"")</f>
        <v/>
      </c>
      <c r="U239" s="15">
        <f>IFERROR(INDEX(Venues!$F$2:$F$10,MATCH(S239,Venues!$A$2:$A$10,0)),"")</f>
        <v/>
      </c>
      <c r="V239" s="43">
        <f>IFERROR(INDEX(Venues!$H$2:$H$10,MATCH(S239,Venues!$A$2:$A$10,0)),"")</f>
        <v/>
      </c>
      <c r="W239" s="15">
        <f>IF('Pilot offer'!$C$24="Yes",'Pilot offer'!$C$3,S239)</f>
        <v/>
      </c>
      <c r="X239" s="42">
        <f>IF('Pilot offer'!$C$24="Yes",'Pilot offer'!$C$5+'Pilot offer'!$C$6,T239)</f>
        <v/>
      </c>
      <c r="Y239" s="15">
        <f>IF('Pilot offer'!$C$24="Yes",'Pilot offer'!$C$8,U239)</f>
        <v/>
      </c>
      <c r="Z239" s="43">
        <f>IF('Pilot offer'!$C$24="Yes",'Pilot offer'!$C$11,"")</f>
        <v/>
      </c>
      <c r="AA239" s="15">
        <f>IF(X239="","",W239&amp;" · "&amp;TEXT(X239,"ddd d mmm, hh:mm")&amp;" · "&amp;Y239&amp;IF(Z239&lt;&gt;""," · £"&amp;TEXT(Z239,"0.00")&amp;" per player"," · price TBC (cost £"&amp;TEXT(V239,"0.00")&amp;" pp)"))</f>
        <v/>
      </c>
      <c r="AD239" s="44" t="n"/>
    </row>
    <row r="240">
      <c r="A240" s="13" t="n">
        <v>238</v>
      </c>
      <c r="B240" s="13" t="inlineStr">
        <is>
          <t>2 · EC2A Shoreditch</t>
        </is>
      </c>
      <c r="C240" s="13" t="inlineStr">
        <is>
          <t>Office &amp; professional</t>
        </is>
      </c>
      <c r="D240" s="13" t="inlineStr">
        <is>
          <t>Corporate</t>
        </is>
      </c>
      <c r="E240" s="13" t="inlineStr">
        <is>
          <t>Kingsley Napley LLP</t>
        </is>
      </c>
      <c r="F240" s="13" t="inlineStr">
        <is>
          <t>lawyer</t>
        </is>
      </c>
      <c r="G240" s="13" t="inlineStr">
        <is>
          <t>enquiries@kingsleynapley.co.uk</t>
        </is>
      </c>
      <c r="H240" s="13" t="inlineStr">
        <is>
          <t>general</t>
        </is>
      </c>
      <c r="I240" s="13" t="inlineStr">
        <is>
          <t>+44 20 7814 1200</t>
        </is>
      </c>
      <c r="J240" s="14" t="inlineStr">
        <is>
          <t>http://www.kingsleynapley.co.uk/</t>
        </is>
      </c>
      <c r="K240" s="13" t="inlineStr">
        <is>
          <t>20 Bonhill St, London EC2A 4DN, UK</t>
        </is>
      </c>
      <c r="L240" s="13" t="inlineStr">
        <is>
          <t>EC2A 4DN</t>
        </is>
      </c>
      <c r="M240" s="13" t="inlineStr">
        <is>
          <t>Old St - Moreland Primary School</t>
        </is>
      </c>
      <c r="N240" s="13" t="n">
        <v>17</v>
      </c>
      <c r="O240" s="15">
        <f>IFERROR(INDEX(Venues!$C$2:$C$10,MATCH(M240,Venues!$A$2:$A$10,0)),"Not checked")</f>
        <v/>
      </c>
      <c r="P240" s="15">
        <f>IFERROR(INDEX(Venues!$D$2:$D$10,MATCH(M240,Venues!$A$2:$A$10,0)),0)</f>
        <v/>
      </c>
      <c r="Q240" s="42">
        <f>IFERROR(INDEX(Venues!$E$2:$E$10,MATCH(M240,Venues!$A$2:$A$10,0)),"")</f>
        <v/>
      </c>
      <c r="R240" s="15">
        <f>IF(P240&gt;0,"Yes","No")</f>
        <v/>
      </c>
      <c r="S240" s="13" t="inlineStr">
        <is>
          <t>Old St - Moreland Primary School</t>
        </is>
      </c>
      <c r="T240" s="42">
        <f>IFERROR(INDEX(Venues!$E$2:$E$10,MATCH(S240,Venues!$A$2:$A$10,0)),"")</f>
        <v/>
      </c>
      <c r="U240" s="15">
        <f>IFERROR(INDEX(Venues!$F$2:$F$10,MATCH(S240,Venues!$A$2:$A$10,0)),"")</f>
        <v/>
      </c>
      <c r="V240" s="43">
        <f>IFERROR(INDEX(Venues!$H$2:$H$10,MATCH(S240,Venues!$A$2:$A$10,0)),"")</f>
        <v/>
      </c>
      <c r="W240" s="15">
        <f>IF('Pilot offer'!$C$24="Yes",'Pilot offer'!$C$3,S240)</f>
        <v/>
      </c>
      <c r="X240" s="42">
        <f>IF('Pilot offer'!$C$24="Yes",'Pilot offer'!$C$5+'Pilot offer'!$C$6,T240)</f>
        <v/>
      </c>
      <c r="Y240" s="15">
        <f>IF('Pilot offer'!$C$24="Yes",'Pilot offer'!$C$8,U240)</f>
        <v/>
      </c>
      <c r="Z240" s="43">
        <f>IF('Pilot offer'!$C$24="Yes",'Pilot offer'!$C$11,"")</f>
        <v/>
      </c>
      <c r="AA240" s="15">
        <f>IF(X240="","",W240&amp;" · "&amp;TEXT(X240,"ddd d mmm, hh:mm")&amp;" · "&amp;Y240&amp;IF(Z240&lt;&gt;""," · £"&amp;TEXT(Z240,"0.00")&amp;" per player"," · price TBC (cost £"&amp;TEXT(V240,"0.00")&amp;" pp)"))</f>
        <v/>
      </c>
      <c r="AD240" s="44" t="n"/>
    </row>
    <row r="241">
      <c r="A241" s="13" t="n">
        <v>239</v>
      </c>
      <c r="B241" s="13" t="inlineStr">
        <is>
          <t>2 · EC2A Shoreditch</t>
        </is>
      </c>
      <c r="C241" s="13" t="inlineStr">
        <is>
          <t>Office &amp; professional</t>
        </is>
      </c>
      <c r="D241" s="13" t="inlineStr">
        <is>
          <t>Corporate</t>
        </is>
      </c>
      <c r="E241" s="13" t="inlineStr">
        <is>
          <t>Tug Agency (London)</t>
        </is>
      </c>
      <c r="F241" s="13" t="inlineStr">
        <is>
          <t>service</t>
        </is>
      </c>
      <c r="G241" s="13" t="inlineStr">
        <is>
          <t>hellolondon@tugagency.com</t>
        </is>
      </c>
      <c r="H241" s="13" t="inlineStr">
        <is>
          <t>person_or_other</t>
        </is>
      </c>
      <c r="I241" s="13" t="inlineStr">
        <is>
          <t>+44 20 7033 6933</t>
        </is>
      </c>
      <c r="J241" s="14" t="inlineStr">
        <is>
          <t>https://www.tugagency.com/?utm_source=local-london&amp;utm_medium=organic&amp;utm_campaign=gmb</t>
        </is>
      </c>
      <c r="K241" s="13" t="inlineStr">
        <is>
          <t>3rd Floor, 1 Leonard Circus, London EC2A 4DQ, UK</t>
        </is>
      </c>
      <c r="L241" s="13" t="inlineStr">
        <is>
          <t>EC2A 4DQ</t>
        </is>
      </c>
      <c r="M241" s="13" t="inlineStr">
        <is>
          <t>Shoreditch Rooftop</t>
        </is>
      </c>
      <c r="N241" s="13" t="n">
        <v>17</v>
      </c>
      <c r="O241" s="15">
        <f>IFERROR(INDEX(Venues!$C$2:$C$10,MATCH(M241,Venues!$A$2:$A$10,0)),"Not checked")</f>
        <v/>
      </c>
      <c r="P241" s="15">
        <f>IFERROR(INDEX(Venues!$D$2:$D$10,MATCH(M241,Venues!$A$2:$A$10,0)),0)</f>
        <v/>
      </c>
      <c r="Q241" s="42">
        <f>IFERROR(INDEX(Venues!$E$2:$E$10,MATCH(M241,Venues!$A$2:$A$10,0)),"")</f>
        <v/>
      </c>
      <c r="R241" s="15">
        <f>IF(P241&gt;0,"Yes","No")</f>
        <v/>
      </c>
      <c r="S241" s="13" t="inlineStr">
        <is>
          <t>Shoreditch Rooftop</t>
        </is>
      </c>
      <c r="T241" s="42">
        <f>IFERROR(INDEX(Venues!$E$2:$E$10,MATCH(S241,Venues!$A$2:$A$10,0)),"")</f>
        <v/>
      </c>
      <c r="U241" s="15">
        <f>IFERROR(INDEX(Venues!$F$2:$F$10,MATCH(S241,Venues!$A$2:$A$10,0)),"")</f>
        <v/>
      </c>
      <c r="V241" s="43">
        <f>IFERROR(INDEX(Venues!$H$2:$H$10,MATCH(S241,Venues!$A$2:$A$10,0)),"")</f>
        <v/>
      </c>
      <c r="W241" s="15">
        <f>IF('Pilot offer'!$C$24="Yes",'Pilot offer'!$C$3,S241)</f>
        <v/>
      </c>
      <c r="X241" s="42">
        <f>IF('Pilot offer'!$C$24="Yes",'Pilot offer'!$C$5+'Pilot offer'!$C$6,T241)</f>
        <v/>
      </c>
      <c r="Y241" s="15">
        <f>IF('Pilot offer'!$C$24="Yes",'Pilot offer'!$C$8,U241)</f>
        <v/>
      </c>
      <c r="Z241" s="43">
        <f>IF('Pilot offer'!$C$24="Yes",'Pilot offer'!$C$11,"")</f>
        <v/>
      </c>
      <c r="AA241" s="15">
        <f>IF(X241="","",W241&amp;" · "&amp;TEXT(X241,"ddd d mmm, hh:mm")&amp;" · "&amp;Y241&amp;IF(Z241&lt;&gt;""," · £"&amp;TEXT(Z241,"0.00")&amp;" per player"," · price TBC (cost £"&amp;TEXT(V241,"0.00")&amp;" pp)"))</f>
        <v/>
      </c>
      <c r="AD241" s="44" t="n"/>
    </row>
    <row r="242">
      <c r="A242" s="13" t="n">
        <v>240</v>
      </c>
      <c r="B242" s="13" t="inlineStr">
        <is>
          <t>2 · EC2A Shoreditch</t>
        </is>
      </c>
      <c r="C242" s="13" t="inlineStr">
        <is>
          <t>Office &amp; professional</t>
        </is>
      </c>
      <c r="D242" s="13" t="inlineStr">
        <is>
          <t>Corporate</t>
        </is>
      </c>
      <c r="E242" s="13" t="inlineStr">
        <is>
          <t>Pinsent Masons</t>
        </is>
      </c>
      <c r="F242" s="13" t="inlineStr">
        <is>
          <t>lawyer</t>
        </is>
      </c>
      <c r="G242" s="13" t="inlineStr">
        <is>
          <t>kontakt@pinsentmasons.com</t>
        </is>
      </c>
      <c r="H242" s="13" t="inlineStr">
        <is>
          <t>general</t>
        </is>
      </c>
      <c r="I242" s="13" t="inlineStr">
        <is>
          <t>+44 20 7418 7000</t>
        </is>
      </c>
      <c r="J242" s="14" t="inlineStr">
        <is>
          <t>https://www.pinsentmasons.com/locations/europe/united-kingdom/london?utm_source=google&amp;utm_medium=organic&amp;utm_campaign=maps&amp;utm_content=GB-London</t>
        </is>
      </c>
      <c r="K242" s="13" t="inlineStr">
        <is>
          <t>30 Crown Place, London</t>
        </is>
      </c>
      <c r="L242" s="13" t="inlineStr">
        <is>
          <t>EC2A 4ES</t>
        </is>
      </c>
      <c r="M242" s="13" t="inlineStr">
        <is>
          <t>Old St - Moreland Primary School</t>
        </is>
      </c>
      <c r="N242" s="13" t="n">
        <v>22</v>
      </c>
      <c r="O242" s="15">
        <f>IFERROR(INDEX(Venues!$C$2:$C$10,MATCH(M242,Venues!$A$2:$A$10,0)),"Not checked")</f>
        <v/>
      </c>
      <c r="P242" s="15">
        <f>IFERROR(INDEX(Venues!$D$2:$D$10,MATCH(M242,Venues!$A$2:$A$10,0)),0)</f>
        <v/>
      </c>
      <c r="Q242" s="42">
        <f>IFERROR(INDEX(Venues!$E$2:$E$10,MATCH(M242,Venues!$A$2:$A$10,0)),"")</f>
        <v/>
      </c>
      <c r="R242" s="15">
        <f>IF(P242&gt;0,"Yes","No")</f>
        <v/>
      </c>
      <c r="S242" s="13" t="inlineStr">
        <is>
          <t>Old St - Moreland Primary School</t>
        </is>
      </c>
      <c r="T242" s="42">
        <f>IFERROR(INDEX(Venues!$E$2:$E$10,MATCH(S242,Venues!$A$2:$A$10,0)),"")</f>
        <v/>
      </c>
      <c r="U242" s="15">
        <f>IFERROR(INDEX(Venues!$F$2:$F$10,MATCH(S242,Venues!$A$2:$A$10,0)),"")</f>
        <v/>
      </c>
      <c r="V242" s="43">
        <f>IFERROR(INDEX(Venues!$H$2:$H$10,MATCH(S242,Venues!$A$2:$A$10,0)),"")</f>
        <v/>
      </c>
      <c r="W242" s="15">
        <f>IF('Pilot offer'!$C$24="Yes",'Pilot offer'!$C$3,S242)</f>
        <v/>
      </c>
      <c r="X242" s="42">
        <f>IF('Pilot offer'!$C$24="Yes",'Pilot offer'!$C$5+'Pilot offer'!$C$6,T242)</f>
        <v/>
      </c>
      <c r="Y242" s="15">
        <f>IF('Pilot offer'!$C$24="Yes",'Pilot offer'!$C$8,U242)</f>
        <v/>
      </c>
      <c r="Z242" s="43">
        <f>IF('Pilot offer'!$C$24="Yes",'Pilot offer'!$C$11,"")</f>
        <v/>
      </c>
      <c r="AA242" s="15">
        <f>IF(X242="","",W242&amp;" · "&amp;TEXT(X242,"ddd d mmm, hh:mm")&amp;" · "&amp;Y242&amp;IF(Z242&lt;&gt;""," · £"&amp;TEXT(Z242,"0.00")&amp;" per player"," · price TBC (cost £"&amp;TEXT(V242,"0.00")&amp;" pp)"))</f>
        <v/>
      </c>
      <c r="AD242" s="44" t="n"/>
    </row>
    <row r="243">
      <c r="A243" s="13" t="n">
        <v>241</v>
      </c>
      <c r="B243" s="13" t="inlineStr">
        <is>
          <t>2 · EC2A Shoreditch</t>
        </is>
      </c>
      <c r="C243" s="13" t="inlineStr">
        <is>
          <t>Office &amp; professional</t>
        </is>
      </c>
      <c r="D243" s="13" t="inlineStr">
        <is>
          <t>Corporate</t>
        </is>
      </c>
      <c r="E243" s="13" t="inlineStr">
        <is>
          <t>Kaizen - AI-enabled Search, Digital PR &amp; Social agency.</t>
        </is>
      </c>
      <c r="F243" s="13" t="inlineStr">
        <is>
          <t>service</t>
        </is>
      </c>
      <c r="G243" s="13" t="inlineStr">
        <is>
          <t>contact@kaizen.co.uk</t>
        </is>
      </c>
      <c r="H243" s="13" t="inlineStr">
        <is>
          <t>general</t>
        </is>
      </c>
      <c r="I243" s="13" t="n"/>
      <c r="J243" s="14" t="inlineStr">
        <is>
          <t>https://www.kaizen.co.uk/</t>
        </is>
      </c>
      <c r="K243" s="13" t="inlineStr">
        <is>
          <t>3a, 5-25 Scrutton St, London EC2A 4HJ, UK</t>
        </is>
      </c>
      <c r="L243" s="13" t="inlineStr">
        <is>
          <t>EC2A 4HJ</t>
        </is>
      </c>
      <c r="M243" s="13" t="inlineStr">
        <is>
          <t>Old St - Moreland Primary School</t>
        </is>
      </c>
      <c r="N243" s="13" t="n">
        <v>19</v>
      </c>
      <c r="O243" s="15">
        <f>IFERROR(INDEX(Venues!$C$2:$C$10,MATCH(M243,Venues!$A$2:$A$10,0)),"Not checked")</f>
        <v/>
      </c>
      <c r="P243" s="15">
        <f>IFERROR(INDEX(Venues!$D$2:$D$10,MATCH(M243,Venues!$A$2:$A$10,0)),0)</f>
        <v/>
      </c>
      <c r="Q243" s="42">
        <f>IFERROR(INDEX(Venues!$E$2:$E$10,MATCH(M243,Venues!$A$2:$A$10,0)),"")</f>
        <v/>
      </c>
      <c r="R243" s="15">
        <f>IF(P243&gt;0,"Yes","No")</f>
        <v/>
      </c>
      <c r="S243" s="13" t="inlineStr">
        <is>
          <t>Old St - Moreland Primary School</t>
        </is>
      </c>
      <c r="T243" s="42">
        <f>IFERROR(INDEX(Venues!$E$2:$E$10,MATCH(S243,Venues!$A$2:$A$10,0)),"")</f>
        <v/>
      </c>
      <c r="U243" s="15">
        <f>IFERROR(INDEX(Venues!$F$2:$F$10,MATCH(S243,Venues!$A$2:$A$10,0)),"")</f>
        <v/>
      </c>
      <c r="V243" s="43">
        <f>IFERROR(INDEX(Venues!$H$2:$H$10,MATCH(S243,Venues!$A$2:$A$10,0)),"")</f>
        <v/>
      </c>
      <c r="W243" s="15">
        <f>IF('Pilot offer'!$C$24="Yes",'Pilot offer'!$C$3,S243)</f>
        <v/>
      </c>
      <c r="X243" s="42">
        <f>IF('Pilot offer'!$C$24="Yes",'Pilot offer'!$C$5+'Pilot offer'!$C$6,T243)</f>
        <v/>
      </c>
      <c r="Y243" s="15">
        <f>IF('Pilot offer'!$C$24="Yes",'Pilot offer'!$C$8,U243)</f>
        <v/>
      </c>
      <c r="Z243" s="43">
        <f>IF('Pilot offer'!$C$24="Yes",'Pilot offer'!$C$11,"")</f>
        <v/>
      </c>
      <c r="AA243" s="15">
        <f>IF(X243="","",W243&amp;" · "&amp;TEXT(X243,"ddd d mmm, hh:mm")&amp;" · "&amp;Y243&amp;IF(Z243&lt;&gt;""," · £"&amp;TEXT(Z243,"0.00")&amp;" per player"," · price TBC (cost £"&amp;TEXT(V243,"0.00")&amp;" pp)"))</f>
        <v/>
      </c>
      <c r="AD243" s="44" t="n"/>
    </row>
    <row r="244">
      <c r="A244" s="13" t="n">
        <v>242</v>
      </c>
      <c r="B244" s="13" t="inlineStr">
        <is>
          <t>2 · EC2A Shoreditch</t>
        </is>
      </c>
      <c r="C244" s="13" t="inlineStr">
        <is>
          <t>Office &amp; professional</t>
        </is>
      </c>
      <c r="D244" s="13" t="inlineStr">
        <is>
          <t>Corporate</t>
        </is>
      </c>
      <c r="E244" s="13" t="inlineStr">
        <is>
          <t>Raptor</t>
        </is>
      </c>
      <c r="F244" s="13" t="inlineStr">
        <is>
          <t>service</t>
        </is>
      </c>
      <c r="G244" s="13" t="inlineStr">
        <is>
          <t>hello@raptor.agency</t>
        </is>
      </c>
      <c r="H244" s="13" t="inlineStr">
        <is>
          <t>general</t>
        </is>
      </c>
      <c r="I244" s="13" t="n"/>
      <c r="J244" s="14" t="inlineStr">
        <is>
          <t>https://raptor.agency/</t>
        </is>
      </c>
      <c r="K244" s="13" t="inlineStr">
        <is>
          <t>Zetland House, 5-25 Scrutton St, Shoreditch, London EC2A 4HJ, UK</t>
        </is>
      </c>
      <c r="L244" s="13" t="inlineStr">
        <is>
          <t>EC2A 4HJ</t>
        </is>
      </c>
      <c r="M244" s="13" t="inlineStr">
        <is>
          <t>Old St - Moreland Primary School</t>
        </is>
      </c>
      <c r="N244" s="13" t="n">
        <v>19</v>
      </c>
      <c r="O244" s="15">
        <f>IFERROR(INDEX(Venues!$C$2:$C$10,MATCH(M244,Venues!$A$2:$A$10,0)),"Not checked")</f>
        <v/>
      </c>
      <c r="P244" s="15">
        <f>IFERROR(INDEX(Venues!$D$2:$D$10,MATCH(M244,Venues!$A$2:$A$10,0)),0)</f>
        <v/>
      </c>
      <c r="Q244" s="42">
        <f>IFERROR(INDEX(Venues!$E$2:$E$10,MATCH(M244,Venues!$A$2:$A$10,0)),"")</f>
        <v/>
      </c>
      <c r="R244" s="15">
        <f>IF(P244&gt;0,"Yes","No")</f>
        <v/>
      </c>
      <c r="S244" s="13" t="inlineStr">
        <is>
          <t>Old St - Moreland Primary School</t>
        </is>
      </c>
      <c r="T244" s="42">
        <f>IFERROR(INDEX(Venues!$E$2:$E$10,MATCH(S244,Venues!$A$2:$A$10,0)),"")</f>
        <v/>
      </c>
      <c r="U244" s="15">
        <f>IFERROR(INDEX(Venues!$F$2:$F$10,MATCH(S244,Venues!$A$2:$A$10,0)),"")</f>
        <v/>
      </c>
      <c r="V244" s="43">
        <f>IFERROR(INDEX(Venues!$H$2:$H$10,MATCH(S244,Venues!$A$2:$A$10,0)),"")</f>
        <v/>
      </c>
      <c r="W244" s="15">
        <f>IF('Pilot offer'!$C$24="Yes",'Pilot offer'!$C$3,S244)</f>
        <v/>
      </c>
      <c r="X244" s="42">
        <f>IF('Pilot offer'!$C$24="Yes",'Pilot offer'!$C$5+'Pilot offer'!$C$6,T244)</f>
        <v/>
      </c>
      <c r="Y244" s="15">
        <f>IF('Pilot offer'!$C$24="Yes",'Pilot offer'!$C$8,U244)</f>
        <v/>
      </c>
      <c r="Z244" s="43">
        <f>IF('Pilot offer'!$C$24="Yes",'Pilot offer'!$C$11,"")</f>
        <v/>
      </c>
      <c r="AA244" s="15">
        <f>IF(X244="","",W244&amp;" · "&amp;TEXT(X244,"ddd d mmm, hh:mm")&amp;" · "&amp;Y244&amp;IF(Z244&lt;&gt;""," · £"&amp;TEXT(Z244,"0.00")&amp;" per player"," · price TBC (cost £"&amp;TEXT(V244,"0.00")&amp;" pp)"))</f>
        <v/>
      </c>
      <c r="AD244" s="44" t="n"/>
    </row>
    <row r="245">
      <c r="A245" s="13" t="n">
        <v>243</v>
      </c>
      <c r="B245" s="13" t="inlineStr">
        <is>
          <t>2 · EC2A Shoreditch</t>
        </is>
      </c>
      <c r="C245" s="13" t="inlineStr">
        <is>
          <t>Office &amp; professional</t>
        </is>
      </c>
      <c r="D245" s="13" t="inlineStr">
        <is>
          <t>Corporate</t>
        </is>
      </c>
      <c r="E245" s="13" t="inlineStr">
        <is>
          <t>Brooks Murray Architects</t>
        </is>
      </c>
      <c r="F245" s="13" t="inlineStr">
        <is>
          <t>architect</t>
        </is>
      </c>
      <c r="G245" s="13" t="inlineStr">
        <is>
          <t>admin@brooksmurray.com</t>
        </is>
      </c>
      <c r="H245" s="13" t="inlineStr">
        <is>
          <t>general</t>
        </is>
      </c>
      <c r="I245" s="13" t="inlineStr">
        <is>
          <t>+44 20 7739 9955</t>
        </is>
      </c>
      <c r="J245" s="14" t="inlineStr">
        <is>
          <t>https://www.brooksmurray.com/</t>
        </is>
      </c>
      <c r="K245" s="13" t="inlineStr">
        <is>
          <t>8-10 New North Place, London</t>
        </is>
      </c>
      <c r="L245" s="13" t="inlineStr">
        <is>
          <t>EC2A 4JA</t>
        </is>
      </c>
      <c r="M245" s="13" t="inlineStr">
        <is>
          <t>Shoreditch Rooftop</t>
        </is>
      </c>
      <c r="N245" s="13" t="n">
        <v>19</v>
      </c>
      <c r="O245" s="15">
        <f>IFERROR(INDEX(Venues!$C$2:$C$10,MATCH(M245,Venues!$A$2:$A$10,0)),"Not checked")</f>
        <v/>
      </c>
      <c r="P245" s="15">
        <f>IFERROR(INDEX(Venues!$D$2:$D$10,MATCH(M245,Venues!$A$2:$A$10,0)),0)</f>
        <v/>
      </c>
      <c r="Q245" s="42">
        <f>IFERROR(INDEX(Venues!$E$2:$E$10,MATCH(M245,Venues!$A$2:$A$10,0)),"")</f>
        <v/>
      </c>
      <c r="R245" s="15">
        <f>IF(P245&gt;0,"Yes","No")</f>
        <v/>
      </c>
      <c r="S245" s="13" t="inlineStr">
        <is>
          <t>Shoreditch Rooftop</t>
        </is>
      </c>
      <c r="T245" s="42">
        <f>IFERROR(INDEX(Venues!$E$2:$E$10,MATCH(S245,Venues!$A$2:$A$10,0)),"")</f>
        <v/>
      </c>
      <c r="U245" s="15">
        <f>IFERROR(INDEX(Venues!$F$2:$F$10,MATCH(S245,Venues!$A$2:$A$10,0)),"")</f>
        <v/>
      </c>
      <c r="V245" s="43">
        <f>IFERROR(INDEX(Venues!$H$2:$H$10,MATCH(S245,Venues!$A$2:$A$10,0)),"")</f>
        <v/>
      </c>
      <c r="W245" s="15">
        <f>IF('Pilot offer'!$C$24="Yes",'Pilot offer'!$C$3,S245)</f>
        <v/>
      </c>
      <c r="X245" s="42">
        <f>IF('Pilot offer'!$C$24="Yes",'Pilot offer'!$C$5+'Pilot offer'!$C$6,T245)</f>
        <v/>
      </c>
      <c r="Y245" s="15">
        <f>IF('Pilot offer'!$C$24="Yes",'Pilot offer'!$C$8,U245)</f>
        <v/>
      </c>
      <c r="Z245" s="43">
        <f>IF('Pilot offer'!$C$24="Yes",'Pilot offer'!$C$11,"")</f>
        <v/>
      </c>
      <c r="AA245" s="15">
        <f>IF(X245="","",W245&amp;" · "&amp;TEXT(X245,"ddd d mmm, hh:mm")&amp;" · "&amp;Y245&amp;IF(Z245&lt;&gt;""," · £"&amp;TEXT(Z245,"0.00")&amp;" per player"," · price TBC (cost £"&amp;TEXT(V245,"0.00")&amp;" pp)"))</f>
        <v/>
      </c>
      <c r="AD245" s="44" t="n"/>
    </row>
    <row r="246">
      <c r="A246" s="13" t="n">
        <v>244</v>
      </c>
      <c r="B246" s="13" t="inlineStr">
        <is>
          <t>2 · EC2A Shoreditch</t>
        </is>
      </c>
      <c r="C246" s="13" t="inlineStr">
        <is>
          <t>Retail</t>
        </is>
      </c>
      <c r="D246" s="13" t="inlineStr">
        <is>
          <t>Local businesses</t>
        </is>
      </c>
      <c r="E246" s="13" t="inlineStr">
        <is>
          <t>Doufu</t>
        </is>
      </c>
      <c r="F246" s="13" t="inlineStr">
        <is>
          <t>shop: convenience</t>
        </is>
      </c>
      <c r="G246" s="13" t="inlineStr">
        <is>
          <t>hello@doufu.co.uk</t>
        </is>
      </c>
      <c r="H246" s="13" t="inlineStr">
        <is>
          <t>general</t>
        </is>
      </c>
      <c r="I246" s="13" t="n"/>
      <c r="J246" s="14" t="inlineStr">
        <is>
          <t>https://doufu.co.uk</t>
        </is>
      </c>
      <c r="K246" s="13" t="inlineStr">
        <is>
          <t>Paul Street 3, London</t>
        </is>
      </c>
      <c r="L246" s="13" t="inlineStr">
        <is>
          <t>EC2A 4JJ</t>
        </is>
      </c>
      <c r="M246" s="13" t="inlineStr">
        <is>
          <t>Old St - Moreland Primary School</t>
        </is>
      </c>
      <c r="N246" s="13" t="n">
        <v>19</v>
      </c>
      <c r="O246" s="15">
        <f>IFERROR(INDEX(Venues!$C$2:$C$10,MATCH(M246,Venues!$A$2:$A$10,0)),"Not checked")</f>
        <v/>
      </c>
      <c r="P246" s="15">
        <f>IFERROR(INDEX(Venues!$D$2:$D$10,MATCH(M246,Venues!$A$2:$A$10,0)),0)</f>
        <v/>
      </c>
      <c r="Q246" s="42">
        <f>IFERROR(INDEX(Venues!$E$2:$E$10,MATCH(M246,Venues!$A$2:$A$10,0)),"")</f>
        <v/>
      </c>
      <c r="R246" s="15">
        <f>IF(P246&gt;0,"Yes","No")</f>
        <v/>
      </c>
      <c r="S246" s="13" t="inlineStr">
        <is>
          <t>Old St - Moreland Primary School</t>
        </is>
      </c>
      <c r="T246" s="42">
        <f>IFERROR(INDEX(Venues!$E$2:$E$10,MATCH(S246,Venues!$A$2:$A$10,0)),"")</f>
        <v/>
      </c>
      <c r="U246" s="15">
        <f>IFERROR(INDEX(Venues!$F$2:$F$10,MATCH(S246,Venues!$A$2:$A$10,0)),"")</f>
        <v/>
      </c>
      <c r="V246" s="43">
        <f>IFERROR(INDEX(Venues!$H$2:$H$10,MATCH(S246,Venues!$A$2:$A$10,0)),"")</f>
        <v/>
      </c>
      <c r="W246" s="15">
        <f>IF('Pilot offer'!$C$24="Yes",'Pilot offer'!$C$3,S246)</f>
        <v/>
      </c>
      <c r="X246" s="42">
        <f>IF('Pilot offer'!$C$24="Yes",'Pilot offer'!$C$5+'Pilot offer'!$C$6,T246)</f>
        <v/>
      </c>
      <c r="Y246" s="15">
        <f>IF('Pilot offer'!$C$24="Yes",'Pilot offer'!$C$8,U246)</f>
        <v/>
      </c>
      <c r="Z246" s="43">
        <f>IF('Pilot offer'!$C$24="Yes",'Pilot offer'!$C$11,"")</f>
        <v/>
      </c>
      <c r="AA246" s="15">
        <f>IF(X246="","",W246&amp;" · "&amp;TEXT(X246,"ddd d mmm, hh:mm")&amp;" · "&amp;Y246&amp;IF(Z246&lt;&gt;""," · £"&amp;TEXT(Z246,"0.00")&amp;" per player"," · price TBC (cost £"&amp;TEXT(V246,"0.00")&amp;" pp)"))</f>
        <v/>
      </c>
      <c r="AD246" s="44" t="n"/>
    </row>
    <row r="247">
      <c r="A247" s="13" t="n">
        <v>245</v>
      </c>
      <c r="B247" s="13" t="inlineStr">
        <is>
          <t>2 · EC2A Shoreditch</t>
        </is>
      </c>
      <c r="C247" s="13" t="inlineStr">
        <is>
          <t>Office &amp; professional</t>
        </is>
      </c>
      <c r="D247" s="13" t="inlineStr">
        <is>
          <t>Corporate</t>
        </is>
      </c>
      <c r="E247" s="13" t="inlineStr">
        <is>
          <t>Amplify</t>
        </is>
      </c>
      <c r="F247" s="13" t="inlineStr">
        <is>
          <t>advertising_agency</t>
        </is>
      </c>
      <c r="G247" s="13" t="inlineStr">
        <is>
          <t>hello@weareamplify.com</t>
        </is>
      </c>
      <c r="H247" s="13" t="inlineStr">
        <is>
          <t>general</t>
        </is>
      </c>
      <c r="I247" s="13" t="inlineStr">
        <is>
          <t>+44 20 7382 6222</t>
        </is>
      </c>
      <c r="J247" s="14" t="inlineStr">
        <is>
          <t>https://www.weareamplify.com/</t>
        </is>
      </c>
      <c r="K247" s="13" t="inlineStr">
        <is>
          <t>27 Paul Street, London</t>
        </is>
      </c>
      <c r="L247" s="13" t="inlineStr">
        <is>
          <t>EC2A 4JU</t>
        </is>
      </c>
      <c r="M247" s="13" t="inlineStr">
        <is>
          <t>Old St - Moreland Primary School</t>
        </is>
      </c>
      <c r="N247" s="13" t="n">
        <v>18</v>
      </c>
      <c r="O247" s="15">
        <f>IFERROR(INDEX(Venues!$C$2:$C$10,MATCH(M247,Venues!$A$2:$A$10,0)),"Not checked")</f>
        <v/>
      </c>
      <c r="P247" s="15">
        <f>IFERROR(INDEX(Venues!$D$2:$D$10,MATCH(M247,Venues!$A$2:$A$10,0)),0)</f>
        <v/>
      </c>
      <c r="Q247" s="42">
        <f>IFERROR(INDEX(Venues!$E$2:$E$10,MATCH(M247,Venues!$A$2:$A$10,0)),"")</f>
        <v/>
      </c>
      <c r="R247" s="15">
        <f>IF(P247&gt;0,"Yes","No")</f>
        <v/>
      </c>
      <c r="S247" s="13" t="inlineStr">
        <is>
          <t>Old St - Moreland Primary School</t>
        </is>
      </c>
      <c r="T247" s="42">
        <f>IFERROR(INDEX(Venues!$E$2:$E$10,MATCH(S247,Venues!$A$2:$A$10,0)),"")</f>
        <v/>
      </c>
      <c r="U247" s="15">
        <f>IFERROR(INDEX(Venues!$F$2:$F$10,MATCH(S247,Venues!$A$2:$A$10,0)),"")</f>
        <v/>
      </c>
      <c r="V247" s="43">
        <f>IFERROR(INDEX(Venues!$H$2:$H$10,MATCH(S247,Venues!$A$2:$A$10,0)),"")</f>
        <v/>
      </c>
      <c r="W247" s="15">
        <f>IF('Pilot offer'!$C$24="Yes",'Pilot offer'!$C$3,S247)</f>
        <v/>
      </c>
      <c r="X247" s="42">
        <f>IF('Pilot offer'!$C$24="Yes",'Pilot offer'!$C$5+'Pilot offer'!$C$6,T247)</f>
        <v/>
      </c>
      <c r="Y247" s="15">
        <f>IF('Pilot offer'!$C$24="Yes",'Pilot offer'!$C$8,U247)</f>
        <v/>
      </c>
      <c r="Z247" s="43">
        <f>IF('Pilot offer'!$C$24="Yes",'Pilot offer'!$C$11,"")</f>
        <v/>
      </c>
      <c r="AA247" s="15">
        <f>IF(X247="","",W247&amp;" · "&amp;TEXT(X247,"ddd d mmm, hh:mm")&amp;" · "&amp;Y247&amp;IF(Z247&lt;&gt;""," · £"&amp;TEXT(Z247,"0.00")&amp;" per player"," · price TBC (cost £"&amp;TEXT(V247,"0.00")&amp;" pp)"))</f>
        <v/>
      </c>
      <c r="AD247" s="44" t="n"/>
    </row>
    <row r="248">
      <c r="A248" s="13" t="n">
        <v>246</v>
      </c>
      <c r="B248" s="13" t="inlineStr">
        <is>
          <t>2 · EC2A Shoreditch</t>
        </is>
      </c>
      <c r="C248" s="13" t="inlineStr">
        <is>
          <t>Office &amp; professional</t>
        </is>
      </c>
      <c r="D248" s="13" t="inlineStr">
        <is>
          <t>Corporate</t>
        </is>
      </c>
      <c r="E248" s="13" t="inlineStr">
        <is>
          <t>Seed Marketing</t>
        </is>
      </c>
      <c r="F248" s="13" t="inlineStr">
        <is>
          <t>service</t>
        </is>
      </c>
      <c r="G248" s="13" t="inlineStr">
        <is>
          <t>hello@seedmarketingagency.com</t>
        </is>
      </c>
      <c r="H248" s="13" t="inlineStr">
        <is>
          <t>general</t>
        </is>
      </c>
      <c r="I248" s="13" t="inlineStr">
        <is>
          <t>+44 20 7382 6222</t>
        </is>
      </c>
      <c r="J248" s="14" t="inlineStr">
        <is>
          <t>http://www.seedmarketingagency.com/</t>
        </is>
      </c>
      <c r="K248" s="13" t="inlineStr">
        <is>
          <t>27 Paul St, London EC2A 4JU, UK</t>
        </is>
      </c>
      <c r="L248" s="13" t="inlineStr">
        <is>
          <t>EC2A 4JU</t>
        </is>
      </c>
      <c r="M248" s="13" t="inlineStr">
        <is>
          <t>Old St - Moreland Primary School</t>
        </is>
      </c>
      <c r="N248" s="13" t="n">
        <v>18</v>
      </c>
      <c r="O248" s="15">
        <f>IFERROR(INDEX(Venues!$C$2:$C$10,MATCH(M248,Venues!$A$2:$A$10,0)),"Not checked")</f>
        <v/>
      </c>
      <c r="P248" s="15">
        <f>IFERROR(INDEX(Venues!$D$2:$D$10,MATCH(M248,Venues!$A$2:$A$10,0)),0)</f>
        <v/>
      </c>
      <c r="Q248" s="42">
        <f>IFERROR(INDEX(Venues!$E$2:$E$10,MATCH(M248,Venues!$A$2:$A$10,0)),"")</f>
        <v/>
      </c>
      <c r="R248" s="15">
        <f>IF(P248&gt;0,"Yes","No")</f>
        <v/>
      </c>
      <c r="S248" s="13" t="inlineStr">
        <is>
          <t>Old St - Moreland Primary School</t>
        </is>
      </c>
      <c r="T248" s="42">
        <f>IFERROR(INDEX(Venues!$E$2:$E$10,MATCH(S248,Venues!$A$2:$A$10,0)),"")</f>
        <v/>
      </c>
      <c r="U248" s="15">
        <f>IFERROR(INDEX(Venues!$F$2:$F$10,MATCH(S248,Venues!$A$2:$A$10,0)),"")</f>
        <v/>
      </c>
      <c r="V248" s="43">
        <f>IFERROR(INDEX(Venues!$H$2:$H$10,MATCH(S248,Venues!$A$2:$A$10,0)),"")</f>
        <v/>
      </c>
      <c r="W248" s="15">
        <f>IF('Pilot offer'!$C$24="Yes",'Pilot offer'!$C$3,S248)</f>
        <v/>
      </c>
      <c r="X248" s="42">
        <f>IF('Pilot offer'!$C$24="Yes",'Pilot offer'!$C$5+'Pilot offer'!$C$6,T248)</f>
        <v/>
      </c>
      <c r="Y248" s="15">
        <f>IF('Pilot offer'!$C$24="Yes",'Pilot offer'!$C$8,U248)</f>
        <v/>
      </c>
      <c r="Z248" s="43">
        <f>IF('Pilot offer'!$C$24="Yes",'Pilot offer'!$C$11,"")</f>
        <v/>
      </c>
      <c r="AA248" s="15">
        <f>IF(X248="","",W248&amp;" · "&amp;TEXT(X248,"ddd d mmm, hh:mm")&amp;" · "&amp;Y248&amp;IF(Z248&lt;&gt;""," · £"&amp;TEXT(Z248,"0.00")&amp;" per player"," · price TBC (cost £"&amp;TEXT(V248,"0.00")&amp;" pp)"))</f>
        <v/>
      </c>
      <c r="AD248" s="44" t="n"/>
    </row>
    <row r="249">
      <c r="A249" s="13" t="n">
        <v>247</v>
      </c>
      <c r="B249" s="13" t="inlineStr">
        <is>
          <t>2 · EC2A Shoreditch</t>
        </is>
      </c>
      <c r="C249" s="13" t="inlineStr">
        <is>
          <t>Hospitality</t>
        </is>
      </c>
      <c r="D249" s="13" t="inlineStr">
        <is>
          <t>Local businesses</t>
        </is>
      </c>
      <c r="E249" s="13" t="inlineStr">
        <is>
          <t>Shoreditch Townhouse</t>
        </is>
      </c>
      <c r="F249" s="13" t="inlineStr">
        <is>
          <t>amenity: nightclub</t>
        </is>
      </c>
      <c r="G249" s="13" t="inlineStr">
        <is>
          <t>knockknock@shoreditchtownhouse.co.uk</t>
        </is>
      </c>
      <c r="H249" s="13" t="inlineStr">
        <is>
          <t>person_or_other</t>
        </is>
      </c>
      <c r="I249" s="13" t="inlineStr">
        <is>
          <t>+44 20 7920 9378</t>
        </is>
      </c>
      <c r="J249" s="14" t="inlineStr">
        <is>
          <t>https://www.shoreditchtownhouse.com/</t>
        </is>
      </c>
      <c r="K249" s="13" t="inlineStr">
        <is>
          <t>Paul Street 25, London</t>
        </is>
      </c>
      <c r="L249" s="13" t="inlineStr">
        <is>
          <t>EC2A 4JU</t>
        </is>
      </c>
      <c r="M249" s="13" t="inlineStr">
        <is>
          <t>Old St - Moreland Primary School</t>
        </is>
      </c>
      <c r="N249" s="13" t="n">
        <v>18</v>
      </c>
      <c r="O249" s="15">
        <f>IFERROR(INDEX(Venues!$C$2:$C$10,MATCH(M249,Venues!$A$2:$A$10,0)),"Not checked")</f>
        <v/>
      </c>
      <c r="P249" s="15">
        <f>IFERROR(INDEX(Venues!$D$2:$D$10,MATCH(M249,Venues!$A$2:$A$10,0)),0)</f>
        <v/>
      </c>
      <c r="Q249" s="42">
        <f>IFERROR(INDEX(Venues!$E$2:$E$10,MATCH(M249,Venues!$A$2:$A$10,0)),"")</f>
        <v/>
      </c>
      <c r="R249" s="15">
        <f>IF(P249&gt;0,"Yes","No")</f>
        <v/>
      </c>
      <c r="S249" s="13" t="inlineStr">
        <is>
          <t>Old St - Moreland Primary School</t>
        </is>
      </c>
      <c r="T249" s="42">
        <f>IFERROR(INDEX(Venues!$E$2:$E$10,MATCH(S249,Venues!$A$2:$A$10,0)),"")</f>
        <v/>
      </c>
      <c r="U249" s="15">
        <f>IFERROR(INDEX(Venues!$F$2:$F$10,MATCH(S249,Venues!$A$2:$A$10,0)),"")</f>
        <v/>
      </c>
      <c r="V249" s="43">
        <f>IFERROR(INDEX(Venues!$H$2:$H$10,MATCH(S249,Venues!$A$2:$A$10,0)),"")</f>
        <v/>
      </c>
      <c r="W249" s="15">
        <f>IF('Pilot offer'!$C$24="Yes",'Pilot offer'!$C$3,S249)</f>
        <v/>
      </c>
      <c r="X249" s="42">
        <f>IF('Pilot offer'!$C$24="Yes",'Pilot offer'!$C$5+'Pilot offer'!$C$6,T249)</f>
        <v/>
      </c>
      <c r="Y249" s="15">
        <f>IF('Pilot offer'!$C$24="Yes",'Pilot offer'!$C$8,U249)</f>
        <v/>
      </c>
      <c r="Z249" s="43">
        <f>IF('Pilot offer'!$C$24="Yes",'Pilot offer'!$C$11,"")</f>
        <v/>
      </c>
      <c r="AA249" s="15">
        <f>IF(X249="","",W249&amp;" · "&amp;TEXT(X249,"ddd d mmm, hh:mm")&amp;" · "&amp;Y249&amp;IF(Z249&lt;&gt;""," · £"&amp;TEXT(Z249,"0.00")&amp;" per player"," · price TBC (cost £"&amp;TEXT(V249,"0.00")&amp;" pp)"))</f>
        <v/>
      </c>
      <c r="AD249" s="44" t="n"/>
    </row>
    <row r="250">
      <c r="A250" s="13" t="n">
        <v>248</v>
      </c>
      <c r="B250" s="13" t="inlineStr">
        <is>
          <t>2 · EC2A Shoreditch</t>
        </is>
      </c>
      <c r="C250" s="13" t="inlineStr">
        <is>
          <t>Office &amp; professional</t>
        </is>
      </c>
      <c r="D250" s="13" t="inlineStr">
        <is>
          <t>Corporate</t>
        </is>
      </c>
      <c r="E250" s="13" t="inlineStr">
        <is>
          <t>mkodo</t>
        </is>
      </c>
      <c r="F250" s="13" t="inlineStr">
        <is>
          <t>it</t>
        </is>
      </c>
      <c r="G250" s="13" t="inlineStr">
        <is>
          <t>reception@mkodo.com</t>
        </is>
      </c>
      <c r="H250" s="13" t="inlineStr">
        <is>
          <t>openstreetmap_tag</t>
        </is>
      </c>
      <c r="I250" s="13" t="n"/>
      <c r="J250" s="14" t="inlineStr">
        <is>
          <t>https://www.mkodo.com</t>
        </is>
      </c>
      <c r="K250" s="13" t="inlineStr">
        <is>
          <t>27 Paul Street, London</t>
        </is>
      </c>
      <c r="L250" s="13" t="inlineStr">
        <is>
          <t>EC2A 4JU</t>
        </is>
      </c>
      <c r="M250" s="13" t="inlineStr">
        <is>
          <t>Old St - Moreland Primary School</t>
        </is>
      </c>
      <c r="N250" s="13" t="n">
        <v>18</v>
      </c>
      <c r="O250" s="15">
        <f>IFERROR(INDEX(Venues!$C$2:$C$10,MATCH(M250,Venues!$A$2:$A$10,0)),"Not checked")</f>
        <v/>
      </c>
      <c r="P250" s="15">
        <f>IFERROR(INDEX(Venues!$D$2:$D$10,MATCH(M250,Venues!$A$2:$A$10,0)),0)</f>
        <v/>
      </c>
      <c r="Q250" s="42">
        <f>IFERROR(INDEX(Venues!$E$2:$E$10,MATCH(M250,Venues!$A$2:$A$10,0)),"")</f>
        <v/>
      </c>
      <c r="R250" s="15">
        <f>IF(P250&gt;0,"Yes","No")</f>
        <v/>
      </c>
      <c r="S250" s="13" t="inlineStr">
        <is>
          <t>Old St - Moreland Primary School</t>
        </is>
      </c>
      <c r="T250" s="42">
        <f>IFERROR(INDEX(Venues!$E$2:$E$10,MATCH(S250,Venues!$A$2:$A$10,0)),"")</f>
        <v/>
      </c>
      <c r="U250" s="15">
        <f>IFERROR(INDEX(Venues!$F$2:$F$10,MATCH(S250,Venues!$A$2:$A$10,0)),"")</f>
        <v/>
      </c>
      <c r="V250" s="43">
        <f>IFERROR(INDEX(Venues!$H$2:$H$10,MATCH(S250,Venues!$A$2:$A$10,0)),"")</f>
        <v/>
      </c>
      <c r="W250" s="15">
        <f>IF('Pilot offer'!$C$24="Yes",'Pilot offer'!$C$3,S250)</f>
        <v/>
      </c>
      <c r="X250" s="42">
        <f>IF('Pilot offer'!$C$24="Yes",'Pilot offer'!$C$5+'Pilot offer'!$C$6,T250)</f>
        <v/>
      </c>
      <c r="Y250" s="15">
        <f>IF('Pilot offer'!$C$24="Yes",'Pilot offer'!$C$8,U250)</f>
        <v/>
      </c>
      <c r="Z250" s="43">
        <f>IF('Pilot offer'!$C$24="Yes",'Pilot offer'!$C$11,"")</f>
        <v/>
      </c>
      <c r="AA250" s="15">
        <f>IF(X250="","",W250&amp;" · "&amp;TEXT(X250,"ddd d mmm, hh:mm")&amp;" · "&amp;Y250&amp;IF(Z250&lt;&gt;""," · £"&amp;TEXT(Z250,"0.00")&amp;" per player"," · price TBC (cost £"&amp;TEXT(V250,"0.00")&amp;" pp)"))</f>
        <v/>
      </c>
      <c r="AD250" s="44" t="n"/>
    </row>
    <row r="251">
      <c r="A251" s="13" t="n">
        <v>249</v>
      </c>
      <c r="B251" s="13" t="inlineStr">
        <is>
          <t>2 · EC2A Shoreditch</t>
        </is>
      </c>
      <c r="C251" s="13" t="inlineStr">
        <is>
          <t>Hospitality</t>
        </is>
      </c>
      <c r="D251" s="13" t="inlineStr">
        <is>
          <t>Local businesses</t>
        </is>
      </c>
      <c r="E251" s="13" t="inlineStr">
        <is>
          <t>The Fox</t>
        </is>
      </c>
      <c r="F251" s="13" t="inlineStr">
        <is>
          <t>amenity: pub</t>
        </is>
      </c>
      <c r="G251" s="13" t="inlineStr">
        <is>
          <t>info@thefoxpublichouse.co.uk</t>
        </is>
      </c>
      <c r="H251" s="13" t="inlineStr">
        <is>
          <t>general</t>
        </is>
      </c>
      <c r="I251" s="13" t="inlineStr">
        <is>
          <t>+44 20 7729 5708</t>
        </is>
      </c>
      <c r="J251" s="14" t="inlineStr">
        <is>
          <t>https://www.thefoxpublichouse.co.uk/</t>
        </is>
      </c>
      <c r="K251" s="13" t="inlineStr">
        <is>
          <t>Paul Street 28-30, London</t>
        </is>
      </c>
      <c r="L251" s="13" t="inlineStr">
        <is>
          <t>EC2A 4LB</t>
        </is>
      </c>
      <c r="M251" s="13" t="inlineStr">
        <is>
          <t>Shoreditch Rooftop</t>
        </is>
      </c>
      <c r="N251" s="13" t="n">
        <v>20</v>
      </c>
      <c r="O251" s="15">
        <f>IFERROR(INDEX(Venues!$C$2:$C$10,MATCH(M251,Venues!$A$2:$A$10,0)),"Not checked")</f>
        <v/>
      </c>
      <c r="P251" s="15">
        <f>IFERROR(INDEX(Venues!$D$2:$D$10,MATCH(M251,Venues!$A$2:$A$10,0)),0)</f>
        <v/>
      </c>
      <c r="Q251" s="42">
        <f>IFERROR(INDEX(Venues!$E$2:$E$10,MATCH(M251,Venues!$A$2:$A$10,0)),"")</f>
        <v/>
      </c>
      <c r="R251" s="15">
        <f>IF(P251&gt;0,"Yes","No")</f>
        <v/>
      </c>
      <c r="S251" s="13" t="inlineStr">
        <is>
          <t>Shoreditch Rooftop</t>
        </is>
      </c>
      <c r="T251" s="42">
        <f>IFERROR(INDEX(Venues!$E$2:$E$10,MATCH(S251,Venues!$A$2:$A$10,0)),"")</f>
        <v/>
      </c>
      <c r="U251" s="15">
        <f>IFERROR(INDEX(Venues!$F$2:$F$10,MATCH(S251,Venues!$A$2:$A$10,0)),"")</f>
        <v/>
      </c>
      <c r="V251" s="43">
        <f>IFERROR(INDEX(Venues!$H$2:$H$10,MATCH(S251,Venues!$A$2:$A$10,0)),"")</f>
        <v/>
      </c>
      <c r="W251" s="15">
        <f>IF('Pilot offer'!$C$24="Yes",'Pilot offer'!$C$3,S251)</f>
        <v/>
      </c>
      <c r="X251" s="42">
        <f>IF('Pilot offer'!$C$24="Yes",'Pilot offer'!$C$5+'Pilot offer'!$C$6,T251)</f>
        <v/>
      </c>
      <c r="Y251" s="15">
        <f>IF('Pilot offer'!$C$24="Yes",'Pilot offer'!$C$8,U251)</f>
        <v/>
      </c>
      <c r="Z251" s="43">
        <f>IF('Pilot offer'!$C$24="Yes",'Pilot offer'!$C$11,"")</f>
        <v/>
      </c>
      <c r="AA251" s="15">
        <f>IF(X251="","",W251&amp;" · "&amp;TEXT(X251,"ddd d mmm, hh:mm")&amp;" · "&amp;Y251&amp;IF(Z251&lt;&gt;""," · £"&amp;TEXT(Z251,"0.00")&amp;" per player"," · price TBC (cost £"&amp;TEXT(V251,"0.00")&amp;" pp)"))</f>
        <v/>
      </c>
      <c r="AD251" s="44" t="n"/>
    </row>
    <row r="252">
      <c r="A252" s="13" t="n">
        <v>250</v>
      </c>
      <c r="B252" s="13" t="inlineStr">
        <is>
          <t>2 · EC2A Shoreditch</t>
        </is>
      </c>
      <c r="C252" s="13" t="inlineStr">
        <is>
          <t>Office &amp; professional</t>
        </is>
      </c>
      <c r="D252" s="13" t="inlineStr">
        <is>
          <t>Corporate</t>
        </is>
      </c>
      <c r="E252" s="13" t="inlineStr">
        <is>
          <t>Convergent Technology</t>
        </is>
      </c>
      <c r="F252" s="13" t="inlineStr">
        <is>
          <t>consultant</t>
        </is>
      </c>
      <c r="G252" s="13" t="inlineStr">
        <is>
          <t>hello@convergenttechnology.com</t>
        </is>
      </c>
      <c r="H252" s="13" t="inlineStr">
        <is>
          <t>general</t>
        </is>
      </c>
      <c r="I252" s="13" t="inlineStr">
        <is>
          <t>+44 20 3890 3000</t>
        </is>
      </c>
      <c r="J252" s="14" t="inlineStr">
        <is>
          <t>http://www.convergenttechnology.com/</t>
        </is>
      </c>
      <c r="K252" s="13" t="inlineStr">
        <is>
          <t>Unit 25, 112 Tabernacle St, London EC2A 4LE, UK</t>
        </is>
      </c>
      <c r="L252" s="13" t="inlineStr">
        <is>
          <t>EC2A 4LE</t>
        </is>
      </c>
      <c r="M252" s="13" t="inlineStr">
        <is>
          <t>Old St - Moreland Primary School</t>
        </is>
      </c>
      <c r="N252" s="13" t="n">
        <v>17</v>
      </c>
      <c r="O252" s="15">
        <f>IFERROR(INDEX(Venues!$C$2:$C$10,MATCH(M252,Venues!$A$2:$A$10,0)),"Not checked")</f>
        <v/>
      </c>
      <c r="P252" s="15">
        <f>IFERROR(INDEX(Venues!$D$2:$D$10,MATCH(M252,Venues!$A$2:$A$10,0)),0)</f>
        <v/>
      </c>
      <c r="Q252" s="42">
        <f>IFERROR(INDEX(Venues!$E$2:$E$10,MATCH(M252,Venues!$A$2:$A$10,0)),"")</f>
        <v/>
      </c>
      <c r="R252" s="15">
        <f>IF(P252&gt;0,"Yes","No")</f>
        <v/>
      </c>
      <c r="S252" s="13" t="inlineStr">
        <is>
          <t>Old St - Moreland Primary School</t>
        </is>
      </c>
      <c r="T252" s="42">
        <f>IFERROR(INDEX(Venues!$E$2:$E$10,MATCH(S252,Venues!$A$2:$A$10,0)),"")</f>
        <v/>
      </c>
      <c r="U252" s="15">
        <f>IFERROR(INDEX(Venues!$F$2:$F$10,MATCH(S252,Venues!$A$2:$A$10,0)),"")</f>
        <v/>
      </c>
      <c r="V252" s="43">
        <f>IFERROR(INDEX(Venues!$H$2:$H$10,MATCH(S252,Venues!$A$2:$A$10,0)),"")</f>
        <v/>
      </c>
      <c r="W252" s="15">
        <f>IF('Pilot offer'!$C$24="Yes",'Pilot offer'!$C$3,S252)</f>
        <v/>
      </c>
      <c r="X252" s="42">
        <f>IF('Pilot offer'!$C$24="Yes",'Pilot offer'!$C$5+'Pilot offer'!$C$6,T252)</f>
        <v/>
      </c>
      <c r="Y252" s="15">
        <f>IF('Pilot offer'!$C$24="Yes",'Pilot offer'!$C$8,U252)</f>
        <v/>
      </c>
      <c r="Z252" s="43">
        <f>IF('Pilot offer'!$C$24="Yes",'Pilot offer'!$C$11,"")</f>
        <v/>
      </c>
      <c r="AA252" s="15">
        <f>IF(X252="","",W252&amp;" · "&amp;TEXT(X252,"ddd d mmm, hh:mm")&amp;" · "&amp;Y252&amp;IF(Z252&lt;&gt;""," · £"&amp;TEXT(Z252,"0.00")&amp;" per player"," · price TBC (cost £"&amp;TEXT(V252,"0.00")&amp;" pp)"))</f>
        <v/>
      </c>
      <c r="AD252" s="44" t="n"/>
    </row>
    <row r="253">
      <c r="A253" s="13" t="n">
        <v>251</v>
      </c>
      <c r="B253" s="13" t="inlineStr">
        <is>
          <t>2 · EC2A Shoreditch</t>
        </is>
      </c>
      <c r="C253" s="13" t="inlineStr">
        <is>
          <t>Coworking / shared office</t>
        </is>
      </c>
      <c r="D253" s="13" t="inlineStr">
        <is>
          <t>Corporate</t>
        </is>
      </c>
      <c r="E253" s="13" t="inlineStr">
        <is>
          <t>Canvas Offices - Luke Street</t>
        </is>
      </c>
      <c r="F253" s="13" t="inlineStr">
        <is>
          <t>coworking_space</t>
        </is>
      </c>
      <c r="G253" s="13" t="inlineStr">
        <is>
          <t>info@canvasoffices.co.uk</t>
        </is>
      </c>
      <c r="H253" s="13" t="inlineStr">
        <is>
          <t>general</t>
        </is>
      </c>
      <c r="I253" s="13" t="inlineStr">
        <is>
          <t>+44 20 3900 0565</t>
        </is>
      </c>
      <c r="J253" s="14" t="inlineStr">
        <is>
          <t>https://canvasoffices.co.uk/office-building/luke-street-old-street-london-offices</t>
        </is>
      </c>
      <c r="K253" s="13" t="inlineStr">
        <is>
          <t>35 Luke St, London EC2A 4LH, UK</t>
        </is>
      </c>
      <c r="L253" s="13" t="inlineStr">
        <is>
          <t>EC2A 4LH</t>
        </is>
      </c>
      <c r="M253" s="13" t="inlineStr">
        <is>
          <t>Old St - Moreland Primary School</t>
        </is>
      </c>
      <c r="N253" s="13" t="n">
        <v>19</v>
      </c>
      <c r="O253" s="15">
        <f>IFERROR(INDEX(Venues!$C$2:$C$10,MATCH(M253,Venues!$A$2:$A$10,0)),"Not checked")</f>
        <v/>
      </c>
      <c r="P253" s="15">
        <f>IFERROR(INDEX(Venues!$D$2:$D$10,MATCH(M253,Venues!$A$2:$A$10,0)),0)</f>
        <v/>
      </c>
      <c r="Q253" s="42">
        <f>IFERROR(INDEX(Venues!$E$2:$E$10,MATCH(M253,Venues!$A$2:$A$10,0)),"")</f>
        <v/>
      </c>
      <c r="R253" s="15">
        <f>IF(P253&gt;0,"Yes","No")</f>
        <v/>
      </c>
      <c r="S253" s="13" t="inlineStr">
        <is>
          <t>Old St - Moreland Primary School</t>
        </is>
      </c>
      <c r="T253" s="42">
        <f>IFERROR(INDEX(Venues!$E$2:$E$10,MATCH(S253,Venues!$A$2:$A$10,0)),"")</f>
        <v/>
      </c>
      <c r="U253" s="15">
        <f>IFERROR(INDEX(Venues!$F$2:$F$10,MATCH(S253,Venues!$A$2:$A$10,0)),"")</f>
        <v/>
      </c>
      <c r="V253" s="43">
        <f>IFERROR(INDEX(Venues!$H$2:$H$10,MATCH(S253,Venues!$A$2:$A$10,0)),"")</f>
        <v/>
      </c>
      <c r="W253" s="15">
        <f>IF('Pilot offer'!$C$24="Yes",'Pilot offer'!$C$3,S253)</f>
        <v/>
      </c>
      <c r="X253" s="42">
        <f>IF('Pilot offer'!$C$24="Yes",'Pilot offer'!$C$5+'Pilot offer'!$C$6,T253)</f>
        <v/>
      </c>
      <c r="Y253" s="15">
        <f>IF('Pilot offer'!$C$24="Yes",'Pilot offer'!$C$8,U253)</f>
        <v/>
      </c>
      <c r="Z253" s="43">
        <f>IF('Pilot offer'!$C$24="Yes",'Pilot offer'!$C$11,"")</f>
        <v/>
      </c>
      <c r="AA253" s="15">
        <f>IF(X253="","",W253&amp;" · "&amp;TEXT(X253,"ddd d mmm, hh:mm")&amp;" · "&amp;Y253&amp;IF(Z253&lt;&gt;""," · £"&amp;TEXT(Z253,"0.00")&amp;" per player"," · price TBC (cost £"&amp;TEXT(V253,"0.00")&amp;" pp)"))</f>
        <v/>
      </c>
      <c r="AD253" s="44" t="n"/>
    </row>
    <row r="254">
      <c r="A254" s="13" t="n">
        <v>252</v>
      </c>
      <c r="B254" s="13" t="inlineStr">
        <is>
          <t>2 · EC2A Shoreditch</t>
        </is>
      </c>
      <c r="C254" s="13" t="inlineStr">
        <is>
          <t>Office &amp; professional</t>
        </is>
      </c>
      <c r="D254" s="13" t="inlineStr">
        <is>
          <t>Corporate</t>
        </is>
      </c>
      <c r="E254" s="13" t="inlineStr">
        <is>
          <t>AS Tech Sol Ltd</t>
        </is>
      </c>
      <c r="F254" s="13" t="inlineStr">
        <is>
          <t>consultant</t>
        </is>
      </c>
      <c r="G254" s="13" t="inlineStr">
        <is>
          <t>enquiries@astechsol.co.uk</t>
        </is>
      </c>
      <c r="H254" s="13" t="inlineStr">
        <is>
          <t>general</t>
        </is>
      </c>
      <c r="I254" s="13" t="inlineStr">
        <is>
          <t>+44 7346 814958</t>
        </is>
      </c>
      <c r="J254" s="14" t="inlineStr">
        <is>
          <t>https://astechsol.co.uk/</t>
        </is>
      </c>
      <c r="K254" s="13" t="inlineStr">
        <is>
          <t>66 Paul St, London EC2A 4NA, UK</t>
        </is>
      </c>
      <c r="L254" s="13" t="inlineStr">
        <is>
          <t>EC2A 4NA</t>
        </is>
      </c>
      <c r="M254" s="13" t="inlineStr">
        <is>
          <t>Shoreditch Rooftop</t>
        </is>
      </c>
      <c r="N254" s="13" t="n">
        <v>17</v>
      </c>
      <c r="O254" s="15">
        <f>IFERROR(INDEX(Venues!$C$2:$C$10,MATCH(M254,Venues!$A$2:$A$10,0)),"Not checked")</f>
        <v/>
      </c>
      <c r="P254" s="15">
        <f>IFERROR(INDEX(Venues!$D$2:$D$10,MATCH(M254,Venues!$A$2:$A$10,0)),0)</f>
        <v/>
      </c>
      <c r="Q254" s="42">
        <f>IFERROR(INDEX(Venues!$E$2:$E$10,MATCH(M254,Venues!$A$2:$A$10,0)),"")</f>
        <v/>
      </c>
      <c r="R254" s="15">
        <f>IF(P254&gt;0,"Yes","No")</f>
        <v/>
      </c>
      <c r="S254" s="13" t="inlineStr">
        <is>
          <t>Shoreditch Rooftop</t>
        </is>
      </c>
      <c r="T254" s="42">
        <f>IFERROR(INDEX(Venues!$E$2:$E$10,MATCH(S254,Venues!$A$2:$A$10,0)),"")</f>
        <v/>
      </c>
      <c r="U254" s="15">
        <f>IFERROR(INDEX(Venues!$F$2:$F$10,MATCH(S254,Venues!$A$2:$A$10,0)),"")</f>
        <v/>
      </c>
      <c r="V254" s="43">
        <f>IFERROR(INDEX(Venues!$H$2:$H$10,MATCH(S254,Venues!$A$2:$A$10,0)),"")</f>
        <v/>
      </c>
      <c r="W254" s="15">
        <f>IF('Pilot offer'!$C$24="Yes",'Pilot offer'!$C$3,S254)</f>
        <v/>
      </c>
      <c r="X254" s="42">
        <f>IF('Pilot offer'!$C$24="Yes",'Pilot offer'!$C$5+'Pilot offer'!$C$6,T254)</f>
        <v/>
      </c>
      <c r="Y254" s="15">
        <f>IF('Pilot offer'!$C$24="Yes",'Pilot offer'!$C$8,U254)</f>
        <v/>
      </c>
      <c r="Z254" s="43">
        <f>IF('Pilot offer'!$C$24="Yes",'Pilot offer'!$C$11,"")</f>
        <v/>
      </c>
      <c r="AA254" s="15">
        <f>IF(X254="","",W254&amp;" · "&amp;TEXT(X254,"ddd d mmm, hh:mm")&amp;" · "&amp;Y254&amp;IF(Z254&lt;&gt;""," · £"&amp;TEXT(Z254,"0.00")&amp;" per player"," · price TBC (cost £"&amp;TEXT(V254,"0.00")&amp;" pp)"))</f>
        <v/>
      </c>
      <c r="AD254" s="44" t="n"/>
    </row>
    <row r="255">
      <c r="A255" s="13" t="n">
        <v>253</v>
      </c>
      <c r="B255" s="13" t="inlineStr">
        <is>
          <t>2 · EC2A Shoreditch</t>
        </is>
      </c>
      <c r="C255" s="13" t="inlineStr">
        <is>
          <t>Office &amp; professional</t>
        </is>
      </c>
      <c r="D255" s="13" t="inlineStr">
        <is>
          <t>Corporate</t>
        </is>
      </c>
      <c r="E255" s="13" t="inlineStr">
        <is>
          <t>Cloud9 Tech LTD</t>
        </is>
      </c>
      <c r="F255" s="13" t="inlineStr">
        <is>
          <t>service</t>
        </is>
      </c>
      <c r="G255" s="13" t="inlineStr">
        <is>
          <t>hello@cloud9tech.co.uk</t>
        </is>
      </c>
      <c r="H255" s="13" t="inlineStr">
        <is>
          <t>general</t>
        </is>
      </c>
      <c r="I255" s="13" t="inlineStr">
        <is>
          <t>+44 20 3310 6282</t>
        </is>
      </c>
      <c r="J255" s="14" t="inlineStr">
        <is>
          <t>https://www.cloud9tech.co.uk/</t>
        </is>
      </c>
      <c r="K255" s="13" t="inlineStr">
        <is>
          <t>66 Paul St, London EC2A 4NA, UK</t>
        </is>
      </c>
      <c r="L255" s="13" t="inlineStr">
        <is>
          <t>EC2A 4NA</t>
        </is>
      </c>
      <c r="M255" s="13" t="inlineStr">
        <is>
          <t>Shoreditch Rooftop</t>
        </is>
      </c>
      <c r="N255" s="13" t="n">
        <v>17</v>
      </c>
      <c r="O255" s="15">
        <f>IFERROR(INDEX(Venues!$C$2:$C$10,MATCH(M255,Venues!$A$2:$A$10,0)),"Not checked")</f>
        <v/>
      </c>
      <c r="P255" s="15">
        <f>IFERROR(INDEX(Venues!$D$2:$D$10,MATCH(M255,Venues!$A$2:$A$10,0)),0)</f>
        <v/>
      </c>
      <c r="Q255" s="42">
        <f>IFERROR(INDEX(Venues!$E$2:$E$10,MATCH(M255,Venues!$A$2:$A$10,0)),"")</f>
        <v/>
      </c>
      <c r="R255" s="15">
        <f>IF(P255&gt;0,"Yes","No")</f>
        <v/>
      </c>
      <c r="S255" s="13" t="inlineStr">
        <is>
          <t>Shoreditch Rooftop</t>
        </is>
      </c>
      <c r="T255" s="42">
        <f>IFERROR(INDEX(Venues!$E$2:$E$10,MATCH(S255,Venues!$A$2:$A$10,0)),"")</f>
        <v/>
      </c>
      <c r="U255" s="15">
        <f>IFERROR(INDEX(Venues!$F$2:$F$10,MATCH(S255,Venues!$A$2:$A$10,0)),"")</f>
        <v/>
      </c>
      <c r="V255" s="43">
        <f>IFERROR(INDEX(Venues!$H$2:$H$10,MATCH(S255,Venues!$A$2:$A$10,0)),"")</f>
        <v/>
      </c>
      <c r="W255" s="15">
        <f>IF('Pilot offer'!$C$24="Yes",'Pilot offer'!$C$3,S255)</f>
        <v/>
      </c>
      <c r="X255" s="42">
        <f>IF('Pilot offer'!$C$24="Yes",'Pilot offer'!$C$5+'Pilot offer'!$C$6,T255)</f>
        <v/>
      </c>
      <c r="Y255" s="15">
        <f>IF('Pilot offer'!$C$24="Yes",'Pilot offer'!$C$8,U255)</f>
        <v/>
      </c>
      <c r="Z255" s="43">
        <f>IF('Pilot offer'!$C$24="Yes",'Pilot offer'!$C$11,"")</f>
        <v/>
      </c>
      <c r="AA255" s="15">
        <f>IF(X255="","",W255&amp;" · "&amp;TEXT(X255,"ddd d mmm, hh:mm")&amp;" · "&amp;Y255&amp;IF(Z255&lt;&gt;""," · £"&amp;TEXT(Z255,"0.00")&amp;" per player"," · price TBC (cost £"&amp;TEXT(V255,"0.00")&amp;" pp)"))</f>
        <v/>
      </c>
      <c r="AD255" s="44" t="n"/>
    </row>
    <row r="256">
      <c r="A256" s="13" t="n">
        <v>254</v>
      </c>
      <c r="B256" s="13" t="inlineStr">
        <is>
          <t>2 · EC2A Shoreditch</t>
        </is>
      </c>
      <c r="C256" s="13" t="inlineStr">
        <is>
          <t>Office &amp; professional</t>
        </is>
      </c>
      <c r="D256" s="13" t="inlineStr">
        <is>
          <t>Corporate</t>
        </is>
      </c>
      <c r="E256" s="13" t="inlineStr">
        <is>
          <t>A&amp;Z Accountancy Ltd</t>
        </is>
      </c>
      <c r="F256" s="13" t="inlineStr">
        <is>
          <t>finance</t>
        </is>
      </c>
      <c r="G256" s="13" t="inlineStr">
        <is>
          <t>enquiries@azaccountancyltd.co.uk</t>
        </is>
      </c>
      <c r="H256" s="13" t="inlineStr">
        <is>
          <t>general</t>
        </is>
      </c>
      <c r="I256" s="13" t="inlineStr">
        <is>
          <t>+44 20 3871 3177</t>
        </is>
      </c>
      <c r="J256" s="14" t="inlineStr">
        <is>
          <t>http://azaccountancyltd.co.uk/</t>
        </is>
      </c>
      <c r="K256" s="13" t="inlineStr">
        <is>
          <t>3rd, 86-90 Paul St, London EC2A 4NE, UK</t>
        </is>
      </c>
      <c r="L256" s="13" t="inlineStr">
        <is>
          <t>EC2A 4NE</t>
        </is>
      </c>
      <c r="M256" s="13" t="inlineStr">
        <is>
          <t>Shoreditch Rooftop</t>
        </is>
      </c>
      <c r="N256" s="13" t="n">
        <v>16</v>
      </c>
      <c r="O256" s="15">
        <f>IFERROR(INDEX(Venues!$C$2:$C$10,MATCH(M256,Venues!$A$2:$A$10,0)),"Not checked")</f>
        <v/>
      </c>
      <c r="P256" s="15">
        <f>IFERROR(INDEX(Venues!$D$2:$D$10,MATCH(M256,Venues!$A$2:$A$10,0)),0)</f>
        <v/>
      </c>
      <c r="Q256" s="42">
        <f>IFERROR(INDEX(Venues!$E$2:$E$10,MATCH(M256,Venues!$A$2:$A$10,0)),"")</f>
        <v/>
      </c>
      <c r="R256" s="15">
        <f>IF(P256&gt;0,"Yes","No")</f>
        <v/>
      </c>
      <c r="S256" s="13" t="inlineStr">
        <is>
          <t>Shoreditch Rooftop</t>
        </is>
      </c>
      <c r="T256" s="42">
        <f>IFERROR(INDEX(Venues!$E$2:$E$10,MATCH(S256,Venues!$A$2:$A$10,0)),"")</f>
        <v/>
      </c>
      <c r="U256" s="15">
        <f>IFERROR(INDEX(Venues!$F$2:$F$10,MATCH(S256,Venues!$A$2:$A$10,0)),"")</f>
        <v/>
      </c>
      <c r="V256" s="43">
        <f>IFERROR(INDEX(Venues!$H$2:$H$10,MATCH(S256,Venues!$A$2:$A$10,0)),"")</f>
        <v/>
      </c>
      <c r="W256" s="15">
        <f>IF('Pilot offer'!$C$24="Yes",'Pilot offer'!$C$3,S256)</f>
        <v/>
      </c>
      <c r="X256" s="42">
        <f>IF('Pilot offer'!$C$24="Yes",'Pilot offer'!$C$5+'Pilot offer'!$C$6,T256)</f>
        <v/>
      </c>
      <c r="Y256" s="15">
        <f>IF('Pilot offer'!$C$24="Yes",'Pilot offer'!$C$8,U256)</f>
        <v/>
      </c>
      <c r="Z256" s="43">
        <f>IF('Pilot offer'!$C$24="Yes",'Pilot offer'!$C$11,"")</f>
        <v/>
      </c>
      <c r="AA256" s="15">
        <f>IF(X256="","",W256&amp;" · "&amp;TEXT(X256,"ddd d mmm, hh:mm")&amp;" · "&amp;Y256&amp;IF(Z256&lt;&gt;""," · £"&amp;TEXT(Z256,"0.00")&amp;" per player"," · price TBC (cost £"&amp;TEXT(V256,"0.00")&amp;" pp)"))</f>
        <v/>
      </c>
      <c r="AD256" s="44" t="n"/>
    </row>
    <row r="257">
      <c r="A257" s="13" t="n">
        <v>255</v>
      </c>
      <c r="B257" s="13" t="inlineStr">
        <is>
          <t>2 · EC2A Shoreditch</t>
        </is>
      </c>
      <c r="C257" s="13" t="inlineStr">
        <is>
          <t>Office &amp; professional</t>
        </is>
      </c>
      <c r="D257" s="13" t="inlineStr">
        <is>
          <t>Corporate</t>
        </is>
      </c>
      <c r="E257" s="13" t="inlineStr">
        <is>
          <t>ARLA CONSULTING LTD</t>
        </is>
      </c>
      <c r="F257" s="13" t="inlineStr">
        <is>
          <t>consultant</t>
        </is>
      </c>
      <c r="G257" s="13" t="inlineStr">
        <is>
          <t>info@arlaconsultingltd.com</t>
        </is>
      </c>
      <c r="H257" s="13" t="inlineStr">
        <is>
          <t>general</t>
        </is>
      </c>
      <c r="I257" s="13" t="n"/>
      <c r="J257" s="14" t="inlineStr">
        <is>
          <t>http://arlaconsultingltd.com/</t>
        </is>
      </c>
      <c r="K257" s="13" t="inlineStr">
        <is>
          <t>86-90 Paul St, London EC2A 4NE, UK</t>
        </is>
      </c>
      <c r="L257" s="13" t="inlineStr">
        <is>
          <t>EC2A 4NE</t>
        </is>
      </c>
      <c r="M257" s="13" t="inlineStr">
        <is>
          <t>Shoreditch Rooftop</t>
        </is>
      </c>
      <c r="N257" s="13" t="n">
        <v>16</v>
      </c>
      <c r="O257" s="15">
        <f>IFERROR(INDEX(Venues!$C$2:$C$10,MATCH(M257,Venues!$A$2:$A$10,0)),"Not checked")</f>
        <v/>
      </c>
      <c r="P257" s="15">
        <f>IFERROR(INDEX(Venues!$D$2:$D$10,MATCH(M257,Venues!$A$2:$A$10,0)),0)</f>
        <v/>
      </c>
      <c r="Q257" s="42">
        <f>IFERROR(INDEX(Venues!$E$2:$E$10,MATCH(M257,Venues!$A$2:$A$10,0)),"")</f>
        <v/>
      </c>
      <c r="R257" s="15">
        <f>IF(P257&gt;0,"Yes","No")</f>
        <v/>
      </c>
      <c r="S257" s="13" t="inlineStr">
        <is>
          <t>Shoreditch Rooftop</t>
        </is>
      </c>
      <c r="T257" s="42">
        <f>IFERROR(INDEX(Venues!$E$2:$E$10,MATCH(S257,Venues!$A$2:$A$10,0)),"")</f>
        <v/>
      </c>
      <c r="U257" s="15">
        <f>IFERROR(INDEX(Venues!$F$2:$F$10,MATCH(S257,Venues!$A$2:$A$10,0)),"")</f>
        <v/>
      </c>
      <c r="V257" s="43">
        <f>IFERROR(INDEX(Venues!$H$2:$H$10,MATCH(S257,Venues!$A$2:$A$10,0)),"")</f>
        <v/>
      </c>
      <c r="W257" s="15">
        <f>IF('Pilot offer'!$C$24="Yes",'Pilot offer'!$C$3,S257)</f>
        <v/>
      </c>
      <c r="X257" s="42">
        <f>IF('Pilot offer'!$C$24="Yes",'Pilot offer'!$C$5+'Pilot offer'!$C$6,T257)</f>
        <v/>
      </c>
      <c r="Y257" s="15">
        <f>IF('Pilot offer'!$C$24="Yes",'Pilot offer'!$C$8,U257)</f>
        <v/>
      </c>
      <c r="Z257" s="43">
        <f>IF('Pilot offer'!$C$24="Yes",'Pilot offer'!$C$11,"")</f>
        <v/>
      </c>
      <c r="AA257" s="15">
        <f>IF(X257="","",W257&amp;" · "&amp;TEXT(X257,"ddd d mmm, hh:mm")&amp;" · "&amp;Y257&amp;IF(Z257&lt;&gt;""," · £"&amp;TEXT(Z257,"0.00")&amp;" per player"," · price TBC (cost £"&amp;TEXT(V257,"0.00")&amp;" pp)"))</f>
        <v/>
      </c>
      <c r="AD257" s="44" t="n"/>
    </row>
    <row r="258">
      <c r="A258" s="13" t="n">
        <v>256</v>
      </c>
      <c r="B258" s="13" t="inlineStr">
        <is>
          <t>2 · EC2A Shoreditch</t>
        </is>
      </c>
      <c r="C258" s="13" t="inlineStr">
        <is>
          <t>Office &amp; professional</t>
        </is>
      </c>
      <c r="D258" s="13" t="inlineStr">
        <is>
          <t>Corporate</t>
        </is>
      </c>
      <c r="E258" s="13" t="inlineStr">
        <is>
          <t>Altitude Dental Marketing Agency</t>
        </is>
      </c>
      <c r="F258" s="13" t="inlineStr">
        <is>
          <t>service</t>
        </is>
      </c>
      <c r="G258" s="13" t="inlineStr">
        <is>
          <t>info@altitudelifestyle.com</t>
        </is>
      </c>
      <c r="H258" s="13" t="inlineStr">
        <is>
          <t>general</t>
        </is>
      </c>
      <c r="I258" s="13" t="inlineStr">
        <is>
          <t>+44 20 4538 8355</t>
        </is>
      </c>
      <c r="J258" s="14" t="inlineStr">
        <is>
          <t>https://altitudelifestyle.com/</t>
        </is>
      </c>
      <c r="K258" s="13" t="inlineStr">
        <is>
          <t>86-90 Paul St, London EC2A 4NE, UK</t>
        </is>
      </c>
      <c r="L258" s="13" t="inlineStr">
        <is>
          <t>EC2A 4NE</t>
        </is>
      </c>
      <c r="M258" s="13" t="inlineStr">
        <is>
          <t>Shoreditch Rooftop</t>
        </is>
      </c>
      <c r="N258" s="13" t="n">
        <v>16</v>
      </c>
      <c r="O258" s="15">
        <f>IFERROR(INDEX(Venues!$C$2:$C$10,MATCH(M258,Venues!$A$2:$A$10,0)),"Not checked")</f>
        <v/>
      </c>
      <c r="P258" s="15">
        <f>IFERROR(INDEX(Venues!$D$2:$D$10,MATCH(M258,Venues!$A$2:$A$10,0)),0)</f>
        <v/>
      </c>
      <c r="Q258" s="42">
        <f>IFERROR(INDEX(Venues!$E$2:$E$10,MATCH(M258,Venues!$A$2:$A$10,0)),"")</f>
        <v/>
      </c>
      <c r="R258" s="15">
        <f>IF(P258&gt;0,"Yes","No")</f>
        <v/>
      </c>
      <c r="S258" s="13" t="inlineStr">
        <is>
          <t>Shoreditch Rooftop</t>
        </is>
      </c>
      <c r="T258" s="42">
        <f>IFERROR(INDEX(Venues!$E$2:$E$10,MATCH(S258,Venues!$A$2:$A$10,0)),"")</f>
        <v/>
      </c>
      <c r="U258" s="15">
        <f>IFERROR(INDEX(Venues!$F$2:$F$10,MATCH(S258,Venues!$A$2:$A$10,0)),"")</f>
        <v/>
      </c>
      <c r="V258" s="43">
        <f>IFERROR(INDEX(Venues!$H$2:$H$10,MATCH(S258,Venues!$A$2:$A$10,0)),"")</f>
        <v/>
      </c>
      <c r="W258" s="15">
        <f>IF('Pilot offer'!$C$24="Yes",'Pilot offer'!$C$3,S258)</f>
        <v/>
      </c>
      <c r="X258" s="42">
        <f>IF('Pilot offer'!$C$24="Yes",'Pilot offer'!$C$5+'Pilot offer'!$C$6,T258)</f>
        <v/>
      </c>
      <c r="Y258" s="15">
        <f>IF('Pilot offer'!$C$24="Yes",'Pilot offer'!$C$8,U258)</f>
        <v/>
      </c>
      <c r="Z258" s="43">
        <f>IF('Pilot offer'!$C$24="Yes",'Pilot offer'!$C$11,"")</f>
        <v/>
      </c>
      <c r="AA258" s="15">
        <f>IF(X258="","",W258&amp;" · "&amp;TEXT(X258,"ddd d mmm, hh:mm")&amp;" · "&amp;Y258&amp;IF(Z258&lt;&gt;""," · £"&amp;TEXT(Z258,"0.00")&amp;" per player"," · price TBC (cost £"&amp;TEXT(V258,"0.00")&amp;" pp)"))</f>
        <v/>
      </c>
      <c r="AD258" s="44" t="n"/>
    </row>
    <row r="259">
      <c r="A259" s="13" t="n">
        <v>257</v>
      </c>
      <c r="B259" s="13" t="inlineStr">
        <is>
          <t>2 · EC2A Shoreditch</t>
        </is>
      </c>
      <c r="C259" s="13" t="inlineStr">
        <is>
          <t>Office &amp; professional</t>
        </is>
      </c>
      <c r="D259" s="13" t="inlineStr">
        <is>
          <t>Corporate</t>
        </is>
      </c>
      <c r="E259" s="13" t="inlineStr">
        <is>
          <t>Alto Accounting</t>
        </is>
      </c>
      <c r="F259" s="13" t="inlineStr">
        <is>
          <t>finance</t>
        </is>
      </c>
      <c r="G259" s="13" t="inlineStr">
        <is>
          <t>hello@alto-accounting.com</t>
        </is>
      </c>
      <c r="H259" s="13" t="inlineStr">
        <is>
          <t>general</t>
        </is>
      </c>
      <c r="I259" s="13" t="n"/>
      <c r="J259" s="14" t="inlineStr">
        <is>
          <t>https://www.alto-accounting.com/</t>
        </is>
      </c>
      <c r="K259" s="13" t="inlineStr">
        <is>
          <t>66 Paul St, London EC2A 4NE, UK</t>
        </is>
      </c>
      <c r="L259" s="13" t="inlineStr">
        <is>
          <t>EC2A 4NE</t>
        </is>
      </c>
      <c r="M259" s="13" t="inlineStr">
        <is>
          <t>Shoreditch Rooftop</t>
        </is>
      </c>
      <c r="N259" s="13" t="n">
        <v>17</v>
      </c>
      <c r="O259" s="15">
        <f>IFERROR(INDEX(Venues!$C$2:$C$10,MATCH(M259,Venues!$A$2:$A$10,0)),"Not checked")</f>
        <v/>
      </c>
      <c r="P259" s="15">
        <f>IFERROR(INDEX(Venues!$D$2:$D$10,MATCH(M259,Venues!$A$2:$A$10,0)),0)</f>
        <v/>
      </c>
      <c r="Q259" s="42">
        <f>IFERROR(INDEX(Venues!$E$2:$E$10,MATCH(M259,Venues!$A$2:$A$10,0)),"")</f>
        <v/>
      </c>
      <c r="R259" s="15">
        <f>IF(P259&gt;0,"Yes","No")</f>
        <v/>
      </c>
      <c r="S259" s="13" t="inlineStr">
        <is>
          <t>Shoreditch Rooftop</t>
        </is>
      </c>
      <c r="T259" s="42">
        <f>IFERROR(INDEX(Venues!$E$2:$E$10,MATCH(S259,Venues!$A$2:$A$10,0)),"")</f>
        <v/>
      </c>
      <c r="U259" s="15">
        <f>IFERROR(INDEX(Venues!$F$2:$F$10,MATCH(S259,Venues!$A$2:$A$10,0)),"")</f>
        <v/>
      </c>
      <c r="V259" s="43">
        <f>IFERROR(INDEX(Venues!$H$2:$H$10,MATCH(S259,Venues!$A$2:$A$10,0)),"")</f>
        <v/>
      </c>
      <c r="W259" s="15">
        <f>IF('Pilot offer'!$C$24="Yes",'Pilot offer'!$C$3,S259)</f>
        <v/>
      </c>
      <c r="X259" s="42">
        <f>IF('Pilot offer'!$C$24="Yes",'Pilot offer'!$C$5+'Pilot offer'!$C$6,T259)</f>
        <v/>
      </c>
      <c r="Y259" s="15">
        <f>IF('Pilot offer'!$C$24="Yes",'Pilot offer'!$C$8,U259)</f>
        <v/>
      </c>
      <c r="Z259" s="43">
        <f>IF('Pilot offer'!$C$24="Yes",'Pilot offer'!$C$11,"")</f>
        <v/>
      </c>
      <c r="AA259" s="15">
        <f>IF(X259="","",W259&amp;" · "&amp;TEXT(X259,"ddd d mmm, hh:mm")&amp;" · "&amp;Y259&amp;IF(Z259&lt;&gt;""," · £"&amp;TEXT(Z259,"0.00")&amp;" per player"," · price TBC (cost £"&amp;TEXT(V259,"0.00")&amp;" pp)"))</f>
        <v/>
      </c>
      <c r="AD259" s="44" t="n"/>
    </row>
    <row r="260">
      <c r="A260" s="13" t="n">
        <v>258</v>
      </c>
      <c r="B260" s="13" t="inlineStr">
        <is>
          <t>2 · EC2A Shoreditch</t>
        </is>
      </c>
      <c r="C260" s="13" t="inlineStr">
        <is>
          <t>Office &amp; professional</t>
        </is>
      </c>
      <c r="D260" s="13" t="inlineStr">
        <is>
          <t>Corporate</t>
        </is>
      </c>
      <c r="E260" s="13" t="inlineStr">
        <is>
          <t>Bambridge Accountants</t>
        </is>
      </c>
      <c r="F260" s="13" t="inlineStr">
        <is>
          <t>finance</t>
        </is>
      </c>
      <c r="G260" s="13" t="inlineStr">
        <is>
          <t>info@bambridgeaccountants.com</t>
        </is>
      </c>
      <c r="H260" s="13" t="inlineStr">
        <is>
          <t>general</t>
        </is>
      </c>
      <c r="I260" s="13" t="inlineStr">
        <is>
          <t>+44 20 3829 3492</t>
        </is>
      </c>
      <c r="J260" s="14" t="inlineStr">
        <is>
          <t>http://www.bambridgeaccountants.com/</t>
        </is>
      </c>
      <c r="K260" s="13" t="inlineStr">
        <is>
          <t>3rd Floor, BAMBRIDGE ACCOUNTANTS LTD, 86-90 Paul St, London EC2A 4NE, UK</t>
        </is>
      </c>
      <c r="L260" s="13" t="inlineStr">
        <is>
          <t>EC2A 4NE</t>
        </is>
      </c>
      <c r="M260" s="13" t="inlineStr">
        <is>
          <t>Shoreditch Rooftop</t>
        </is>
      </c>
      <c r="N260" s="13" t="n">
        <v>16</v>
      </c>
      <c r="O260" s="15">
        <f>IFERROR(INDEX(Venues!$C$2:$C$10,MATCH(M260,Venues!$A$2:$A$10,0)),"Not checked")</f>
        <v/>
      </c>
      <c r="P260" s="15">
        <f>IFERROR(INDEX(Venues!$D$2:$D$10,MATCH(M260,Venues!$A$2:$A$10,0)),0)</f>
        <v/>
      </c>
      <c r="Q260" s="42">
        <f>IFERROR(INDEX(Venues!$E$2:$E$10,MATCH(M260,Venues!$A$2:$A$10,0)),"")</f>
        <v/>
      </c>
      <c r="R260" s="15">
        <f>IF(P260&gt;0,"Yes","No")</f>
        <v/>
      </c>
      <c r="S260" s="13" t="inlineStr">
        <is>
          <t>Shoreditch Rooftop</t>
        </is>
      </c>
      <c r="T260" s="42">
        <f>IFERROR(INDEX(Venues!$E$2:$E$10,MATCH(S260,Venues!$A$2:$A$10,0)),"")</f>
        <v/>
      </c>
      <c r="U260" s="15">
        <f>IFERROR(INDEX(Venues!$F$2:$F$10,MATCH(S260,Venues!$A$2:$A$10,0)),"")</f>
        <v/>
      </c>
      <c r="V260" s="43">
        <f>IFERROR(INDEX(Venues!$H$2:$H$10,MATCH(S260,Venues!$A$2:$A$10,0)),"")</f>
        <v/>
      </c>
      <c r="W260" s="15">
        <f>IF('Pilot offer'!$C$24="Yes",'Pilot offer'!$C$3,S260)</f>
        <v/>
      </c>
      <c r="X260" s="42">
        <f>IF('Pilot offer'!$C$24="Yes",'Pilot offer'!$C$5+'Pilot offer'!$C$6,T260)</f>
        <v/>
      </c>
      <c r="Y260" s="15">
        <f>IF('Pilot offer'!$C$24="Yes",'Pilot offer'!$C$8,U260)</f>
        <v/>
      </c>
      <c r="Z260" s="43">
        <f>IF('Pilot offer'!$C$24="Yes",'Pilot offer'!$C$11,"")</f>
        <v/>
      </c>
      <c r="AA260" s="15">
        <f>IF(X260="","",W260&amp;" · "&amp;TEXT(X260,"ddd d mmm, hh:mm")&amp;" · "&amp;Y260&amp;IF(Z260&lt;&gt;""," · £"&amp;TEXT(Z260,"0.00")&amp;" per player"," · price TBC (cost £"&amp;TEXT(V260,"0.00")&amp;" pp)"))</f>
        <v/>
      </c>
      <c r="AD260" s="44" t="n"/>
    </row>
    <row r="261">
      <c r="A261" s="13" t="n">
        <v>259</v>
      </c>
      <c r="B261" s="13" t="inlineStr">
        <is>
          <t>2 · EC2A Shoreditch</t>
        </is>
      </c>
      <c r="C261" s="13" t="inlineStr">
        <is>
          <t>Office &amp; professional</t>
        </is>
      </c>
      <c r="D261" s="13" t="inlineStr">
        <is>
          <t>Corporate</t>
        </is>
      </c>
      <c r="E261" s="13" t="inlineStr">
        <is>
          <t>Barnes &amp; Scott</t>
        </is>
      </c>
      <c r="F261" s="13" t="inlineStr">
        <is>
          <t>finance</t>
        </is>
      </c>
      <c r="G261" s="13" t="inlineStr">
        <is>
          <t>team@barnesandscott.com</t>
        </is>
      </c>
      <c r="H261" s="13" t="inlineStr">
        <is>
          <t>general</t>
        </is>
      </c>
      <c r="I261" s="13" t="inlineStr">
        <is>
          <t>+44 20 7989 0717</t>
        </is>
      </c>
      <c r="J261" s="14" t="inlineStr">
        <is>
          <t>http://www.barnesandscott.com/</t>
        </is>
      </c>
      <c r="K261" s="13" t="inlineStr">
        <is>
          <t>89-90 Paul St, London EC2A 4NE, UK</t>
        </is>
      </c>
      <c r="L261" s="13" t="inlineStr">
        <is>
          <t>EC2A 4NE</t>
        </is>
      </c>
      <c r="M261" s="13" t="inlineStr">
        <is>
          <t>Shoreditch Rooftop</t>
        </is>
      </c>
      <c r="N261" s="13" t="n">
        <v>16</v>
      </c>
      <c r="O261" s="15">
        <f>IFERROR(INDEX(Venues!$C$2:$C$10,MATCH(M261,Venues!$A$2:$A$10,0)),"Not checked")</f>
        <v/>
      </c>
      <c r="P261" s="15">
        <f>IFERROR(INDEX(Venues!$D$2:$D$10,MATCH(M261,Venues!$A$2:$A$10,0)),0)</f>
        <v/>
      </c>
      <c r="Q261" s="42">
        <f>IFERROR(INDEX(Venues!$E$2:$E$10,MATCH(M261,Venues!$A$2:$A$10,0)),"")</f>
        <v/>
      </c>
      <c r="R261" s="15">
        <f>IF(P261&gt;0,"Yes","No")</f>
        <v/>
      </c>
      <c r="S261" s="13" t="inlineStr">
        <is>
          <t>Shoreditch Rooftop</t>
        </is>
      </c>
      <c r="T261" s="42">
        <f>IFERROR(INDEX(Venues!$E$2:$E$10,MATCH(S261,Venues!$A$2:$A$10,0)),"")</f>
        <v/>
      </c>
      <c r="U261" s="15">
        <f>IFERROR(INDEX(Venues!$F$2:$F$10,MATCH(S261,Venues!$A$2:$A$10,0)),"")</f>
        <v/>
      </c>
      <c r="V261" s="43">
        <f>IFERROR(INDEX(Venues!$H$2:$H$10,MATCH(S261,Venues!$A$2:$A$10,0)),"")</f>
        <v/>
      </c>
      <c r="W261" s="15">
        <f>IF('Pilot offer'!$C$24="Yes",'Pilot offer'!$C$3,S261)</f>
        <v/>
      </c>
      <c r="X261" s="42">
        <f>IF('Pilot offer'!$C$24="Yes",'Pilot offer'!$C$5+'Pilot offer'!$C$6,T261)</f>
        <v/>
      </c>
      <c r="Y261" s="15">
        <f>IF('Pilot offer'!$C$24="Yes",'Pilot offer'!$C$8,U261)</f>
        <v/>
      </c>
      <c r="Z261" s="43">
        <f>IF('Pilot offer'!$C$24="Yes",'Pilot offer'!$C$11,"")</f>
        <v/>
      </c>
      <c r="AA261" s="15">
        <f>IF(X261="","",W261&amp;" · "&amp;TEXT(X261,"ddd d mmm, hh:mm")&amp;" · "&amp;Y261&amp;IF(Z261&lt;&gt;""," · £"&amp;TEXT(Z261,"0.00")&amp;" per player"," · price TBC (cost £"&amp;TEXT(V261,"0.00")&amp;" pp)"))</f>
        <v/>
      </c>
      <c r="AD261" s="44" t="n"/>
    </row>
    <row r="262">
      <c r="A262" s="13" t="n">
        <v>260</v>
      </c>
      <c r="B262" s="13" t="inlineStr">
        <is>
          <t>2 · EC2A Shoreditch</t>
        </is>
      </c>
      <c r="C262" s="13" t="inlineStr">
        <is>
          <t>Office &amp; professional</t>
        </is>
      </c>
      <c r="D262" s="13" t="inlineStr">
        <is>
          <t>Corporate</t>
        </is>
      </c>
      <c r="E262" s="13" t="inlineStr">
        <is>
          <t>Bing Digital</t>
        </is>
      </c>
      <c r="F262" s="13" t="inlineStr">
        <is>
          <t>consultant</t>
        </is>
      </c>
      <c r="G262" s="13" t="inlineStr">
        <is>
          <t>hello@bingdigital.com</t>
        </is>
      </c>
      <c r="H262" s="13" t="inlineStr">
        <is>
          <t>general</t>
        </is>
      </c>
      <c r="I262" s="13" t="inlineStr">
        <is>
          <t>+44 20 8242 1954</t>
        </is>
      </c>
      <c r="J262" s="14" t="inlineStr">
        <is>
          <t>http://www.bingdigital.com/</t>
        </is>
      </c>
      <c r="K262" s="13" t="inlineStr">
        <is>
          <t>86-90 Paul St, London EC2A 4NE, UK</t>
        </is>
      </c>
      <c r="L262" s="13" t="inlineStr">
        <is>
          <t>EC2A 4NE</t>
        </is>
      </c>
      <c r="M262" s="13" t="inlineStr">
        <is>
          <t>Shoreditch Rooftop</t>
        </is>
      </c>
      <c r="N262" s="13" t="n">
        <v>16</v>
      </c>
      <c r="O262" s="15">
        <f>IFERROR(INDEX(Venues!$C$2:$C$10,MATCH(M262,Venues!$A$2:$A$10,0)),"Not checked")</f>
        <v/>
      </c>
      <c r="P262" s="15">
        <f>IFERROR(INDEX(Venues!$D$2:$D$10,MATCH(M262,Venues!$A$2:$A$10,0)),0)</f>
        <v/>
      </c>
      <c r="Q262" s="42">
        <f>IFERROR(INDEX(Venues!$E$2:$E$10,MATCH(M262,Venues!$A$2:$A$10,0)),"")</f>
        <v/>
      </c>
      <c r="R262" s="15">
        <f>IF(P262&gt;0,"Yes","No")</f>
        <v/>
      </c>
      <c r="S262" s="13" t="inlineStr">
        <is>
          <t>Shoreditch Rooftop</t>
        </is>
      </c>
      <c r="T262" s="42">
        <f>IFERROR(INDEX(Venues!$E$2:$E$10,MATCH(S262,Venues!$A$2:$A$10,0)),"")</f>
        <v/>
      </c>
      <c r="U262" s="15">
        <f>IFERROR(INDEX(Venues!$F$2:$F$10,MATCH(S262,Venues!$A$2:$A$10,0)),"")</f>
        <v/>
      </c>
      <c r="V262" s="43">
        <f>IFERROR(INDEX(Venues!$H$2:$H$10,MATCH(S262,Venues!$A$2:$A$10,0)),"")</f>
        <v/>
      </c>
      <c r="W262" s="15">
        <f>IF('Pilot offer'!$C$24="Yes",'Pilot offer'!$C$3,S262)</f>
        <v/>
      </c>
      <c r="X262" s="42">
        <f>IF('Pilot offer'!$C$24="Yes",'Pilot offer'!$C$5+'Pilot offer'!$C$6,T262)</f>
        <v/>
      </c>
      <c r="Y262" s="15">
        <f>IF('Pilot offer'!$C$24="Yes",'Pilot offer'!$C$8,U262)</f>
        <v/>
      </c>
      <c r="Z262" s="43">
        <f>IF('Pilot offer'!$C$24="Yes",'Pilot offer'!$C$11,"")</f>
        <v/>
      </c>
      <c r="AA262" s="15">
        <f>IF(X262="","",W262&amp;" · "&amp;TEXT(X262,"ddd d mmm, hh:mm")&amp;" · "&amp;Y262&amp;IF(Z262&lt;&gt;""," · £"&amp;TEXT(Z262,"0.00")&amp;" per player"," · price TBC (cost £"&amp;TEXT(V262,"0.00")&amp;" pp)"))</f>
        <v/>
      </c>
      <c r="AD262" s="44" t="n"/>
    </row>
    <row r="263">
      <c r="A263" s="13" t="n">
        <v>261</v>
      </c>
      <c r="B263" s="13" t="inlineStr">
        <is>
          <t>2 · EC2A Shoreditch</t>
        </is>
      </c>
      <c r="C263" s="13" t="inlineStr">
        <is>
          <t>Office &amp; professional</t>
        </is>
      </c>
      <c r="D263" s="13" t="inlineStr">
        <is>
          <t>Corporate</t>
        </is>
      </c>
      <c r="E263" s="13" t="inlineStr">
        <is>
          <t>Blazon Agency</t>
        </is>
      </c>
      <c r="F263" s="13" t="inlineStr">
        <is>
          <t>service</t>
        </is>
      </c>
      <c r="G263" s="13" t="inlineStr">
        <is>
          <t>hello@blazonagency.com</t>
        </is>
      </c>
      <c r="H263" s="13" t="inlineStr">
        <is>
          <t>general</t>
        </is>
      </c>
      <c r="I263" s="13" t="inlineStr">
        <is>
          <t>+44 20 3870 3280</t>
        </is>
      </c>
      <c r="J263" s="14" t="inlineStr">
        <is>
          <t>https://blazonagency.com/</t>
        </is>
      </c>
      <c r="K263" s="13" t="inlineStr">
        <is>
          <t>86-90 Paul St, London EC2A 4NE, UK</t>
        </is>
      </c>
      <c r="L263" s="13" t="inlineStr">
        <is>
          <t>EC2A 4NE</t>
        </is>
      </c>
      <c r="M263" s="13" t="inlineStr">
        <is>
          <t>Shoreditch Rooftop</t>
        </is>
      </c>
      <c r="N263" s="13" t="n">
        <v>16</v>
      </c>
      <c r="O263" s="15">
        <f>IFERROR(INDEX(Venues!$C$2:$C$10,MATCH(M263,Venues!$A$2:$A$10,0)),"Not checked")</f>
        <v/>
      </c>
      <c r="P263" s="15">
        <f>IFERROR(INDEX(Venues!$D$2:$D$10,MATCH(M263,Venues!$A$2:$A$10,0)),0)</f>
        <v/>
      </c>
      <c r="Q263" s="42">
        <f>IFERROR(INDEX(Venues!$E$2:$E$10,MATCH(M263,Venues!$A$2:$A$10,0)),"")</f>
        <v/>
      </c>
      <c r="R263" s="15">
        <f>IF(P263&gt;0,"Yes","No")</f>
        <v/>
      </c>
      <c r="S263" s="13" t="inlineStr">
        <is>
          <t>Shoreditch Rooftop</t>
        </is>
      </c>
      <c r="T263" s="42">
        <f>IFERROR(INDEX(Venues!$E$2:$E$10,MATCH(S263,Venues!$A$2:$A$10,0)),"")</f>
        <v/>
      </c>
      <c r="U263" s="15">
        <f>IFERROR(INDEX(Venues!$F$2:$F$10,MATCH(S263,Venues!$A$2:$A$10,0)),"")</f>
        <v/>
      </c>
      <c r="V263" s="43">
        <f>IFERROR(INDEX(Venues!$H$2:$H$10,MATCH(S263,Venues!$A$2:$A$10,0)),"")</f>
        <v/>
      </c>
      <c r="W263" s="15">
        <f>IF('Pilot offer'!$C$24="Yes",'Pilot offer'!$C$3,S263)</f>
        <v/>
      </c>
      <c r="X263" s="42">
        <f>IF('Pilot offer'!$C$24="Yes",'Pilot offer'!$C$5+'Pilot offer'!$C$6,T263)</f>
        <v/>
      </c>
      <c r="Y263" s="15">
        <f>IF('Pilot offer'!$C$24="Yes",'Pilot offer'!$C$8,U263)</f>
        <v/>
      </c>
      <c r="Z263" s="43">
        <f>IF('Pilot offer'!$C$24="Yes",'Pilot offer'!$C$11,"")</f>
        <v/>
      </c>
      <c r="AA263" s="15">
        <f>IF(X263="","",W263&amp;" · "&amp;TEXT(X263,"ddd d mmm, hh:mm")&amp;" · "&amp;Y263&amp;IF(Z263&lt;&gt;""," · £"&amp;TEXT(Z263,"0.00")&amp;" per player"," · price TBC (cost £"&amp;TEXT(V263,"0.00")&amp;" pp)"))</f>
        <v/>
      </c>
      <c r="AD263" s="44" t="n"/>
    </row>
    <row r="264">
      <c r="A264" s="13" t="n">
        <v>262</v>
      </c>
      <c r="B264" s="13" t="inlineStr">
        <is>
          <t>2 · EC2A Shoreditch</t>
        </is>
      </c>
      <c r="C264" s="13" t="inlineStr">
        <is>
          <t>Office &amp; professional</t>
        </is>
      </c>
      <c r="D264" s="13" t="inlineStr">
        <is>
          <t>Corporate</t>
        </is>
      </c>
      <c r="E264" s="13" t="inlineStr">
        <is>
          <t>Blokpoint</t>
        </is>
      </c>
      <c r="F264" s="13" t="inlineStr">
        <is>
          <t>advertising_agency</t>
        </is>
      </c>
      <c r="G264" s="13" t="inlineStr">
        <is>
          <t>team@blokpoint.com</t>
        </is>
      </c>
      <c r="H264" s="13" t="inlineStr">
        <is>
          <t>general</t>
        </is>
      </c>
      <c r="I264" s="13" t="inlineStr">
        <is>
          <t>+44 20 4515 0001</t>
        </is>
      </c>
      <c r="J264" s="14" t="inlineStr">
        <is>
          <t>https://blokpoint.com/</t>
        </is>
      </c>
      <c r="K264" s="13" t="inlineStr">
        <is>
          <t>86-90 Paul Street, London</t>
        </is>
      </c>
      <c r="L264" s="13" t="inlineStr">
        <is>
          <t>EC2A 4NE</t>
        </is>
      </c>
      <c r="M264" s="13" t="inlineStr">
        <is>
          <t>Shoreditch Rooftop</t>
        </is>
      </c>
      <c r="N264" s="13" t="n">
        <v>16</v>
      </c>
      <c r="O264" s="15">
        <f>IFERROR(INDEX(Venues!$C$2:$C$10,MATCH(M264,Venues!$A$2:$A$10,0)),"Not checked")</f>
        <v/>
      </c>
      <c r="P264" s="15">
        <f>IFERROR(INDEX(Venues!$D$2:$D$10,MATCH(M264,Venues!$A$2:$A$10,0)),0)</f>
        <v/>
      </c>
      <c r="Q264" s="42">
        <f>IFERROR(INDEX(Venues!$E$2:$E$10,MATCH(M264,Venues!$A$2:$A$10,0)),"")</f>
        <v/>
      </c>
      <c r="R264" s="15">
        <f>IF(P264&gt;0,"Yes","No")</f>
        <v/>
      </c>
      <c r="S264" s="13" t="inlineStr">
        <is>
          <t>Shoreditch Rooftop</t>
        </is>
      </c>
      <c r="T264" s="42">
        <f>IFERROR(INDEX(Venues!$E$2:$E$10,MATCH(S264,Venues!$A$2:$A$10,0)),"")</f>
        <v/>
      </c>
      <c r="U264" s="15">
        <f>IFERROR(INDEX(Venues!$F$2:$F$10,MATCH(S264,Venues!$A$2:$A$10,0)),"")</f>
        <v/>
      </c>
      <c r="V264" s="43">
        <f>IFERROR(INDEX(Venues!$H$2:$H$10,MATCH(S264,Venues!$A$2:$A$10,0)),"")</f>
        <v/>
      </c>
      <c r="W264" s="15">
        <f>IF('Pilot offer'!$C$24="Yes",'Pilot offer'!$C$3,S264)</f>
        <v/>
      </c>
      <c r="X264" s="42">
        <f>IF('Pilot offer'!$C$24="Yes",'Pilot offer'!$C$5+'Pilot offer'!$C$6,T264)</f>
        <v/>
      </c>
      <c r="Y264" s="15">
        <f>IF('Pilot offer'!$C$24="Yes",'Pilot offer'!$C$8,U264)</f>
        <v/>
      </c>
      <c r="Z264" s="43">
        <f>IF('Pilot offer'!$C$24="Yes",'Pilot offer'!$C$11,"")</f>
        <v/>
      </c>
      <c r="AA264" s="15">
        <f>IF(X264="","",W264&amp;" · "&amp;TEXT(X264,"ddd d mmm, hh:mm")&amp;" · "&amp;Y264&amp;IF(Z264&lt;&gt;""," · £"&amp;TEXT(Z264,"0.00")&amp;" per player"," · price TBC (cost £"&amp;TEXT(V264,"0.00")&amp;" pp)"))</f>
        <v/>
      </c>
      <c r="AD264" s="44" t="n"/>
    </row>
    <row r="265">
      <c r="A265" s="13" t="n">
        <v>263</v>
      </c>
      <c r="B265" s="13" t="inlineStr">
        <is>
          <t>2 · EC2A Shoreditch</t>
        </is>
      </c>
      <c r="C265" s="13" t="inlineStr">
        <is>
          <t>Office &amp; professional</t>
        </is>
      </c>
      <c r="D265" s="13" t="inlineStr">
        <is>
          <t>Corporate</t>
        </is>
      </c>
      <c r="E265" s="13" t="inlineStr">
        <is>
          <t>CBM Accounting Ltd</t>
        </is>
      </c>
      <c r="F265" s="13" t="inlineStr">
        <is>
          <t>finance</t>
        </is>
      </c>
      <c r="G265" s="13" t="inlineStr">
        <is>
          <t>contact@cbmaccounting.co.uk</t>
        </is>
      </c>
      <c r="H265" s="13" t="inlineStr">
        <is>
          <t>general</t>
        </is>
      </c>
      <c r="I265" s="13" t="inlineStr">
        <is>
          <t>+44 20 3002 0436</t>
        </is>
      </c>
      <c r="J265" s="14" t="inlineStr">
        <is>
          <t>http://www.cbmaccounting.co.uk/</t>
        </is>
      </c>
      <c r="K265" s="13" t="inlineStr">
        <is>
          <t>3rd floor, 86-90 Paul St, London EC2A 4NE, UK</t>
        </is>
      </c>
      <c r="L265" s="13" t="inlineStr">
        <is>
          <t>EC2A 4NE</t>
        </is>
      </c>
      <c r="M265" s="13" t="inlineStr">
        <is>
          <t>Shoreditch Rooftop</t>
        </is>
      </c>
      <c r="N265" s="13" t="n">
        <v>16</v>
      </c>
      <c r="O265" s="15">
        <f>IFERROR(INDEX(Venues!$C$2:$C$10,MATCH(M265,Venues!$A$2:$A$10,0)),"Not checked")</f>
        <v/>
      </c>
      <c r="P265" s="15">
        <f>IFERROR(INDEX(Venues!$D$2:$D$10,MATCH(M265,Venues!$A$2:$A$10,0)),0)</f>
        <v/>
      </c>
      <c r="Q265" s="42">
        <f>IFERROR(INDEX(Venues!$E$2:$E$10,MATCH(M265,Venues!$A$2:$A$10,0)),"")</f>
        <v/>
      </c>
      <c r="R265" s="15">
        <f>IF(P265&gt;0,"Yes","No")</f>
        <v/>
      </c>
      <c r="S265" s="13" t="inlineStr">
        <is>
          <t>Shoreditch Rooftop</t>
        </is>
      </c>
      <c r="T265" s="42">
        <f>IFERROR(INDEX(Venues!$E$2:$E$10,MATCH(S265,Venues!$A$2:$A$10,0)),"")</f>
        <v/>
      </c>
      <c r="U265" s="15">
        <f>IFERROR(INDEX(Venues!$F$2:$F$10,MATCH(S265,Venues!$A$2:$A$10,0)),"")</f>
        <v/>
      </c>
      <c r="V265" s="43">
        <f>IFERROR(INDEX(Venues!$H$2:$H$10,MATCH(S265,Venues!$A$2:$A$10,0)),"")</f>
        <v/>
      </c>
      <c r="W265" s="15">
        <f>IF('Pilot offer'!$C$24="Yes",'Pilot offer'!$C$3,S265)</f>
        <v/>
      </c>
      <c r="X265" s="42">
        <f>IF('Pilot offer'!$C$24="Yes",'Pilot offer'!$C$5+'Pilot offer'!$C$6,T265)</f>
        <v/>
      </c>
      <c r="Y265" s="15">
        <f>IF('Pilot offer'!$C$24="Yes",'Pilot offer'!$C$8,U265)</f>
        <v/>
      </c>
      <c r="Z265" s="43">
        <f>IF('Pilot offer'!$C$24="Yes",'Pilot offer'!$C$11,"")</f>
        <v/>
      </c>
      <c r="AA265" s="15">
        <f>IF(X265="","",W265&amp;" · "&amp;TEXT(X265,"ddd d mmm, hh:mm")&amp;" · "&amp;Y265&amp;IF(Z265&lt;&gt;""," · £"&amp;TEXT(Z265,"0.00")&amp;" per player"," · price TBC (cost £"&amp;TEXT(V265,"0.00")&amp;" pp)"))</f>
        <v/>
      </c>
      <c r="AD265" s="44" t="n"/>
    </row>
    <row r="266">
      <c r="A266" s="13" t="n">
        <v>264</v>
      </c>
      <c r="B266" s="13" t="inlineStr">
        <is>
          <t>2 · EC2A Shoreditch</t>
        </is>
      </c>
      <c r="C266" s="13" t="inlineStr">
        <is>
          <t>Office &amp; professional</t>
        </is>
      </c>
      <c r="D266" s="13" t="inlineStr">
        <is>
          <t>Corporate</t>
        </is>
      </c>
      <c r="E266" s="13" t="inlineStr">
        <is>
          <t>Clarity Consulting Associates Ltd</t>
        </is>
      </c>
      <c r="F266" s="13" t="inlineStr">
        <is>
          <t>consultant</t>
        </is>
      </c>
      <c r="G266" s="13" t="inlineStr">
        <is>
          <t>info@ccal.co.uk</t>
        </is>
      </c>
      <c r="H266" s="13" t="inlineStr">
        <is>
          <t>general</t>
        </is>
      </c>
      <c r="I266" s="13" t="inlineStr">
        <is>
          <t>+44 7395 047304</t>
        </is>
      </c>
      <c r="J266" s="14" t="inlineStr">
        <is>
          <t>https://www.ccal.co.uk/</t>
        </is>
      </c>
      <c r="K266" s="13" t="inlineStr">
        <is>
          <t>86-90 Paul St, London EC2A 4NE, UK</t>
        </is>
      </c>
      <c r="L266" s="13" t="inlineStr">
        <is>
          <t>EC2A 4NE</t>
        </is>
      </c>
      <c r="M266" s="13" t="inlineStr">
        <is>
          <t>Shoreditch Rooftop</t>
        </is>
      </c>
      <c r="N266" s="13" t="n">
        <v>16</v>
      </c>
      <c r="O266" s="15">
        <f>IFERROR(INDEX(Venues!$C$2:$C$10,MATCH(M266,Venues!$A$2:$A$10,0)),"Not checked")</f>
        <v/>
      </c>
      <c r="P266" s="15">
        <f>IFERROR(INDEX(Venues!$D$2:$D$10,MATCH(M266,Venues!$A$2:$A$10,0)),0)</f>
        <v/>
      </c>
      <c r="Q266" s="42">
        <f>IFERROR(INDEX(Venues!$E$2:$E$10,MATCH(M266,Venues!$A$2:$A$10,0)),"")</f>
        <v/>
      </c>
      <c r="R266" s="15">
        <f>IF(P266&gt;0,"Yes","No")</f>
        <v/>
      </c>
      <c r="S266" s="13" t="inlineStr">
        <is>
          <t>Shoreditch Rooftop</t>
        </is>
      </c>
      <c r="T266" s="42">
        <f>IFERROR(INDEX(Venues!$E$2:$E$10,MATCH(S266,Venues!$A$2:$A$10,0)),"")</f>
        <v/>
      </c>
      <c r="U266" s="15">
        <f>IFERROR(INDEX(Venues!$F$2:$F$10,MATCH(S266,Venues!$A$2:$A$10,0)),"")</f>
        <v/>
      </c>
      <c r="V266" s="43">
        <f>IFERROR(INDEX(Venues!$H$2:$H$10,MATCH(S266,Venues!$A$2:$A$10,0)),"")</f>
        <v/>
      </c>
      <c r="W266" s="15">
        <f>IF('Pilot offer'!$C$24="Yes",'Pilot offer'!$C$3,S266)</f>
        <v/>
      </c>
      <c r="X266" s="42">
        <f>IF('Pilot offer'!$C$24="Yes",'Pilot offer'!$C$5+'Pilot offer'!$C$6,T266)</f>
        <v/>
      </c>
      <c r="Y266" s="15">
        <f>IF('Pilot offer'!$C$24="Yes",'Pilot offer'!$C$8,U266)</f>
        <v/>
      </c>
      <c r="Z266" s="43">
        <f>IF('Pilot offer'!$C$24="Yes",'Pilot offer'!$C$11,"")</f>
        <v/>
      </c>
      <c r="AA266" s="15">
        <f>IF(X266="","",W266&amp;" · "&amp;TEXT(X266,"ddd d mmm, hh:mm")&amp;" · "&amp;Y266&amp;IF(Z266&lt;&gt;""," · £"&amp;TEXT(Z266,"0.00")&amp;" per player"," · price TBC (cost £"&amp;TEXT(V266,"0.00")&amp;" pp)"))</f>
        <v/>
      </c>
      <c r="AD266" s="44" t="n"/>
    </row>
    <row r="267">
      <c r="A267" s="13" t="n">
        <v>265</v>
      </c>
      <c r="B267" s="13" t="inlineStr">
        <is>
          <t>2 · EC2A Shoreditch</t>
        </is>
      </c>
      <c r="C267" s="13" t="inlineStr">
        <is>
          <t>Office &amp; professional</t>
        </is>
      </c>
      <c r="D267" s="13" t="inlineStr">
        <is>
          <t>Corporate</t>
        </is>
      </c>
      <c r="E267" s="13" t="inlineStr">
        <is>
          <t>Curious Brand</t>
        </is>
      </c>
      <c r="F267" s="13" t="inlineStr">
        <is>
          <t>consultant</t>
        </is>
      </c>
      <c r="G267" s="13" t="inlineStr">
        <is>
          <t>hello@curiousbrand.co.uk</t>
        </is>
      </c>
      <c r="H267" s="13" t="inlineStr">
        <is>
          <t>general</t>
        </is>
      </c>
      <c r="I267" s="13" t="inlineStr">
        <is>
          <t>+44 7498 677514</t>
        </is>
      </c>
      <c r="J267" s="14" t="inlineStr">
        <is>
          <t>https://www.curiousbrand.co.uk/</t>
        </is>
      </c>
      <c r="K267" s="13" t="inlineStr">
        <is>
          <t>86-90 Paul St, London EC2A 4NE, UK</t>
        </is>
      </c>
      <c r="L267" s="13" t="inlineStr">
        <is>
          <t>EC2A 4NE</t>
        </is>
      </c>
      <c r="M267" s="13" t="inlineStr">
        <is>
          <t>Shoreditch Rooftop</t>
        </is>
      </c>
      <c r="N267" s="13" t="n">
        <v>16</v>
      </c>
      <c r="O267" s="15">
        <f>IFERROR(INDEX(Venues!$C$2:$C$10,MATCH(M267,Venues!$A$2:$A$10,0)),"Not checked")</f>
        <v/>
      </c>
      <c r="P267" s="15">
        <f>IFERROR(INDEX(Venues!$D$2:$D$10,MATCH(M267,Venues!$A$2:$A$10,0)),0)</f>
        <v/>
      </c>
      <c r="Q267" s="42">
        <f>IFERROR(INDEX(Venues!$E$2:$E$10,MATCH(M267,Venues!$A$2:$A$10,0)),"")</f>
        <v/>
      </c>
      <c r="R267" s="15">
        <f>IF(P267&gt;0,"Yes","No")</f>
        <v/>
      </c>
      <c r="S267" s="13" t="inlineStr">
        <is>
          <t>Shoreditch Rooftop</t>
        </is>
      </c>
      <c r="T267" s="42">
        <f>IFERROR(INDEX(Venues!$E$2:$E$10,MATCH(S267,Venues!$A$2:$A$10,0)),"")</f>
        <v/>
      </c>
      <c r="U267" s="15">
        <f>IFERROR(INDEX(Venues!$F$2:$F$10,MATCH(S267,Venues!$A$2:$A$10,0)),"")</f>
        <v/>
      </c>
      <c r="V267" s="43">
        <f>IFERROR(INDEX(Venues!$H$2:$H$10,MATCH(S267,Venues!$A$2:$A$10,0)),"")</f>
        <v/>
      </c>
      <c r="W267" s="15">
        <f>IF('Pilot offer'!$C$24="Yes",'Pilot offer'!$C$3,S267)</f>
        <v/>
      </c>
      <c r="X267" s="42">
        <f>IF('Pilot offer'!$C$24="Yes",'Pilot offer'!$C$5+'Pilot offer'!$C$6,T267)</f>
        <v/>
      </c>
      <c r="Y267" s="15">
        <f>IF('Pilot offer'!$C$24="Yes",'Pilot offer'!$C$8,U267)</f>
        <v/>
      </c>
      <c r="Z267" s="43">
        <f>IF('Pilot offer'!$C$24="Yes",'Pilot offer'!$C$11,"")</f>
        <v/>
      </c>
      <c r="AA267" s="15">
        <f>IF(X267="","",W267&amp;" · "&amp;TEXT(X267,"ddd d mmm, hh:mm")&amp;" · "&amp;Y267&amp;IF(Z267&lt;&gt;""," · £"&amp;TEXT(Z267,"0.00")&amp;" per player"," · price TBC (cost £"&amp;TEXT(V267,"0.00")&amp;" pp)"))</f>
        <v/>
      </c>
      <c r="AD267" s="44" t="n"/>
    </row>
    <row r="268">
      <c r="A268" s="13" t="n">
        <v>266</v>
      </c>
      <c r="B268" s="13" t="inlineStr">
        <is>
          <t>2 · EC2A Shoreditch</t>
        </is>
      </c>
      <c r="C268" s="13" t="inlineStr">
        <is>
          <t>Office &amp; professional</t>
        </is>
      </c>
      <c r="D268" s="13" t="inlineStr">
        <is>
          <t>Corporate</t>
        </is>
      </c>
      <c r="E268" s="13" t="inlineStr">
        <is>
          <t>Digital Marketing Agency - Kustom Dezign</t>
        </is>
      </c>
      <c r="F268" s="13" t="inlineStr">
        <is>
          <t>service</t>
        </is>
      </c>
      <c r="G268" s="13" t="inlineStr">
        <is>
          <t>info@kustomdezign.com</t>
        </is>
      </c>
      <c r="H268" s="13" t="inlineStr">
        <is>
          <t>general</t>
        </is>
      </c>
      <c r="I268" s="13" t="inlineStr">
        <is>
          <t>+44 20 3398 8255</t>
        </is>
      </c>
      <c r="J268" s="14" t="inlineStr">
        <is>
          <t>https://www.kustomdezign.com/</t>
        </is>
      </c>
      <c r="K268" s="13" t="inlineStr">
        <is>
          <t>90 Paul St, London EC2A 4NE, UK</t>
        </is>
      </c>
      <c r="L268" s="13" t="inlineStr">
        <is>
          <t>EC2A 4NE</t>
        </is>
      </c>
      <c r="M268" s="13" t="inlineStr">
        <is>
          <t>Shoreditch Rooftop</t>
        </is>
      </c>
      <c r="N268" s="13" t="n">
        <v>16</v>
      </c>
      <c r="O268" s="15">
        <f>IFERROR(INDEX(Venues!$C$2:$C$10,MATCH(M268,Venues!$A$2:$A$10,0)),"Not checked")</f>
        <v/>
      </c>
      <c r="P268" s="15">
        <f>IFERROR(INDEX(Venues!$D$2:$D$10,MATCH(M268,Venues!$A$2:$A$10,0)),0)</f>
        <v/>
      </c>
      <c r="Q268" s="42">
        <f>IFERROR(INDEX(Venues!$E$2:$E$10,MATCH(M268,Venues!$A$2:$A$10,0)),"")</f>
        <v/>
      </c>
      <c r="R268" s="15">
        <f>IF(P268&gt;0,"Yes","No")</f>
        <v/>
      </c>
      <c r="S268" s="13" t="inlineStr">
        <is>
          <t>Shoreditch Rooftop</t>
        </is>
      </c>
      <c r="T268" s="42">
        <f>IFERROR(INDEX(Venues!$E$2:$E$10,MATCH(S268,Venues!$A$2:$A$10,0)),"")</f>
        <v/>
      </c>
      <c r="U268" s="15">
        <f>IFERROR(INDEX(Venues!$F$2:$F$10,MATCH(S268,Venues!$A$2:$A$10,0)),"")</f>
        <v/>
      </c>
      <c r="V268" s="43">
        <f>IFERROR(INDEX(Venues!$H$2:$H$10,MATCH(S268,Venues!$A$2:$A$10,0)),"")</f>
        <v/>
      </c>
      <c r="W268" s="15">
        <f>IF('Pilot offer'!$C$24="Yes",'Pilot offer'!$C$3,S268)</f>
        <v/>
      </c>
      <c r="X268" s="42">
        <f>IF('Pilot offer'!$C$24="Yes",'Pilot offer'!$C$5+'Pilot offer'!$C$6,T268)</f>
        <v/>
      </c>
      <c r="Y268" s="15">
        <f>IF('Pilot offer'!$C$24="Yes",'Pilot offer'!$C$8,U268)</f>
        <v/>
      </c>
      <c r="Z268" s="43">
        <f>IF('Pilot offer'!$C$24="Yes",'Pilot offer'!$C$11,"")</f>
        <v/>
      </c>
      <c r="AA268" s="15">
        <f>IF(X268="","",W268&amp;" · "&amp;TEXT(X268,"ddd d mmm, hh:mm")&amp;" · "&amp;Y268&amp;IF(Z268&lt;&gt;""," · £"&amp;TEXT(Z268,"0.00")&amp;" per player"," · price TBC (cost £"&amp;TEXT(V268,"0.00")&amp;" pp)"))</f>
        <v/>
      </c>
      <c r="AD268" s="44" t="n"/>
    </row>
    <row r="269">
      <c r="A269" s="13" t="n">
        <v>267</v>
      </c>
      <c r="B269" s="13" t="inlineStr">
        <is>
          <t>2 · EC2A Shoreditch</t>
        </is>
      </c>
      <c r="C269" s="13" t="inlineStr">
        <is>
          <t>Office &amp; professional</t>
        </is>
      </c>
      <c r="D269" s="13" t="inlineStr">
        <is>
          <t>Corporate</t>
        </is>
      </c>
      <c r="E269" s="13" t="inlineStr">
        <is>
          <t>Elsewhen Ltd</t>
        </is>
      </c>
      <c r="F269" s="13" t="inlineStr">
        <is>
          <t>service</t>
        </is>
      </c>
      <c r="G269" s="13" t="inlineStr">
        <is>
          <t>hello@elsewhen.com</t>
        </is>
      </c>
      <c r="H269" s="13" t="inlineStr">
        <is>
          <t>general</t>
        </is>
      </c>
      <c r="I269" s="13" t="inlineStr">
        <is>
          <t>+44 20 3758 3224</t>
        </is>
      </c>
      <c r="J269" s="14" t="inlineStr">
        <is>
          <t>https://www.elsewhen.com/</t>
        </is>
      </c>
      <c r="K269" s="13" t="inlineStr">
        <is>
          <t>86-90 Paul St, London EC2A 4NE, UK</t>
        </is>
      </c>
      <c r="L269" s="13" t="inlineStr">
        <is>
          <t>EC2A 4NE</t>
        </is>
      </c>
      <c r="M269" s="13" t="inlineStr">
        <is>
          <t>Shoreditch Rooftop</t>
        </is>
      </c>
      <c r="N269" s="13" t="n">
        <v>16</v>
      </c>
      <c r="O269" s="15">
        <f>IFERROR(INDEX(Venues!$C$2:$C$10,MATCH(M269,Venues!$A$2:$A$10,0)),"Not checked")</f>
        <v/>
      </c>
      <c r="P269" s="15">
        <f>IFERROR(INDEX(Venues!$D$2:$D$10,MATCH(M269,Venues!$A$2:$A$10,0)),0)</f>
        <v/>
      </c>
      <c r="Q269" s="42">
        <f>IFERROR(INDEX(Venues!$E$2:$E$10,MATCH(M269,Venues!$A$2:$A$10,0)),"")</f>
        <v/>
      </c>
      <c r="R269" s="15">
        <f>IF(P269&gt;0,"Yes","No")</f>
        <v/>
      </c>
      <c r="S269" s="13" t="inlineStr">
        <is>
          <t>Shoreditch Rooftop</t>
        </is>
      </c>
      <c r="T269" s="42">
        <f>IFERROR(INDEX(Venues!$E$2:$E$10,MATCH(S269,Venues!$A$2:$A$10,0)),"")</f>
        <v/>
      </c>
      <c r="U269" s="15">
        <f>IFERROR(INDEX(Venues!$F$2:$F$10,MATCH(S269,Venues!$A$2:$A$10,0)),"")</f>
        <v/>
      </c>
      <c r="V269" s="43">
        <f>IFERROR(INDEX(Venues!$H$2:$H$10,MATCH(S269,Venues!$A$2:$A$10,0)),"")</f>
        <v/>
      </c>
      <c r="W269" s="15">
        <f>IF('Pilot offer'!$C$24="Yes",'Pilot offer'!$C$3,S269)</f>
        <v/>
      </c>
      <c r="X269" s="42">
        <f>IF('Pilot offer'!$C$24="Yes",'Pilot offer'!$C$5+'Pilot offer'!$C$6,T269)</f>
        <v/>
      </c>
      <c r="Y269" s="15">
        <f>IF('Pilot offer'!$C$24="Yes",'Pilot offer'!$C$8,U269)</f>
        <v/>
      </c>
      <c r="Z269" s="43">
        <f>IF('Pilot offer'!$C$24="Yes",'Pilot offer'!$C$11,"")</f>
        <v/>
      </c>
      <c r="AA269" s="15">
        <f>IF(X269="","",W269&amp;" · "&amp;TEXT(X269,"ddd d mmm, hh:mm")&amp;" · "&amp;Y269&amp;IF(Z269&lt;&gt;""," · £"&amp;TEXT(Z269,"0.00")&amp;" per player"," · price TBC (cost £"&amp;TEXT(V269,"0.00")&amp;" pp)"))</f>
        <v/>
      </c>
      <c r="AD269" s="44" t="n"/>
    </row>
    <row r="270">
      <c r="A270" s="13" t="n">
        <v>268</v>
      </c>
      <c r="B270" s="13" t="inlineStr">
        <is>
          <t>2 · EC2A Shoreditch</t>
        </is>
      </c>
      <c r="C270" s="13" t="inlineStr">
        <is>
          <t>Office &amp; professional</t>
        </is>
      </c>
      <c r="D270" s="13" t="inlineStr">
        <is>
          <t>Corporate</t>
        </is>
      </c>
      <c r="E270" s="13" t="inlineStr">
        <is>
          <t>Excellis Business Consulting</t>
        </is>
      </c>
      <c r="F270" s="13" t="inlineStr">
        <is>
          <t>consultant</t>
        </is>
      </c>
      <c r="G270" s="13" t="inlineStr">
        <is>
          <t>enquiries@excellisgroup.com</t>
        </is>
      </c>
      <c r="H270" s="13" t="inlineStr">
        <is>
          <t>general</t>
        </is>
      </c>
      <c r="I270" s="13" t="n"/>
      <c r="J270" s="14" t="inlineStr">
        <is>
          <t>https://excellisgroup.com/</t>
        </is>
      </c>
      <c r="K270" s="13" t="inlineStr">
        <is>
          <t>86-90 Paul St, London EC2A 4NE, UK</t>
        </is>
      </c>
      <c r="L270" s="13" t="inlineStr">
        <is>
          <t>EC2A 4NE</t>
        </is>
      </c>
      <c r="M270" s="13" t="inlineStr">
        <is>
          <t>Shoreditch Rooftop</t>
        </is>
      </c>
      <c r="N270" s="13" t="n">
        <v>16</v>
      </c>
      <c r="O270" s="15">
        <f>IFERROR(INDEX(Venues!$C$2:$C$10,MATCH(M270,Venues!$A$2:$A$10,0)),"Not checked")</f>
        <v/>
      </c>
      <c r="P270" s="15">
        <f>IFERROR(INDEX(Venues!$D$2:$D$10,MATCH(M270,Venues!$A$2:$A$10,0)),0)</f>
        <v/>
      </c>
      <c r="Q270" s="42">
        <f>IFERROR(INDEX(Venues!$E$2:$E$10,MATCH(M270,Venues!$A$2:$A$10,0)),"")</f>
        <v/>
      </c>
      <c r="R270" s="15">
        <f>IF(P270&gt;0,"Yes","No")</f>
        <v/>
      </c>
      <c r="S270" s="13" t="inlineStr">
        <is>
          <t>Shoreditch Rooftop</t>
        </is>
      </c>
      <c r="T270" s="42">
        <f>IFERROR(INDEX(Venues!$E$2:$E$10,MATCH(S270,Venues!$A$2:$A$10,0)),"")</f>
        <v/>
      </c>
      <c r="U270" s="15">
        <f>IFERROR(INDEX(Venues!$F$2:$F$10,MATCH(S270,Venues!$A$2:$A$10,0)),"")</f>
        <v/>
      </c>
      <c r="V270" s="43">
        <f>IFERROR(INDEX(Venues!$H$2:$H$10,MATCH(S270,Venues!$A$2:$A$10,0)),"")</f>
        <v/>
      </c>
      <c r="W270" s="15">
        <f>IF('Pilot offer'!$C$24="Yes",'Pilot offer'!$C$3,S270)</f>
        <v/>
      </c>
      <c r="X270" s="42">
        <f>IF('Pilot offer'!$C$24="Yes",'Pilot offer'!$C$5+'Pilot offer'!$C$6,T270)</f>
        <v/>
      </c>
      <c r="Y270" s="15">
        <f>IF('Pilot offer'!$C$24="Yes",'Pilot offer'!$C$8,U270)</f>
        <v/>
      </c>
      <c r="Z270" s="43">
        <f>IF('Pilot offer'!$C$24="Yes",'Pilot offer'!$C$11,"")</f>
        <v/>
      </c>
      <c r="AA270" s="15">
        <f>IF(X270="","",W270&amp;" · "&amp;TEXT(X270,"ddd d mmm, hh:mm")&amp;" · "&amp;Y270&amp;IF(Z270&lt;&gt;""," · £"&amp;TEXT(Z270,"0.00")&amp;" per player"," · price TBC (cost £"&amp;TEXT(V270,"0.00")&amp;" pp)"))</f>
        <v/>
      </c>
      <c r="AD270" s="44" t="n"/>
    </row>
    <row r="271">
      <c r="A271" s="13" t="n">
        <v>269</v>
      </c>
      <c r="B271" s="13" t="inlineStr">
        <is>
          <t>2 · EC2A Shoreditch</t>
        </is>
      </c>
      <c r="C271" s="13" t="inlineStr">
        <is>
          <t>Office &amp; professional</t>
        </is>
      </c>
      <c r="D271" s="13" t="inlineStr">
        <is>
          <t>Corporate</t>
        </is>
      </c>
      <c r="E271" s="13" t="inlineStr">
        <is>
          <t>Fluid Tech - AI Consulting Services &amp; Solution Delivery</t>
        </is>
      </c>
      <c r="F271" s="13" t="inlineStr">
        <is>
          <t>consultant</t>
        </is>
      </c>
      <c r="G271" s="13" t="inlineStr">
        <is>
          <t>info@fluidtech.solutions</t>
        </is>
      </c>
      <c r="H271" s="13" t="inlineStr">
        <is>
          <t>general</t>
        </is>
      </c>
      <c r="I271" s="13" t="inlineStr">
        <is>
          <t>+44 7943 832301</t>
        </is>
      </c>
      <c r="J271" s="14" t="inlineStr">
        <is>
          <t>https://www.fluidtech.solutions/?utm_source=google&amp;utm_medium=wix_google_business_profile&amp;utm_campaign=9469546741734003306</t>
        </is>
      </c>
      <c r="K271" s="13" t="inlineStr">
        <is>
          <t>3rd Floor, 86-90 Paul St, London EC2A 4NE, UK</t>
        </is>
      </c>
      <c r="L271" s="13" t="inlineStr">
        <is>
          <t>EC2A 4NE</t>
        </is>
      </c>
      <c r="M271" s="13" t="inlineStr">
        <is>
          <t>Shoreditch Rooftop</t>
        </is>
      </c>
      <c r="N271" s="13" t="n">
        <v>16</v>
      </c>
      <c r="O271" s="15">
        <f>IFERROR(INDEX(Venues!$C$2:$C$10,MATCH(M271,Venues!$A$2:$A$10,0)),"Not checked")</f>
        <v/>
      </c>
      <c r="P271" s="15">
        <f>IFERROR(INDEX(Venues!$D$2:$D$10,MATCH(M271,Venues!$A$2:$A$10,0)),0)</f>
        <v/>
      </c>
      <c r="Q271" s="42">
        <f>IFERROR(INDEX(Venues!$E$2:$E$10,MATCH(M271,Venues!$A$2:$A$10,0)),"")</f>
        <v/>
      </c>
      <c r="R271" s="15">
        <f>IF(P271&gt;0,"Yes","No")</f>
        <v/>
      </c>
      <c r="S271" s="13" t="inlineStr">
        <is>
          <t>Shoreditch Rooftop</t>
        </is>
      </c>
      <c r="T271" s="42">
        <f>IFERROR(INDEX(Venues!$E$2:$E$10,MATCH(S271,Venues!$A$2:$A$10,0)),"")</f>
        <v/>
      </c>
      <c r="U271" s="15">
        <f>IFERROR(INDEX(Venues!$F$2:$F$10,MATCH(S271,Venues!$A$2:$A$10,0)),"")</f>
        <v/>
      </c>
      <c r="V271" s="43">
        <f>IFERROR(INDEX(Venues!$H$2:$H$10,MATCH(S271,Venues!$A$2:$A$10,0)),"")</f>
        <v/>
      </c>
      <c r="W271" s="15">
        <f>IF('Pilot offer'!$C$24="Yes",'Pilot offer'!$C$3,S271)</f>
        <v/>
      </c>
      <c r="X271" s="42">
        <f>IF('Pilot offer'!$C$24="Yes",'Pilot offer'!$C$5+'Pilot offer'!$C$6,T271)</f>
        <v/>
      </c>
      <c r="Y271" s="15">
        <f>IF('Pilot offer'!$C$24="Yes",'Pilot offer'!$C$8,U271)</f>
        <v/>
      </c>
      <c r="Z271" s="43">
        <f>IF('Pilot offer'!$C$24="Yes",'Pilot offer'!$C$11,"")</f>
        <v/>
      </c>
      <c r="AA271" s="15">
        <f>IF(X271="","",W271&amp;" · "&amp;TEXT(X271,"ddd d mmm, hh:mm")&amp;" · "&amp;Y271&amp;IF(Z271&lt;&gt;""," · £"&amp;TEXT(Z271,"0.00")&amp;" per player"," · price TBC (cost £"&amp;TEXT(V271,"0.00")&amp;" pp)"))</f>
        <v/>
      </c>
      <c r="AD271" s="44" t="n"/>
    </row>
    <row r="272">
      <c r="A272" s="13" t="n">
        <v>270</v>
      </c>
      <c r="B272" s="13" t="inlineStr">
        <is>
          <t>2 · EC2A Shoreditch</t>
        </is>
      </c>
      <c r="C272" s="13" t="inlineStr">
        <is>
          <t>Office &amp; professional</t>
        </is>
      </c>
      <c r="D272" s="13" t="inlineStr">
        <is>
          <t>Corporate</t>
        </is>
      </c>
      <c r="E272" s="13" t="inlineStr">
        <is>
          <t>Innovadel Technologies – Leading IT Services &amp; Salesforce Consulting</t>
        </is>
      </c>
      <c r="F272" s="13" t="inlineStr">
        <is>
          <t>service</t>
        </is>
      </c>
      <c r="G272" s="13" t="inlineStr">
        <is>
          <t>info@innovadeltech.com</t>
        </is>
      </c>
      <c r="H272" s="13" t="inlineStr">
        <is>
          <t>general</t>
        </is>
      </c>
      <c r="I272" s="13" t="inlineStr">
        <is>
          <t>+44 20 3637 4868</t>
        </is>
      </c>
      <c r="J272" s="14" t="inlineStr">
        <is>
          <t>https://www.innovadeltech.com/</t>
        </is>
      </c>
      <c r="K272" s="13" t="inlineStr">
        <is>
          <t>86-90 Paul St, London EC2A 4NE, UK</t>
        </is>
      </c>
      <c r="L272" s="13" t="inlineStr">
        <is>
          <t>EC2A 4NE</t>
        </is>
      </c>
      <c r="M272" s="13" t="inlineStr">
        <is>
          <t>Shoreditch Rooftop</t>
        </is>
      </c>
      <c r="N272" s="13" t="n">
        <v>16</v>
      </c>
      <c r="O272" s="15">
        <f>IFERROR(INDEX(Venues!$C$2:$C$10,MATCH(M272,Venues!$A$2:$A$10,0)),"Not checked")</f>
        <v/>
      </c>
      <c r="P272" s="15">
        <f>IFERROR(INDEX(Venues!$D$2:$D$10,MATCH(M272,Venues!$A$2:$A$10,0)),0)</f>
        <v/>
      </c>
      <c r="Q272" s="42">
        <f>IFERROR(INDEX(Venues!$E$2:$E$10,MATCH(M272,Venues!$A$2:$A$10,0)),"")</f>
        <v/>
      </c>
      <c r="R272" s="15">
        <f>IF(P272&gt;0,"Yes","No")</f>
        <v/>
      </c>
      <c r="S272" s="13" t="inlineStr">
        <is>
          <t>Shoreditch Rooftop</t>
        </is>
      </c>
      <c r="T272" s="42">
        <f>IFERROR(INDEX(Venues!$E$2:$E$10,MATCH(S272,Venues!$A$2:$A$10,0)),"")</f>
        <v/>
      </c>
      <c r="U272" s="15">
        <f>IFERROR(INDEX(Venues!$F$2:$F$10,MATCH(S272,Venues!$A$2:$A$10,0)),"")</f>
        <v/>
      </c>
      <c r="V272" s="43">
        <f>IFERROR(INDEX(Venues!$H$2:$H$10,MATCH(S272,Venues!$A$2:$A$10,0)),"")</f>
        <v/>
      </c>
      <c r="W272" s="15">
        <f>IF('Pilot offer'!$C$24="Yes",'Pilot offer'!$C$3,S272)</f>
        <v/>
      </c>
      <c r="X272" s="42">
        <f>IF('Pilot offer'!$C$24="Yes",'Pilot offer'!$C$5+'Pilot offer'!$C$6,T272)</f>
        <v/>
      </c>
      <c r="Y272" s="15">
        <f>IF('Pilot offer'!$C$24="Yes",'Pilot offer'!$C$8,U272)</f>
        <v/>
      </c>
      <c r="Z272" s="43">
        <f>IF('Pilot offer'!$C$24="Yes",'Pilot offer'!$C$11,"")</f>
        <v/>
      </c>
      <c r="AA272" s="15">
        <f>IF(X272="","",W272&amp;" · "&amp;TEXT(X272,"ddd d mmm, hh:mm")&amp;" · "&amp;Y272&amp;IF(Z272&lt;&gt;""," · £"&amp;TEXT(Z272,"0.00")&amp;" per player"," · price TBC (cost £"&amp;TEXT(V272,"0.00")&amp;" pp)"))</f>
        <v/>
      </c>
      <c r="AD272" s="44" t="n"/>
    </row>
    <row r="273">
      <c r="A273" s="13" t="n">
        <v>271</v>
      </c>
      <c r="B273" s="13" t="inlineStr">
        <is>
          <t>2 · EC2A Shoreditch</t>
        </is>
      </c>
      <c r="C273" s="13" t="inlineStr">
        <is>
          <t>Office &amp; professional</t>
        </is>
      </c>
      <c r="D273" s="13" t="inlineStr">
        <is>
          <t>Corporate</t>
        </is>
      </c>
      <c r="E273" s="13" t="inlineStr">
        <is>
          <t>LKI Consulting - Crypto, Web3 &amp; Blockchain marketing agency</t>
        </is>
      </c>
      <c r="F273" s="13" t="inlineStr">
        <is>
          <t>service</t>
        </is>
      </c>
      <c r="G273" s="13" t="inlineStr">
        <is>
          <t>info@lkiconsulting.io</t>
        </is>
      </c>
      <c r="H273" s="13" t="inlineStr">
        <is>
          <t>general</t>
        </is>
      </c>
      <c r="I273" s="13" t="inlineStr">
        <is>
          <t>+44 7803 332977</t>
        </is>
      </c>
      <c r="J273" s="14" t="inlineStr">
        <is>
          <t>https://lkiconsulting.io/</t>
        </is>
      </c>
      <c r="K273" s="13" t="inlineStr">
        <is>
          <t>86-90 Paul St, London EC2A 4NE, UK</t>
        </is>
      </c>
      <c r="L273" s="13" t="inlineStr">
        <is>
          <t>EC2A 4NE</t>
        </is>
      </c>
      <c r="M273" s="13" t="inlineStr">
        <is>
          <t>Shoreditch Rooftop</t>
        </is>
      </c>
      <c r="N273" s="13" t="n">
        <v>16</v>
      </c>
      <c r="O273" s="15">
        <f>IFERROR(INDEX(Venues!$C$2:$C$10,MATCH(M273,Venues!$A$2:$A$10,0)),"Not checked")</f>
        <v/>
      </c>
      <c r="P273" s="15">
        <f>IFERROR(INDEX(Venues!$D$2:$D$10,MATCH(M273,Venues!$A$2:$A$10,0)),0)</f>
        <v/>
      </c>
      <c r="Q273" s="42">
        <f>IFERROR(INDEX(Venues!$E$2:$E$10,MATCH(M273,Venues!$A$2:$A$10,0)),"")</f>
        <v/>
      </c>
      <c r="R273" s="15">
        <f>IF(P273&gt;0,"Yes","No")</f>
        <v/>
      </c>
      <c r="S273" s="13" t="inlineStr">
        <is>
          <t>Shoreditch Rooftop</t>
        </is>
      </c>
      <c r="T273" s="42">
        <f>IFERROR(INDEX(Venues!$E$2:$E$10,MATCH(S273,Venues!$A$2:$A$10,0)),"")</f>
        <v/>
      </c>
      <c r="U273" s="15">
        <f>IFERROR(INDEX(Venues!$F$2:$F$10,MATCH(S273,Venues!$A$2:$A$10,0)),"")</f>
        <v/>
      </c>
      <c r="V273" s="43">
        <f>IFERROR(INDEX(Venues!$H$2:$H$10,MATCH(S273,Venues!$A$2:$A$10,0)),"")</f>
        <v/>
      </c>
      <c r="W273" s="15">
        <f>IF('Pilot offer'!$C$24="Yes",'Pilot offer'!$C$3,S273)</f>
        <v/>
      </c>
      <c r="X273" s="42">
        <f>IF('Pilot offer'!$C$24="Yes",'Pilot offer'!$C$5+'Pilot offer'!$C$6,T273)</f>
        <v/>
      </c>
      <c r="Y273" s="15">
        <f>IF('Pilot offer'!$C$24="Yes",'Pilot offer'!$C$8,U273)</f>
        <v/>
      </c>
      <c r="Z273" s="43">
        <f>IF('Pilot offer'!$C$24="Yes",'Pilot offer'!$C$11,"")</f>
        <v/>
      </c>
      <c r="AA273" s="15">
        <f>IF(X273="","",W273&amp;" · "&amp;TEXT(X273,"ddd d mmm, hh:mm")&amp;" · "&amp;Y273&amp;IF(Z273&lt;&gt;""," · £"&amp;TEXT(Z273,"0.00")&amp;" per player"," · price TBC (cost £"&amp;TEXT(V273,"0.00")&amp;" pp)"))</f>
        <v/>
      </c>
      <c r="AD273" s="44" t="n"/>
    </row>
    <row r="274">
      <c r="A274" s="13" t="n">
        <v>272</v>
      </c>
      <c r="B274" s="13" t="inlineStr">
        <is>
          <t>2 · EC2A Shoreditch</t>
        </is>
      </c>
      <c r="C274" s="13" t="inlineStr">
        <is>
          <t>Office &amp; professional</t>
        </is>
      </c>
      <c r="D274" s="13" t="inlineStr">
        <is>
          <t>Corporate</t>
        </is>
      </c>
      <c r="E274" s="13" t="inlineStr">
        <is>
          <t>Mindpath Technology Limited</t>
        </is>
      </c>
      <c r="F274" s="13" t="inlineStr">
        <is>
          <t>consultant</t>
        </is>
      </c>
      <c r="G274" s="13" t="inlineStr">
        <is>
          <t>info@mindpathtech.com</t>
        </is>
      </c>
      <c r="H274" s="13" t="inlineStr">
        <is>
          <t>general</t>
        </is>
      </c>
      <c r="I274" s="13" t="inlineStr">
        <is>
          <t>+44 7392 476345</t>
        </is>
      </c>
      <c r="J274" s="14" t="inlineStr">
        <is>
          <t>https://mindpathtech.com/</t>
        </is>
      </c>
      <c r="K274" s="13" t="inlineStr">
        <is>
          <t>3rd floor, MINDPATH, TECHNOLOGY LIMITED, Paul St, London EC2A 4NE, UK</t>
        </is>
      </c>
      <c r="L274" s="13" t="inlineStr">
        <is>
          <t>EC2A 4NE</t>
        </is>
      </c>
      <c r="M274" s="13" t="inlineStr">
        <is>
          <t>Shoreditch Rooftop</t>
        </is>
      </c>
      <c r="N274" s="13" t="n">
        <v>16</v>
      </c>
      <c r="O274" s="15">
        <f>IFERROR(INDEX(Venues!$C$2:$C$10,MATCH(M274,Venues!$A$2:$A$10,0)),"Not checked")</f>
        <v/>
      </c>
      <c r="P274" s="15">
        <f>IFERROR(INDEX(Venues!$D$2:$D$10,MATCH(M274,Venues!$A$2:$A$10,0)),0)</f>
        <v/>
      </c>
      <c r="Q274" s="42">
        <f>IFERROR(INDEX(Venues!$E$2:$E$10,MATCH(M274,Venues!$A$2:$A$10,0)),"")</f>
        <v/>
      </c>
      <c r="R274" s="15">
        <f>IF(P274&gt;0,"Yes","No")</f>
        <v/>
      </c>
      <c r="S274" s="13" t="inlineStr">
        <is>
          <t>Shoreditch Rooftop</t>
        </is>
      </c>
      <c r="T274" s="42">
        <f>IFERROR(INDEX(Venues!$E$2:$E$10,MATCH(S274,Venues!$A$2:$A$10,0)),"")</f>
        <v/>
      </c>
      <c r="U274" s="15">
        <f>IFERROR(INDEX(Venues!$F$2:$F$10,MATCH(S274,Venues!$A$2:$A$10,0)),"")</f>
        <v/>
      </c>
      <c r="V274" s="43">
        <f>IFERROR(INDEX(Venues!$H$2:$H$10,MATCH(S274,Venues!$A$2:$A$10,0)),"")</f>
        <v/>
      </c>
      <c r="W274" s="15">
        <f>IF('Pilot offer'!$C$24="Yes",'Pilot offer'!$C$3,S274)</f>
        <v/>
      </c>
      <c r="X274" s="42">
        <f>IF('Pilot offer'!$C$24="Yes",'Pilot offer'!$C$5+'Pilot offer'!$C$6,T274)</f>
        <v/>
      </c>
      <c r="Y274" s="15">
        <f>IF('Pilot offer'!$C$24="Yes",'Pilot offer'!$C$8,U274)</f>
        <v/>
      </c>
      <c r="Z274" s="43">
        <f>IF('Pilot offer'!$C$24="Yes",'Pilot offer'!$C$11,"")</f>
        <v/>
      </c>
      <c r="AA274" s="15">
        <f>IF(X274="","",W274&amp;" · "&amp;TEXT(X274,"ddd d mmm, hh:mm")&amp;" · "&amp;Y274&amp;IF(Z274&lt;&gt;""," · £"&amp;TEXT(Z274,"0.00")&amp;" per player"," · price TBC (cost £"&amp;TEXT(V274,"0.00")&amp;" pp)"))</f>
        <v/>
      </c>
      <c r="AD274" s="44" t="n"/>
    </row>
    <row r="275">
      <c r="A275" s="13" t="n">
        <v>273</v>
      </c>
      <c r="B275" s="13" t="inlineStr">
        <is>
          <t>2 · EC2A Shoreditch</t>
        </is>
      </c>
      <c r="C275" s="13" t="inlineStr">
        <is>
          <t>Office &amp; professional</t>
        </is>
      </c>
      <c r="D275" s="13" t="inlineStr">
        <is>
          <t>Corporate</t>
        </is>
      </c>
      <c r="E275" s="13" t="inlineStr">
        <is>
          <t>Perceive Digital- Digital Marketing Agency in London</t>
        </is>
      </c>
      <c r="F275" s="13" t="inlineStr">
        <is>
          <t>service</t>
        </is>
      </c>
      <c r="G275" s="13" t="inlineStr">
        <is>
          <t>info@perceivedigital.com</t>
        </is>
      </c>
      <c r="H275" s="13" t="inlineStr">
        <is>
          <t>general</t>
        </is>
      </c>
      <c r="I275" s="13" t="inlineStr">
        <is>
          <t>+44 20 8191 9825</t>
        </is>
      </c>
      <c r="J275" s="14" t="inlineStr">
        <is>
          <t>https://perceivedigital.com/</t>
        </is>
      </c>
      <c r="K275" s="13" t="inlineStr">
        <is>
          <t>86-90 Paul St, London EC2A 4NE, UK</t>
        </is>
      </c>
      <c r="L275" s="13" t="inlineStr">
        <is>
          <t>EC2A 4NE</t>
        </is>
      </c>
      <c r="M275" s="13" t="inlineStr">
        <is>
          <t>Shoreditch Rooftop</t>
        </is>
      </c>
      <c r="N275" s="13" t="n">
        <v>16</v>
      </c>
      <c r="O275" s="15">
        <f>IFERROR(INDEX(Venues!$C$2:$C$10,MATCH(M275,Venues!$A$2:$A$10,0)),"Not checked")</f>
        <v/>
      </c>
      <c r="P275" s="15">
        <f>IFERROR(INDEX(Venues!$D$2:$D$10,MATCH(M275,Venues!$A$2:$A$10,0)),0)</f>
        <v/>
      </c>
      <c r="Q275" s="42">
        <f>IFERROR(INDEX(Venues!$E$2:$E$10,MATCH(M275,Venues!$A$2:$A$10,0)),"")</f>
        <v/>
      </c>
      <c r="R275" s="15">
        <f>IF(P275&gt;0,"Yes","No")</f>
        <v/>
      </c>
      <c r="S275" s="13" t="inlineStr">
        <is>
          <t>Shoreditch Rooftop</t>
        </is>
      </c>
      <c r="T275" s="42">
        <f>IFERROR(INDEX(Venues!$E$2:$E$10,MATCH(S275,Venues!$A$2:$A$10,0)),"")</f>
        <v/>
      </c>
      <c r="U275" s="15">
        <f>IFERROR(INDEX(Venues!$F$2:$F$10,MATCH(S275,Venues!$A$2:$A$10,0)),"")</f>
        <v/>
      </c>
      <c r="V275" s="43">
        <f>IFERROR(INDEX(Venues!$H$2:$H$10,MATCH(S275,Venues!$A$2:$A$10,0)),"")</f>
        <v/>
      </c>
      <c r="W275" s="15">
        <f>IF('Pilot offer'!$C$24="Yes",'Pilot offer'!$C$3,S275)</f>
        <v/>
      </c>
      <c r="X275" s="42">
        <f>IF('Pilot offer'!$C$24="Yes",'Pilot offer'!$C$5+'Pilot offer'!$C$6,T275)</f>
        <v/>
      </c>
      <c r="Y275" s="15">
        <f>IF('Pilot offer'!$C$24="Yes",'Pilot offer'!$C$8,U275)</f>
        <v/>
      </c>
      <c r="Z275" s="43">
        <f>IF('Pilot offer'!$C$24="Yes",'Pilot offer'!$C$11,"")</f>
        <v/>
      </c>
      <c r="AA275" s="15">
        <f>IF(X275="","",W275&amp;" · "&amp;TEXT(X275,"ddd d mmm, hh:mm")&amp;" · "&amp;Y275&amp;IF(Z275&lt;&gt;""," · £"&amp;TEXT(Z275,"0.00")&amp;" per player"," · price TBC (cost £"&amp;TEXT(V275,"0.00")&amp;" pp)"))</f>
        <v/>
      </c>
      <c r="AD275" s="44" t="n"/>
    </row>
    <row r="276">
      <c r="A276" s="13" t="n">
        <v>274</v>
      </c>
      <c r="B276" s="13" t="inlineStr">
        <is>
          <t>2 · EC2A Shoreditch</t>
        </is>
      </c>
      <c r="C276" s="13" t="inlineStr">
        <is>
          <t>Office &amp; professional</t>
        </is>
      </c>
      <c r="D276" s="13" t="inlineStr">
        <is>
          <t>Corporate</t>
        </is>
      </c>
      <c r="E276" s="13" t="inlineStr">
        <is>
          <t>Rank Audits Ltd</t>
        </is>
      </c>
      <c r="F276" s="13" t="inlineStr">
        <is>
          <t>advertising_agency</t>
        </is>
      </c>
      <c r="G276" s="13" t="inlineStr">
        <is>
          <t>hello@rankaudits.com</t>
        </is>
      </c>
      <c r="H276" s="13" t="inlineStr">
        <is>
          <t>general</t>
        </is>
      </c>
      <c r="I276" s="13" t="inlineStr">
        <is>
          <t>+44 20 3422 8867</t>
        </is>
      </c>
      <c r="J276" s="14" t="inlineStr">
        <is>
          <t>https://rankaudits.com</t>
        </is>
      </c>
      <c r="K276" s="13" t="inlineStr">
        <is>
          <t>86-90 Paul Street, London</t>
        </is>
      </c>
      <c r="L276" s="13" t="inlineStr">
        <is>
          <t>EC2A 4NE</t>
        </is>
      </c>
      <c r="M276" s="13" t="inlineStr">
        <is>
          <t>Shoreditch Rooftop</t>
        </is>
      </c>
      <c r="N276" s="13" t="n">
        <v>16</v>
      </c>
      <c r="O276" s="15">
        <f>IFERROR(INDEX(Venues!$C$2:$C$10,MATCH(M276,Venues!$A$2:$A$10,0)),"Not checked")</f>
        <v/>
      </c>
      <c r="P276" s="15">
        <f>IFERROR(INDEX(Venues!$D$2:$D$10,MATCH(M276,Venues!$A$2:$A$10,0)),0)</f>
        <v/>
      </c>
      <c r="Q276" s="42">
        <f>IFERROR(INDEX(Venues!$E$2:$E$10,MATCH(M276,Venues!$A$2:$A$10,0)),"")</f>
        <v/>
      </c>
      <c r="R276" s="15">
        <f>IF(P276&gt;0,"Yes","No")</f>
        <v/>
      </c>
      <c r="S276" s="13" t="inlineStr">
        <is>
          <t>Shoreditch Rooftop</t>
        </is>
      </c>
      <c r="T276" s="42">
        <f>IFERROR(INDEX(Venues!$E$2:$E$10,MATCH(S276,Venues!$A$2:$A$10,0)),"")</f>
        <v/>
      </c>
      <c r="U276" s="15">
        <f>IFERROR(INDEX(Venues!$F$2:$F$10,MATCH(S276,Venues!$A$2:$A$10,0)),"")</f>
        <v/>
      </c>
      <c r="V276" s="43">
        <f>IFERROR(INDEX(Venues!$H$2:$H$10,MATCH(S276,Venues!$A$2:$A$10,0)),"")</f>
        <v/>
      </c>
      <c r="W276" s="15">
        <f>IF('Pilot offer'!$C$24="Yes",'Pilot offer'!$C$3,S276)</f>
        <v/>
      </c>
      <c r="X276" s="42">
        <f>IF('Pilot offer'!$C$24="Yes",'Pilot offer'!$C$5+'Pilot offer'!$C$6,T276)</f>
        <v/>
      </c>
      <c r="Y276" s="15">
        <f>IF('Pilot offer'!$C$24="Yes",'Pilot offer'!$C$8,U276)</f>
        <v/>
      </c>
      <c r="Z276" s="43">
        <f>IF('Pilot offer'!$C$24="Yes",'Pilot offer'!$C$11,"")</f>
        <v/>
      </c>
      <c r="AA276" s="15">
        <f>IF(X276="","",W276&amp;" · "&amp;TEXT(X276,"ddd d mmm, hh:mm")&amp;" · "&amp;Y276&amp;IF(Z276&lt;&gt;""," · £"&amp;TEXT(Z276,"0.00")&amp;" per player"," · price TBC (cost £"&amp;TEXT(V276,"0.00")&amp;" pp)"))</f>
        <v/>
      </c>
      <c r="AD276" s="44" t="n"/>
    </row>
    <row r="277">
      <c r="A277" s="13" t="n">
        <v>275</v>
      </c>
      <c r="B277" s="13" t="inlineStr">
        <is>
          <t>2 · EC2A Shoreditch</t>
        </is>
      </c>
      <c r="C277" s="13" t="inlineStr">
        <is>
          <t>Office &amp; professional</t>
        </is>
      </c>
      <c r="D277" s="13" t="inlineStr">
        <is>
          <t>Corporate</t>
        </is>
      </c>
      <c r="E277" s="13" t="inlineStr">
        <is>
          <t>TRS Consulting</t>
        </is>
      </c>
      <c r="F277" s="13" t="inlineStr">
        <is>
          <t>service</t>
        </is>
      </c>
      <c r="G277" s="13" t="inlineStr">
        <is>
          <t>info@trsconsulting.co.uk</t>
        </is>
      </c>
      <c r="H277" s="13" t="inlineStr">
        <is>
          <t>general</t>
        </is>
      </c>
      <c r="I277" s="13" t="inlineStr">
        <is>
          <t>+44 20 3826 8082</t>
        </is>
      </c>
      <c r="J277" s="14" t="inlineStr">
        <is>
          <t>http://www.trsconsulting.co.uk/contact/</t>
        </is>
      </c>
      <c r="K277" s="13" t="inlineStr">
        <is>
          <t>86-90 Paul St, London EC2A 4NE, UK</t>
        </is>
      </c>
      <c r="L277" s="13" t="inlineStr">
        <is>
          <t>EC2A 4NE</t>
        </is>
      </c>
      <c r="M277" s="13" t="inlineStr">
        <is>
          <t>Shoreditch Rooftop</t>
        </is>
      </c>
      <c r="N277" s="13" t="n">
        <v>16</v>
      </c>
      <c r="O277" s="15">
        <f>IFERROR(INDEX(Venues!$C$2:$C$10,MATCH(M277,Venues!$A$2:$A$10,0)),"Not checked")</f>
        <v/>
      </c>
      <c r="P277" s="15">
        <f>IFERROR(INDEX(Venues!$D$2:$D$10,MATCH(M277,Venues!$A$2:$A$10,0)),0)</f>
        <v/>
      </c>
      <c r="Q277" s="42">
        <f>IFERROR(INDEX(Venues!$E$2:$E$10,MATCH(M277,Venues!$A$2:$A$10,0)),"")</f>
        <v/>
      </c>
      <c r="R277" s="15">
        <f>IF(P277&gt;0,"Yes","No")</f>
        <v/>
      </c>
      <c r="S277" s="13" t="inlineStr">
        <is>
          <t>Shoreditch Rooftop</t>
        </is>
      </c>
      <c r="T277" s="42">
        <f>IFERROR(INDEX(Venues!$E$2:$E$10,MATCH(S277,Venues!$A$2:$A$10,0)),"")</f>
        <v/>
      </c>
      <c r="U277" s="15">
        <f>IFERROR(INDEX(Venues!$F$2:$F$10,MATCH(S277,Venues!$A$2:$A$10,0)),"")</f>
        <v/>
      </c>
      <c r="V277" s="43">
        <f>IFERROR(INDEX(Venues!$H$2:$H$10,MATCH(S277,Venues!$A$2:$A$10,0)),"")</f>
        <v/>
      </c>
      <c r="W277" s="15">
        <f>IF('Pilot offer'!$C$24="Yes",'Pilot offer'!$C$3,S277)</f>
        <v/>
      </c>
      <c r="X277" s="42">
        <f>IF('Pilot offer'!$C$24="Yes",'Pilot offer'!$C$5+'Pilot offer'!$C$6,T277)</f>
        <v/>
      </c>
      <c r="Y277" s="15">
        <f>IF('Pilot offer'!$C$24="Yes",'Pilot offer'!$C$8,U277)</f>
        <v/>
      </c>
      <c r="Z277" s="43">
        <f>IF('Pilot offer'!$C$24="Yes",'Pilot offer'!$C$11,"")</f>
        <v/>
      </c>
      <c r="AA277" s="15">
        <f>IF(X277="","",W277&amp;" · "&amp;TEXT(X277,"ddd d mmm, hh:mm")&amp;" · "&amp;Y277&amp;IF(Z277&lt;&gt;""," · £"&amp;TEXT(Z277,"0.00")&amp;" per player"," · price TBC (cost £"&amp;TEXT(V277,"0.00")&amp;" pp)"))</f>
        <v/>
      </c>
      <c r="AD277" s="44" t="n"/>
    </row>
    <row r="278">
      <c r="A278" s="13" t="n">
        <v>276</v>
      </c>
      <c r="B278" s="13" t="inlineStr">
        <is>
          <t>2 · EC2A Shoreditch</t>
        </is>
      </c>
      <c r="C278" s="13" t="inlineStr">
        <is>
          <t>Coworking / shared office</t>
        </is>
      </c>
      <c r="D278" s="13" t="inlineStr">
        <is>
          <t>Corporate</t>
        </is>
      </c>
      <c r="E278" s="13" t="inlineStr">
        <is>
          <t>The Hoxton Mix</t>
        </is>
      </c>
      <c r="F278" s="13" t="inlineStr">
        <is>
          <t>coworking</t>
        </is>
      </c>
      <c r="G278" s="13" t="inlineStr">
        <is>
          <t>help@hoxtonmix.com</t>
        </is>
      </c>
      <c r="H278" s="13" t="inlineStr">
        <is>
          <t>person_or_other</t>
        </is>
      </c>
      <c r="I278" s="13" t="inlineStr">
        <is>
          <t>+44 20 3475 3374</t>
        </is>
      </c>
      <c r="J278" s="14" t="inlineStr">
        <is>
          <t>https://www.hoxtonmix.com/</t>
        </is>
      </c>
      <c r="K278" s="13" t="inlineStr">
        <is>
          <t>86-90 Paul Street, London</t>
        </is>
      </c>
      <c r="L278" s="13" t="inlineStr">
        <is>
          <t>EC2A 4NE</t>
        </is>
      </c>
      <c r="M278" s="13" t="inlineStr">
        <is>
          <t>Shoreditch Rooftop</t>
        </is>
      </c>
      <c r="N278" s="13" t="n">
        <v>16</v>
      </c>
      <c r="O278" s="15">
        <f>IFERROR(INDEX(Venues!$C$2:$C$10,MATCH(M278,Venues!$A$2:$A$10,0)),"Not checked")</f>
        <v/>
      </c>
      <c r="P278" s="15">
        <f>IFERROR(INDEX(Venues!$D$2:$D$10,MATCH(M278,Venues!$A$2:$A$10,0)),0)</f>
        <v/>
      </c>
      <c r="Q278" s="42">
        <f>IFERROR(INDEX(Venues!$E$2:$E$10,MATCH(M278,Venues!$A$2:$A$10,0)),"")</f>
        <v/>
      </c>
      <c r="R278" s="15">
        <f>IF(P278&gt;0,"Yes","No")</f>
        <v/>
      </c>
      <c r="S278" s="13" t="inlineStr">
        <is>
          <t>Shoreditch Rooftop</t>
        </is>
      </c>
      <c r="T278" s="42">
        <f>IFERROR(INDEX(Venues!$E$2:$E$10,MATCH(S278,Venues!$A$2:$A$10,0)),"")</f>
        <v/>
      </c>
      <c r="U278" s="15">
        <f>IFERROR(INDEX(Venues!$F$2:$F$10,MATCH(S278,Venues!$A$2:$A$10,0)),"")</f>
        <v/>
      </c>
      <c r="V278" s="43">
        <f>IFERROR(INDEX(Venues!$H$2:$H$10,MATCH(S278,Venues!$A$2:$A$10,0)),"")</f>
        <v/>
      </c>
      <c r="W278" s="15">
        <f>IF('Pilot offer'!$C$24="Yes",'Pilot offer'!$C$3,S278)</f>
        <v/>
      </c>
      <c r="X278" s="42">
        <f>IF('Pilot offer'!$C$24="Yes",'Pilot offer'!$C$5+'Pilot offer'!$C$6,T278)</f>
        <v/>
      </c>
      <c r="Y278" s="15">
        <f>IF('Pilot offer'!$C$24="Yes",'Pilot offer'!$C$8,U278)</f>
        <v/>
      </c>
      <c r="Z278" s="43">
        <f>IF('Pilot offer'!$C$24="Yes",'Pilot offer'!$C$11,"")</f>
        <v/>
      </c>
      <c r="AA278" s="15">
        <f>IF(X278="","",W278&amp;" · "&amp;TEXT(X278,"ddd d mmm, hh:mm")&amp;" · "&amp;Y278&amp;IF(Z278&lt;&gt;""," · £"&amp;TEXT(Z278,"0.00")&amp;" per player"," · price TBC (cost £"&amp;TEXT(V278,"0.00")&amp;" pp)"))</f>
        <v/>
      </c>
      <c r="AD278" s="44" t="n"/>
    </row>
    <row r="279">
      <c r="A279" s="13" t="n">
        <v>277</v>
      </c>
      <c r="B279" s="13" t="inlineStr">
        <is>
          <t>2 · EC2A Shoreditch</t>
        </is>
      </c>
      <c r="C279" s="13" t="inlineStr">
        <is>
          <t>Hospitality</t>
        </is>
      </c>
      <c r="D279" s="13" t="inlineStr">
        <is>
          <t>Local businesses</t>
        </is>
      </c>
      <c r="E279" s="13" t="inlineStr">
        <is>
          <t>The Princess of Shoreditch</t>
        </is>
      </c>
      <c r="F279" s="13" t="inlineStr">
        <is>
          <t>amenity: pub</t>
        </is>
      </c>
      <c r="G279" s="13" t="inlineStr">
        <is>
          <t>reservations@theprincessofshoreditch.com</t>
        </is>
      </c>
      <c r="H279" s="13" t="inlineStr">
        <is>
          <t>commercial</t>
        </is>
      </c>
      <c r="I279" s="13" t="inlineStr">
        <is>
          <t>+44 20 7729 9270</t>
        </is>
      </c>
      <c r="J279" s="14" t="inlineStr">
        <is>
          <t>https://www.theprincessofshoreditch.com/</t>
        </is>
      </c>
      <c r="K279" s="13" t="inlineStr">
        <is>
          <t>Paul Street 76-78, London</t>
        </is>
      </c>
      <c r="L279" s="13" t="inlineStr">
        <is>
          <t>EC2A 4NE</t>
        </is>
      </c>
      <c r="M279" s="13" t="inlineStr">
        <is>
          <t>Shoreditch Rooftop</t>
        </is>
      </c>
      <c r="N279" s="13" t="n">
        <v>16</v>
      </c>
      <c r="O279" s="15">
        <f>IFERROR(INDEX(Venues!$C$2:$C$10,MATCH(M279,Venues!$A$2:$A$10,0)),"Not checked")</f>
        <v/>
      </c>
      <c r="P279" s="15">
        <f>IFERROR(INDEX(Venues!$D$2:$D$10,MATCH(M279,Venues!$A$2:$A$10,0)),0)</f>
        <v/>
      </c>
      <c r="Q279" s="42">
        <f>IFERROR(INDEX(Venues!$E$2:$E$10,MATCH(M279,Venues!$A$2:$A$10,0)),"")</f>
        <v/>
      </c>
      <c r="R279" s="15">
        <f>IF(P279&gt;0,"Yes","No")</f>
        <v/>
      </c>
      <c r="S279" s="13" t="inlineStr">
        <is>
          <t>Shoreditch Rooftop</t>
        </is>
      </c>
      <c r="T279" s="42">
        <f>IFERROR(INDEX(Venues!$E$2:$E$10,MATCH(S279,Venues!$A$2:$A$10,0)),"")</f>
        <v/>
      </c>
      <c r="U279" s="15">
        <f>IFERROR(INDEX(Venues!$F$2:$F$10,MATCH(S279,Venues!$A$2:$A$10,0)),"")</f>
        <v/>
      </c>
      <c r="V279" s="43">
        <f>IFERROR(INDEX(Venues!$H$2:$H$10,MATCH(S279,Venues!$A$2:$A$10,0)),"")</f>
        <v/>
      </c>
      <c r="W279" s="15">
        <f>IF('Pilot offer'!$C$24="Yes",'Pilot offer'!$C$3,S279)</f>
        <v/>
      </c>
      <c r="X279" s="42">
        <f>IF('Pilot offer'!$C$24="Yes",'Pilot offer'!$C$5+'Pilot offer'!$C$6,T279)</f>
        <v/>
      </c>
      <c r="Y279" s="15">
        <f>IF('Pilot offer'!$C$24="Yes",'Pilot offer'!$C$8,U279)</f>
        <v/>
      </c>
      <c r="Z279" s="43">
        <f>IF('Pilot offer'!$C$24="Yes",'Pilot offer'!$C$11,"")</f>
        <v/>
      </c>
      <c r="AA279" s="15">
        <f>IF(X279="","",W279&amp;" · "&amp;TEXT(X279,"ddd d mmm, hh:mm")&amp;" · "&amp;Y279&amp;IF(Z279&lt;&gt;""," · £"&amp;TEXT(Z279,"0.00")&amp;" per player"," · price TBC (cost £"&amp;TEXT(V279,"0.00")&amp;" pp)"))</f>
        <v/>
      </c>
      <c r="AD279" s="44" t="n"/>
    </row>
    <row r="280">
      <c r="A280" s="13" t="n">
        <v>278</v>
      </c>
      <c r="B280" s="13" t="inlineStr">
        <is>
          <t>2 · EC2A Shoreditch</t>
        </is>
      </c>
      <c r="C280" s="13" t="inlineStr">
        <is>
          <t>Office &amp; professional</t>
        </is>
      </c>
      <c r="D280" s="13" t="inlineStr">
        <is>
          <t>Corporate</t>
        </is>
      </c>
      <c r="E280" s="13" t="inlineStr">
        <is>
          <t>Venn Accounts</t>
        </is>
      </c>
      <c r="F280" s="13" t="inlineStr">
        <is>
          <t>finance</t>
        </is>
      </c>
      <c r="G280" s="13" t="inlineStr">
        <is>
          <t>enquiries@vennaccounts.com</t>
        </is>
      </c>
      <c r="H280" s="13" t="inlineStr">
        <is>
          <t>general</t>
        </is>
      </c>
      <c r="I280" s="13" t="inlineStr">
        <is>
          <t>+44 20 3627 0555</t>
        </is>
      </c>
      <c r="J280" s="14" t="inlineStr">
        <is>
          <t>https://vennaccounts.com/</t>
        </is>
      </c>
      <c r="K280" s="13" t="inlineStr">
        <is>
          <t>86-90 Paul St, London EC2A 4NE, UK</t>
        </is>
      </c>
      <c r="L280" s="13" t="inlineStr">
        <is>
          <t>EC2A 4NE</t>
        </is>
      </c>
      <c r="M280" s="13" t="inlineStr">
        <is>
          <t>Shoreditch Rooftop</t>
        </is>
      </c>
      <c r="N280" s="13" t="n">
        <v>16</v>
      </c>
      <c r="O280" s="15">
        <f>IFERROR(INDEX(Venues!$C$2:$C$10,MATCH(M280,Venues!$A$2:$A$10,0)),"Not checked")</f>
        <v/>
      </c>
      <c r="P280" s="15">
        <f>IFERROR(INDEX(Venues!$D$2:$D$10,MATCH(M280,Venues!$A$2:$A$10,0)),0)</f>
        <v/>
      </c>
      <c r="Q280" s="42">
        <f>IFERROR(INDEX(Venues!$E$2:$E$10,MATCH(M280,Venues!$A$2:$A$10,0)),"")</f>
        <v/>
      </c>
      <c r="R280" s="15">
        <f>IF(P280&gt;0,"Yes","No")</f>
        <v/>
      </c>
      <c r="S280" s="13" t="inlineStr">
        <is>
          <t>Shoreditch Rooftop</t>
        </is>
      </c>
      <c r="T280" s="42">
        <f>IFERROR(INDEX(Venues!$E$2:$E$10,MATCH(S280,Venues!$A$2:$A$10,0)),"")</f>
        <v/>
      </c>
      <c r="U280" s="15">
        <f>IFERROR(INDEX(Venues!$F$2:$F$10,MATCH(S280,Venues!$A$2:$A$10,0)),"")</f>
        <v/>
      </c>
      <c r="V280" s="43">
        <f>IFERROR(INDEX(Venues!$H$2:$H$10,MATCH(S280,Venues!$A$2:$A$10,0)),"")</f>
        <v/>
      </c>
      <c r="W280" s="15">
        <f>IF('Pilot offer'!$C$24="Yes",'Pilot offer'!$C$3,S280)</f>
        <v/>
      </c>
      <c r="X280" s="42">
        <f>IF('Pilot offer'!$C$24="Yes",'Pilot offer'!$C$5+'Pilot offer'!$C$6,T280)</f>
        <v/>
      </c>
      <c r="Y280" s="15">
        <f>IF('Pilot offer'!$C$24="Yes",'Pilot offer'!$C$8,U280)</f>
        <v/>
      </c>
      <c r="Z280" s="43">
        <f>IF('Pilot offer'!$C$24="Yes",'Pilot offer'!$C$11,"")</f>
        <v/>
      </c>
      <c r="AA280" s="15">
        <f>IF(X280="","",W280&amp;" · "&amp;TEXT(X280,"ddd d mmm, hh:mm")&amp;" · "&amp;Y280&amp;IF(Z280&lt;&gt;""," · £"&amp;TEXT(Z280,"0.00")&amp;" per player"," · price TBC (cost £"&amp;TEXT(V280,"0.00")&amp;" pp)"))</f>
        <v/>
      </c>
      <c r="AD280" s="44" t="n"/>
    </row>
    <row r="281">
      <c r="A281" s="13" t="n">
        <v>279</v>
      </c>
      <c r="B281" s="13" t="inlineStr">
        <is>
          <t>2 · EC2A Shoreditch</t>
        </is>
      </c>
      <c r="C281" s="13" t="inlineStr">
        <is>
          <t>Office &amp; professional</t>
        </is>
      </c>
      <c r="D281" s="13" t="inlineStr">
        <is>
          <t>Corporate</t>
        </is>
      </c>
      <c r="E281" s="13" t="inlineStr">
        <is>
          <t>In Step Accounting</t>
        </is>
      </c>
      <c r="F281" s="13" t="inlineStr">
        <is>
          <t>finance</t>
        </is>
      </c>
      <c r="G281" s="13" t="inlineStr">
        <is>
          <t>hello@in-step.co.uk</t>
        </is>
      </c>
      <c r="H281" s="13" t="inlineStr">
        <is>
          <t>general</t>
        </is>
      </c>
      <c r="I281" s="13" t="inlineStr">
        <is>
          <t>+44 7828 751269</t>
        </is>
      </c>
      <c r="J281" s="14" t="inlineStr">
        <is>
          <t>http://www.in-step.co.uk/</t>
        </is>
      </c>
      <c r="K281" s="13" t="inlineStr">
        <is>
          <t>52 Tabernacle St, London EC2A 4NJ, UK</t>
        </is>
      </c>
      <c r="L281" s="13" t="inlineStr">
        <is>
          <t>EC2A 4NJ</t>
        </is>
      </c>
      <c r="M281" s="13" t="inlineStr">
        <is>
          <t>Old St - Moreland Primary School</t>
        </is>
      </c>
      <c r="N281" s="13" t="n">
        <v>17</v>
      </c>
      <c r="O281" s="15">
        <f>IFERROR(INDEX(Venues!$C$2:$C$10,MATCH(M281,Venues!$A$2:$A$10,0)),"Not checked")</f>
        <v/>
      </c>
      <c r="P281" s="15">
        <f>IFERROR(INDEX(Venues!$D$2:$D$10,MATCH(M281,Venues!$A$2:$A$10,0)),0)</f>
        <v/>
      </c>
      <c r="Q281" s="42">
        <f>IFERROR(INDEX(Venues!$E$2:$E$10,MATCH(M281,Venues!$A$2:$A$10,0)),"")</f>
        <v/>
      </c>
      <c r="R281" s="15">
        <f>IF(P281&gt;0,"Yes","No")</f>
        <v/>
      </c>
      <c r="S281" s="13" t="inlineStr">
        <is>
          <t>Old St - Moreland Primary School</t>
        </is>
      </c>
      <c r="T281" s="42">
        <f>IFERROR(INDEX(Venues!$E$2:$E$10,MATCH(S281,Venues!$A$2:$A$10,0)),"")</f>
        <v/>
      </c>
      <c r="U281" s="15">
        <f>IFERROR(INDEX(Venues!$F$2:$F$10,MATCH(S281,Venues!$A$2:$A$10,0)),"")</f>
        <v/>
      </c>
      <c r="V281" s="43">
        <f>IFERROR(INDEX(Venues!$H$2:$H$10,MATCH(S281,Venues!$A$2:$A$10,0)),"")</f>
        <v/>
      </c>
      <c r="W281" s="15">
        <f>IF('Pilot offer'!$C$24="Yes",'Pilot offer'!$C$3,S281)</f>
        <v/>
      </c>
      <c r="X281" s="42">
        <f>IF('Pilot offer'!$C$24="Yes",'Pilot offer'!$C$5+'Pilot offer'!$C$6,T281)</f>
        <v/>
      </c>
      <c r="Y281" s="15">
        <f>IF('Pilot offer'!$C$24="Yes",'Pilot offer'!$C$8,U281)</f>
        <v/>
      </c>
      <c r="Z281" s="43">
        <f>IF('Pilot offer'!$C$24="Yes",'Pilot offer'!$C$11,"")</f>
        <v/>
      </c>
      <c r="AA281" s="15">
        <f>IF(X281="","",W281&amp;" · "&amp;TEXT(X281,"ddd d mmm, hh:mm")&amp;" · "&amp;Y281&amp;IF(Z281&lt;&gt;""," · £"&amp;TEXT(Z281,"0.00")&amp;" per player"," · price TBC (cost £"&amp;TEXT(V281,"0.00")&amp;" pp)"))</f>
        <v/>
      </c>
      <c r="AD281" s="44" t="n"/>
    </row>
    <row r="282">
      <c r="A282" s="13" t="n">
        <v>280</v>
      </c>
      <c r="B282" s="13" t="inlineStr">
        <is>
          <t>2 · EC2A Shoreditch</t>
        </is>
      </c>
      <c r="C282" s="13" t="inlineStr">
        <is>
          <t>Office &amp; professional</t>
        </is>
      </c>
      <c r="D282" s="13" t="inlineStr">
        <is>
          <t>Corporate</t>
        </is>
      </c>
      <c r="E282" s="13" t="inlineStr">
        <is>
          <t>Forge</t>
        </is>
      </c>
      <c r="F282" s="13" t="inlineStr">
        <is>
          <t>consultant</t>
        </is>
      </c>
      <c r="G282" s="13" t="inlineStr">
        <is>
          <t>hello@forge.uk</t>
        </is>
      </c>
      <c r="H282" s="13" t="inlineStr">
        <is>
          <t>general</t>
        </is>
      </c>
      <c r="I282" s="13" t="inlineStr">
        <is>
          <t>+44 20 7155 9555</t>
        </is>
      </c>
      <c r="J282" s="14" t="inlineStr">
        <is>
          <t>https://www.forge.uk/</t>
        </is>
      </c>
      <c r="K282" s="13" t="inlineStr">
        <is>
          <t>18 Phipp St, London EC2A 4NU, UK</t>
        </is>
      </c>
      <c r="L282" s="13" t="inlineStr">
        <is>
          <t>EC2A 4NU</t>
        </is>
      </c>
      <c r="M282" s="13" t="inlineStr">
        <is>
          <t>Shoreditch Rooftop</t>
        </is>
      </c>
      <c r="N282" s="13" t="n">
        <v>19</v>
      </c>
      <c r="O282" s="15">
        <f>IFERROR(INDEX(Venues!$C$2:$C$10,MATCH(M282,Venues!$A$2:$A$10,0)),"Not checked")</f>
        <v/>
      </c>
      <c r="P282" s="15">
        <f>IFERROR(INDEX(Venues!$D$2:$D$10,MATCH(M282,Venues!$A$2:$A$10,0)),0)</f>
        <v/>
      </c>
      <c r="Q282" s="42">
        <f>IFERROR(INDEX(Venues!$E$2:$E$10,MATCH(M282,Venues!$A$2:$A$10,0)),"")</f>
        <v/>
      </c>
      <c r="R282" s="15">
        <f>IF(P282&gt;0,"Yes","No")</f>
        <v/>
      </c>
      <c r="S282" s="13" t="inlineStr">
        <is>
          <t>Shoreditch Rooftop</t>
        </is>
      </c>
      <c r="T282" s="42">
        <f>IFERROR(INDEX(Venues!$E$2:$E$10,MATCH(S282,Venues!$A$2:$A$10,0)),"")</f>
        <v/>
      </c>
      <c r="U282" s="15">
        <f>IFERROR(INDEX(Venues!$F$2:$F$10,MATCH(S282,Venues!$A$2:$A$10,0)),"")</f>
        <v/>
      </c>
      <c r="V282" s="43">
        <f>IFERROR(INDEX(Venues!$H$2:$H$10,MATCH(S282,Venues!$A$2:$A$10,0)),"")</f>
        <v/>
      </c>
      <c r="W282" s="15">
        <f>IF('Pilot offer'!$C$24="Yes",'Pilot offer'!$C$3,S282)</f>
        <v/>
      </c>
      <c r="X282" s="42">
        <f>IF('Pilot offer'!$C$24="Yes",'Pilot offer'!$C$5+'Pilot offer'!$C$6,T282)</f>
        <v/>
      </c>
      <c r="Y282" s="15">
        <f>IF('Pilot offer'!$C$24="Yes",'Pilot offer'!$C$8,U282)</f>
        <v/>
      </c>
      <c r="Z282" s="43">
        <f>IF('Pilot offer'!$C$24="Yes",'Pilot offer'!$C$11,"")</f>
        <v/>
      </c>
      <c r="AA282" s="15">
        <f>IF(X282="","",W282&amp;" · "&amp;TEXT(X282,"ddd d mmm, hh:mm")&amp;" · "&amp;Y282&amp;IF(Z282&lt;&gt;""," · £"&amp;TEXT(Z282,"0.00")&amp;" per player"," · price TBC (cost £"&amp;TEXT(V282,"0.00")&amp;" pp)"))</f>
        <v/>
      </c>
      <c r="AD282" s="44" t="n"/>
    </row>
    <row r="283">
      <c r="A283" s="13" t="n">
        <v>281</v>
      </c>
      <c r="B283" s="13" t="inlineStr">
        <is>
          <t>2 · EC2A Shoreditch</t>
        </is>
      </c>
      <c r="C283" s="13" t="inlineStr">
        <is>
          <t>Office &amp; professional</t>
        </is>
      </c>
      <c r="D283" s="13" t="inlineStr">
        <is>
          <t>Corporate</t>
        </is>
      </c>
      <c r="E283" s="13" t="inlineStr">
        <is>
          <t>Lendable Ltd</t>
        </is>
      </c>
      <c r="F283" s="13" t="inlineStr">
        <is>
          <t>company</t>
        </is>
      </c>
      <c r="G283" s="13" t="inlineStr">
        <is>
          <t>contact@lendable.co.uk</t>
        </is>
      </c>
      <c r="H283" s="13" t="inlineStr">
        <is>
          <t>openstreetmap_tag</t>
        </is>
      </c>
      <c r="I283" s="13" t="inlineStr">
        <is>
          <t>+44 20 3322 1948</t>
        </is>
      </c>
      <c r="J283" s="14" t="inlineStr">
        <is>
          <t>https://www.lendable.co.uk/</t>
        </is>
      </c>
      <c r="K283" s="13" t="inlineStr">
        <is>
          <t>69-77 Paul Street, London</t>
        </is>
      </c>
      <c r="L283" s="13" t="inlineStr">
        <is>
          <t>EC2A 4NW</t>
        </is>
      </c>
      <c r="M283" s="13" t="inlineStr">
        <is>
          <t>Old St - Moreland Primary School</t>
        </is>
      </c>
      <c r="N283" s="13" t="n">
        <v>17</v>
      </c>
      <c r="O283" s="15">
        <f>IFERROR(INDEX(Venues!$C$2:$C$10,MATCH(M283,Venues!$A$2:$A$10,0)),"Not checked")</f>
        <v/>
      </c>
      <c r="P283" s="15">
        <f>IFERROR(INDEX(Venues!$D$2:$D$10,MATCH(M283,Venues!$A$2:$A$10,0)),0)</f>
        <v/>
      </c>
      <c r="Q283" s="42">
        <f>IFERROR(INDEX(Venues!$E$2:$E$10,MATCH(M283,Venues!$A$2:$A$10,0)),"")</f>
        <v/>
      </c>
      <c r="R283" s="15">
        <f>IF(P283&gt;0,"Yes","No")</f>
        <v/>
      </c>
      <c r="S283" s="13" t="inlineStr">
        <is>
          <t>Old St - Moreland Primary School</t>
        </is>
      </c>
      <c r="T283" s="42">
        <f>IFERROR(INDEX(Venues!$E$2:$E$10,MATCH(S283,Venues!$A$2:$A$10,0)),"")</f>
        <v/>
      </c>
      <c r="U283" s="15">
        <f>IFERROR(INDEX(Venues!$F$2:$F$10,MATCH(S283,Venues!$A$2:$A$10,0)),"")</f>
        <v/>
      </c>
      <c r="V283" s="43">
        <f>IFERROR(INDEX(Venues!$H$2:$H$10,MATCH(S283,Venues!$A$2:$A$10,0)),"")</f>
        <v/>
      </c>
      <c r="W283" s="15">
        <f>IF('Pilot offer'!$C$24="Yes",'Pilot offer'!$C$3,S283)</f>
        <v/>
      </c>
      <c r="X283" s="42">
        <f>IF('Pilot offer'!$C$24="Yes",'Pilot offer'!$C$5+'Pilot offer'!$C$6,T283)</f>
        <v/>
      </c>
      <c r="Y283" s="15">
        <f>IF('Pilot offer'!$C$24="Yes",'Pilot offer'!$C$8,U283)</f>
        <v/>
      </c>
      <c r="Z283" s="43">
        <f>IF('Pilot offer'!$C$24="Yes",'Pilot offer'!$C$11,"")</f>
        <v/>
      </c>
      <c r="AA283" s="15">
        <f>IF(X283="","",W283&amp;" · "&amp;TEXT(X283,"ddd d mmm, hh:mm")&amp;" · "&amp;Y283&amp;IF(Z283&lt;&gt;""," · £"&amp;TEXT(Z283,"0.00")&amp;" per player"," · price TBC (cost £"&amp;TEXT(V283,"0.00")&amp;" pp)"))</f>
        <v/>
      </c>
      <c r="AD283" s="44" t="n"/>
    </row>
    <row r="284">
      <c r="A284" s="13" t="n">
        <v>282</v>
      </c>
      <c r="B284" s="13" t="inlineStr">
        <is>
          <t>2 · EC2A Shoreditch</t>
        </is>
      </c>
      <c r="C284" s="13" t="inlineStr">
        <is>
          <t>Office &amp; professional</t>
        </is>
      </c>
      <c r="D284" s="13" t="inlineStr">
        <is>
          <t>Corporate</t>
        </is>
      </c>
      <c r="E284" s="13" t="inlineStr">
        <is>
          <t>Cream - Advertising Agency (BCorp Certified)</t>
        </is>
      </c>
      <c r="F284" s="13" t="inlineStr">
        <is>
          <t>service</t>
        </is>
      </c>
      <c r="G284" s="13" t="inlineStr">
        <is>
          <t>info@creamuk.com</t>
        </is>
      </c>
      <c r="H284" s="13" t="inlineStr">
        <is>
          <t>general</t>
        </is>
      </c>
      <c r="I284" s="13" t="n"/>
      <c r="J284" s="14" t="inlineStr">
        <is>
          <t>http://www.creamuk.com/</t>
        </is>
      </c>
      <c r="K284" s="13" t="inlineStr">
        <is>
          <t>Cream, Unit 4.15, The Frames, 1 Phipp St, London EC2A 4PS, UK</t>
        </is>
      </c>
      <c r="L284" s="13" t="inlineStr">
        <is>
          <t>EC2A 4PS</t>
        </is>
      </c>
      <c r="M284" s="13" t="inlineStr">
        <is>
          <t>Shoreditch Rooftop</t>
        </is>
      </c>
      <c r="N284" s="13" t="n">
        <v>20</v>
      </c>
      <c r="O284" s="15">
        <f>IFERROR(INDEX(Venues!$C$2:$C$10,MATCH(M284,Venues!$A$2:$A$10,0)),"Not checked")</f>
        <v/>
      </c>
      <c r="P284" s="15">
        <f>IFERROR(INDEX(Venues!$D$2:$D$10,MATCH(M284,Venues!$A$2:$A$10,0)),0)</f>
        <v/>
      </c>
      <c r="Q284" s="42">
        <f>IFERROR(INDEX(Venues!$E$2:$E$10,MATCH(M284,Venues!$A$2:$A$10,0)),"")</f>
        <v/>
      </c>
      <c r="R284" s="15">
        <f>IF(P284&gt;0,"Yes","No")</f>
        <v/>
      </c>
      <c r="S284" s="13" t="inlineStr">
        <is>
          <t>Shoreditch Rooftop</t>
        </is>
      </c>
      <c r="T284" s="42">
        <f>IFERROR(INDEX(Venues!$E$2:$E$10,MATCH(S284,Venues!$A$2:$A$10,0)),"")</f>
        <v/>
      </c>
      <c r="U284" s="15">
        <f>IFERROR(INDEX(Venues!$F$2:$F$10,MATCH(S284,Venues!$A$2:$A$10,0)),"")</f>
        <v/>
      </c>
      <c r="V284" s="43">
        <f>IFERROR(INDEX(Venues!$H$2:$H$10,MATCH(S284,Venues!$A$2:$A$10,0)),"")</f>
        <v/>
      </c>
      <c r="W284" s="15">
        <f>IF('Pilot offer'!$C$24="Yes",'Pilot offer'!$C$3,S284)</f>
        <v/>
      </c>
      <c r="X284" s="42">
        <f>IF('Pilot offer'!$C$24="Yes",'Pilot offer'!$C$5+'Pilot offer'!$C$6,T284)</f>
        <v/>
      </c>
      <c r="Y284" s="15">
        <f>IF('Pilot offer'!$C$24="Yes",'Pilot offer'!$C$8,U284)</f>
        <v/>
      </c>
      <c r="Z284" s="43">
        <f>IF('Pilot offer'!$C$24="Yes",'Pilot offer'!$C$11,"")</f>
        <v/>
      </c>
      <c r="AA284" s="15">
        <f>IF(X284="","",W284&amp;" · "&amp;TEXT(X284,"ddd d mmm, hh:mm")&amp;" · "&amp;Y284&amp;IF(Z284&lt;&gt;""," · £"&amp;TEXT(Z284,"0.00")&amp;" per player"," · price TBC (cost £"&amp;TEXT(V284,"0.00")&amp;" pp)"))</f>
        <v/>
      </c>
      <c r="AD284" s="44" t="n"/>
    </row>
    <row r="285">
      <c r="A285" s="13" t="n">
        <v>283</v>
      </c>
      <c r="B285" s="13" t="inlineStr">
        <is>
          <t>2 · EC2A Shoreditch</t>
        </is>
      </c>
      <c r="C285" s="13" t="inlineStr">
        <is>
          <t>Office &amp; professional</t>
        </is>
      </c>
      <c r="D285" s="13" t="inlineStr">
        <is>
          <t>Corporate</t>
        </is>
      </c>
      <c r="E285" s="13" t="inlineStr">
        <is>
          <t>Gifta - Influencer Marketing Agency</t>
        </is>
      </c>
      <c r="F285" s="13" t="inlineStr">
        <is>
          <t>service</t>
        </is>
      </c>
      <c r="G285" s="13" t="inlineStr">
        <is>
          <t>hello@gifta.co.uk</t>
        </is>
      </c>
      <c r="H285" s="13" t="inlineStr">
        <is>
          <t>general</t>
        </is>
      </c>
      <c r="I285" s="13" t="n"/>
      <c r="J285" s="14" t="inlineStr">
        <is>
          <t>https://www.gifta.co.uk/?utm_source=google-business-profile&amp;utm_medium=organic</t>
        </is>
      </c>
      <c r="K285" s="13" t="inlineStr">
        <is>
          <t>1 Phipp St, London EC2A 4PS, UK</t>
        </is>
      </c>
      <c r="L285" s="13" t="inlineStr">
        <is>
          <t>EC2A 4PS</t>
        </is>
      </c>
      <c r="M285" s="13" t="inlineStr">
        <is>
          <t>Shoreditch Rooftop</t>
        </is>
      </c>
      <c r="N285" s="13" t="n">
        <v>20</v>
      </c>
      <c r="O285" s="15">
        <f>IFERROR(INDEX(Venues!$C$2:$C$10,MATCH(M285,Venues!$A$2:$A$10,0)),"Not checked")</f>
        <v/>
      </c>
      <c r="P285" s="15">
        <f>IFERROR(INDEX(Venues!$D$2:$D$10,MATCH(M285,Venues!$A$2:$A$10,0)),0)</f>
        <v/>
      </c>
      <c r="Q285" s="42">
        <f>IFERROR(INDEX(Venues!$E$2:$E$10,MATCH(M285,Venues!$A$2:$A$10,0)),"")</f>
        <v/>
      </c>
      <c r="R285" s="15">
        <f>IF(P285&gt;0,"Yes","No")</f>
        <v/>
      </c>
      <c r="S285" s="13" t="inlineStr">
        <is>
          <t>Shoreditch Rooftop</t>
        </is>
      </c>
      <c r="T285" s="42">
        <f>IFERROR(INDEX(Venues!$E$2:$E$10,MATCH(S285,Venues!$A$2:$A$10,0)),"")</f>
        <v/>
      </c>
      <c r="U285" s="15">
        <f>IFERROR(INDEX(Venues!$F$2:$F$10,MATCH(S285,Venues!$A$2:$A$10,0)),"")</f>
        <v/>
      </c>
      <c r="V285" s="43">
        <f>IFERROR(INDEX(Venues!$H$2:$H$10,MATCH(S285,Venues!$A$2:$A$10,0)),"")</f>
        <v/>
      </c>
      <c r="W285" s="15">
        <f>IF('Pilot offer'!$C$24="Yes",'Pilot offer'!$C$3,S285)</f>
        <v/>
      </c>
      <c r="X285" s="42">
        <f>IF('Pilot offer'!$C$24="Yes",'Pilot offer'!$C$5+'Pilot offer'!$C$6,T285)</f>
        <v/>
      </c>
      <c r="Y285" s="15">
        <f>IF('Pilot offer'!$C$24="Yes",'Pilot offer'!$C$8,U285)</f>
        <v/>
      </c>
      <c r="Z285" s="43">
        <f>IF('Pilot offer'!$C$24="Yes",'Pilot offer'!$C$11,"")</f>
        <v/>
      </c>
      <c r="AA285" s="15">
        <f>IF(X285="","",W285&amp;" · "&amp;TEXT(X285,"ddd d mmm, hh:mm")&amp;" · "&amp;Y285&amp;IF(Z285&lt;&gt;""," · £"&amp;TEXT(Z285,"0.00")&amp;" per player"," · price TBC (cost £"&amp;TEXT(V285,"0.00")&amp;" pp)"))</f>
        <v/>
      </c>
      <c r="AD285" s="44" t="n"/>
    </row>
    <row r="286">
      <c r="A286" s="13" t="n">
        <v>284</v>
      </c>
      <c r="B286" s="13" t="inlineStr">
        <is>
          <t>2 · EC2A Shoreditch</t>
        </is>
      </c>
      <c r="C286" s="13" t="inlineStr">
        <is>
          <t>Office &amp; professional</t>
        </is>
      </c>
      <c r="D286" s="13" t="inlineStr">
        <is>
          <t>Corporate</t>
        </is>
      </c>
      <c r="E286" s="13" t="inlineStr">
        <is>
          <t>Illuminate Financial</t>
        </is>
      </c>
      <c r="F286" s="13" t="inlineStr">
        <is>
          <t>finance</t>
        </is>
      </c>
      <c r="G286" s="13" t="inlineStr">
        <is>
          <t>info@illuminatefinancial.com</t>
        </is>
      </c>
      <c r="H286" s="13" t="inlineStr">
        <is>
          <t>general</t>
        </is>
      </c>
      <c r="I286" s="13" t="inlineStr">
        <is>
          <t>+44 20 3198 1600</t>
        </is>
      </c>
      <c r="J286" s="14" t="inlineStr">
        <is>
          <t>http://www.illuminatefinancial.com/</t>
        </is>
      </c>
      <c r="K286" s="13" t="inlineStr">
        <is>
          <t>Office 404, The Frames, Phipp St, London EC2A 4PS, UK</t>
        </is>
      </c>
      <c r="L286" s="13" t="inlineStr">
        <is>
          <t>EC2A 4PS</t>
        </is>
      </c>
      <c r="M286" s="13" t="inlineStr">
        <is>
          <t>Shoreditch Rooftop</t>
        </is>
      </c>
      <c r="N286" s="13" t="n">
        <v>19</v>
      </c>
      <c r="O286" s="15">
        <f>IFERROR(INDEX(Venues!$C$2:$C$10,MATCH(M286,Venues!$A$2:$A$10,0)),"Not checked")</f>
        <v/>
      </c>
      <c r="P286" s="15">
        <f>IFERROR(INDEX(Venues!$D$2:$D$10,MATCH(M286,Venues!$A$2:$A$10,0)),0)</f>
        <v/>
      </c>
      <c r="Q286" s="42">
        <f>IFERROR(INDEX(Venues!$E$2:$E$10,MATCH(M286,Venues!$A$2:$A$10,0)),"")</f>
        <v/>
      </c>
      <c r="R286" s="15">
        <f>IF(P286&gt;0,"Yes","No")</f>
        <v/>
      </c>
      <c r="S286" s="13" t="inlineStr">
        <is>
          <t>Shoreditch Rooftop</t>
        </is>
      </c>
      <c r="T286" s="42">
        <f>IFERROR(INDEX(Venues!$E$2:$E$10,MATCH(S286,Venues!$A$2:$A$10,0)),"")</f>
        <v/>
      </c>
      <c r="U286" s="15">
        <f>IFERROR(INDEX(Venues!$F$2:$F$10,MATCH(S286,Venues!$A$2:$A$10,0)),"")</f>
        <v/>
      </c>
      <c r="V286" s="43">
        <f>IFERROR(INDEX(Venues!$H$2:$H$10,MATCH(S286,Venues!$A$2:$A$10,0)),"")</f>
        <v/>
      </c>
      <c r="W286" s="15">
        <f>IF('Pilot offer'!$C$24="Yes",'Pilot offer'!$C$3,S286)</f>
        <v/>
      </c>
      <c r="X286" s="42">
        <f>IF('Pilot offer'!$C$24="Yes",'Pilot offer'!$C$5+'Pilot offer'!$C$6,T286)</f>
        <v/>
      </c>
      <c r="Y286" s="15">
        <f>IF('Pilot offer'!$C$24="Yes",'Pilot offer'!$C$8,U286)</f>
        <v/>
      </c>
      <c r="Z286" s="43">
        <f>IF('Pilot offer'!$C$24="Yes",'Pilot offer'!$C$11,"")</f>
        <v/>
      </c>
      <c r="AA286" s="15">
        <f>IF(X286="","",W286&amp;" · "&amp;TEXT(X286,"ddd d mmm, hh:mm")&amp;" · "&amp;Y286&amp;IF(Z286&lt;&gt;""," · £"&amp;TEXT(Z286,"0.00")&amp;" per player"," · price TBC (cost £"&amp;TEXT(V286,"0.00")&amp;" pp)"))</f>
        <v/>
      </c>
      <c r="AD286" s="44" t="n"/>
    </row>
    <row r="287">
      <c r="A287" s="13" t="n">
        <v>285</v>
      </c>
      <c r="B287" s="13" t="inlineStr">
        <is>
          <t>2 · EC2A Shoreditch</t>
        </is>
      </c>
      <c r="C287" s="13" t="inlineStr">
        <is>
          <t>Hospitality</t>
        </is>
      </c>
      <c r="D287" s="13" t="inlineStr">
        <is>
          <t>Local businesses</t>
        </is>
      </c>
      <c r="E287" s="13" t="inlineStr">
        <is>
          <t>Bistro Freddie</t>
        </is>
      </c>
      <c r="F287" s="13" t="inlineStr">
        <is>
          <t>amenity: restaurant</t>
        </is>
      </c>
      <c r="G287" s="13" t="inlineStr">
        <is>
          <t>info@bistrofreddie.com</t>
        </is>
      </c>
      <c r="H287" s="13" t="inlineStr">
        <is>
          <t>general</t>
        </is>
      </c>
      <c r="I287" s="13" t="n"/>
      <c r="J287" s="14" t="inlineStr">
        <is>
          <t>https://www.bistrofreddie.com/</t>
        </is>
      </c>
      <c r="K287" s="13" t="inlineStr">
        <is>
          <t>Luke Street 74, London</t>
        </is>
      </c>
      <c r="L287" s="13" t="inlineStr">
        <is>
          <t>EC2A 4PY</t>
        </is>
      </c>
      <c r="M287" s="13" t="inlineStr">
        <is>
          <t>Shoreditch Rooftop</t>
        </is>
      </c>
      <c r="N287" s="13" t="n">
        <v>19</v>
      </c>
      <c r="O287" s="15">
        <f>IFERROR(INDEX(Venues!$C$2:$C$10,MATCH(M287,Venues!$A$2:$A$10,0)),"Not checked")</f>
        <v/>
      </c>
      <c r="P287" s="15">
        <f>IFERROR(INDEX(Venues!$D$2:$D$10,MATCH(M287,Venues!$A$2:$A$10,0)),0)</f>
        <v/>
      </c>
      <c r="Q287" s="42">
        <f>IFERROR(INDEX(Venues!$E$2:$E$10,MATCH(M287,Venues!$A$2:$A$10,0)),"")</f>
        <v/>
      </c>
      <c r="R287" s="15">
        <f>IF(P287&gt;0,"Yes","No")</f>
        <v/>
      </c>
      <c r="S287" s="13" t="inlineStr">
        <is>
          <t>Shoreditch Rooftop</t>
        </is>
      </c>
      <c r="T287" s="42">
        <f>IFERROR(INDEX(Venues!$E$2:$E$10,MATCH(S287,Venues!$A$2:$A$10,0)),"")</f>
        <v/>
      </c>
      <c r="U287" s="15">
        <f>IFERROR(INDEX(Venues!$F$2:$F$10,MATCH(S287,Venues!$A$2:$A$10,0)),"")</f>
        <v/>
      </c>
      <c r="V287" s="43">
        <f>IFERROR(INDEX(Venues!$H$2:$H$10,MATCH(S287,Venues!$A$2:$A$10,0)),"")</f>
        <v/>
      </c>
      <c r="W287" s="15">
        <f>IF('Pilot offer'!$C$24="Yes",'Pilot offer'!$C$3,S287)</f>
        <v/>
      </c>
      <c r="X287" s="42">
        <f>IF('Pilot offer'!$C$24="Yes",'Pilot offer'!$C$5+'Pilot offer'!$C$6,T287)</f>
        <v/>
      </c>
      <c r="Y287" s="15">
        <f>IF('Pilot offer'!$C$24="Yes",'Pilot offer'!$C$8,U287)</f>
        <v/>
      </c>
      <c r="Z287" s="43">
        <f>IF('Pilot offer'!$C$24="Yes",'Pilot offer'!$C$11,"")</f>
        <v/>
      </c>
      <c r="AA287" s="15">
        <f>IF(X287="","",W287&amp;" · "&amp;TEXT(X287,"ddd d mmm, hh:mm")&amp;" · "&amp;Y287&amp;IF(Z287&lt;&gt;""," · £"&amp;TEXT(Z287,"0.00")&amp;" per player"," · price TBC (cost £"&amp;TEXT(V287,"0.00")&amp;" pp)"))</f>
        <v/>
      </c>
      <c r="AD287" s="44" t="n"/>
    </row>
    <row r="288">
      <c r="A288" s="13" t="n">
        <v>286</v>
      </c>
      <c r="B288" s="13" t="inlineStr">
        <is>
          <t>2 · EC2A Shoreditch</t>
        </is>
      </c>
      <c r="C288" s="13" t="inlineStr">
        <is>
          <t>Office &amp; professional</t>
        </is>
      </c>
      <c r="D288" s="13" t="inlineStr">
        <is>
          <t>Corporate</t>
        </is>
      </c>
      <c r="E288" s="13" t="inlineStr">
        <is>
          <t>Bright Technology</t>
        </is>
      </c>
      <c r="F288" s="13" t="inlineStr">
        <is>
          <t>consultant</t>
        </is>
      </c>
      <c r="G288" s="13" t="inlineStr">
        <is>
          <t>info@cloudswitched.com</t>
        </is>
      </c>
      <c r="H288" s="13" t="inlineStr">
        <is>
          <t>general</t>
        </is>
      </c>
      <c r="I288" s="13" t="inlineStr">
        <is>
          <t>+44 20 3031 9500</t>
        </is>
      </c>
      <c r="J288" s="14" t="inlineStr">
        <is>
          <t>http://www.bright.co/</t>
        </is>
      </c>
      <c r="K288" s="13" t="inlineStr">
        <is>
          <t>Unit 5, 32-38 Scrutton St, London EC2A 4RQ, UK</t>
        </is>
      </c>
      <c r="L288" s="13" t="inlineStr">
        <is>
          <t>EC2A 4RQ</t>
        </is>
      </c>
      <c r="M288" s="13" t="inlineStr">
        <is>
          <t>Shoreditch Rooftop</t>
        </is>
      </c>
      <c r="N288" s="13" t="n">
        <v>21</v>
      </c>
      <c r="O288" s="15">
        <f>IFERROR(INDEX(Venues!$C$2:$C$10,MATCH(M288,Venues!$A$2:$A$10,0)),"Not checked")</f>
        <v/>
      </c>
      <c r="P288" s="15">
        <f>IFERROR(INDEX(Venues!$D$2:$D$10,MATCH(M288,Venues!$A$2:$A$10,0)),0)</f>
        <v/>
      </c>
      <c r="Q288" s="42">
        <f>IFERROR(INDEX(Venues!$E$2:$E$10,MATCH(M288,Venues!$A$2:$A$10,0)),"")</f>
        <v/>
      </c>
      <c r="R288" s="15">
        <f>IF(P288&gt;0,"Yes","No")</f>
        <v/>
      </c>
      <c r="S288" s="13" t="inlineStr">
        <is>
          <t>Shoreditch Rooftop</t>
        </is>
      </c>
      <c r="T288" s="42">
        <f>IFERROR(INDEX(Venues!$E$2:$E$10,MATCH(S288,Venues!$A$2:$A$10,0)),"")</f>
        <v/>
      </c>
      <c r="U288" s="15">
        <f>IFERROR(INDEX(Venues!$F$2:$F$10,MATCH(S288,Venues!$A$2:$A$10,0)),"")</f>
        <v/>
      </c>
      <c r="V288" s="43">
        <f>IFERROR(INDEX(Venues!$H$2:$H$10,MATCH(S288,Venues!$A$2:$A$10,0)),"")</f>
        <v/>
      </c>
      <c r="W288" s="15">
        <f>IF('Pilot offer'!$C$24="Yes",'Pilot offer'!$C$3,S288)</f>
        <v/>
      </c>
      <c r="X288" s="42">
        <f>IF('Pilot offer'!$C$24="Yes",'Pilot offer'!$C$5+'Pilot offer'!$C$6,T288)</f>
        <v/>
      </c>
      <c r="Y288" s="15">
        <f>IF('Pilot offer'!$C$24="Yes",'Pilot offer'!$C$8,U288)</f>
        <v/>
      </c>
      <c r="Z288" s="43">
        <f>IF('Pilot offer'!$C$24="Yes",'Pilot offer'!$C$11,"")</f>
        <v/>
      </c>
      <c r="AA288" s="15">
        <f>IF(X288="","",W288&amp;" · "&amp;TEXT(X288,"ddd d mmm, hh:mm")&amp;" · "&amp;Y288&amp;IF(Z288&lt;&gt;""," · £"&amp;TEXT(Z288,"0.00")&amp;" per player"," · price TBC (cost £"&amp;TEXT(V288,"0.00")&amp;" pp)"))</f>
        <v/>
      </c>
      <c r="AD288" s="44" t="n"/>
    </row>
    <row r="289">
      <c r="A289" s="13" t="n">
        <v>287</v>
      </c>
      <c r="B289" s="13" t="inlineStr">
        <is>
          <t>2 · EC2A Shoreditch</t>
        </is>
      </c>
      <c r="C289" s="13" t="inlineStr">
        <is>
          <t>Coworking / shared office</t>
        </is>
      </c>
      <c r="D289" s="13" t="inlineStr">
        <is>
          <t>Corporate</t>
        </is>
      </c>
      <c r="E289" s="13" t="inlineStr">
        <is>
          <t>London Initiative for Safe AI</t>
        </is>
      </c>
      <c r="F289" s="13" t="inlineStr">
        <is>
          <t>coworking</t>
        </is>
      </c>
      <c r="G289" s="13" t="inlineStr">
        <is>
          <t>info@safeai.org.uk</t>
        </is>
      </c>
      <c r="H289" s="13" t="inlineStr">
        <is>
          <t>openstreetmap_tag</t>
        </is>
      </c>
      <c r="I289" s="13" t="n"/>
      <c r="J289" s="14" t="inlineStr">
        <is>
          <t>https://www.safeai.org.uk/</t>
        </is>
      </c>
      <c r="K289" s="13" t="inlineStr">
        <is>
          <t>25 Holywell Row, London</t>
        </is>
      </c>
      <c r="L289" s="13" t="inlineStr">
        <is>
          <t>EC2A 4XE</t>
        </is>
      </c>
      <c r="M289" s="13" t="inlineStr">
        <is>
          <t>Old St - Moreland Primary School</t>
        </is>
      </c>
      <c r="N289" s="13" t="n">
        <v>21</v>
      </c>
      <c r="O289" s="15">
        <f>IFERROR(INDEX(Venues!$C$2:$C$10,MATCH(M289,Venues!$A$2:$A$10,0)),"Not checked")</f>
        <v/>
      </c>
      <c r="P289" s="15">
        <f>IFERROR(INDEX(Venues!$D$2:$D$10,MATCH(M289,Venues!$A$2:$A$10,0)),0)</f>
        <v/>
      </c>
      <c r="Q289" s="42">
        <f>IFERROR(INDEX(Venues!$E$2:$E$10,MATCH(M289,Venues!$A$2:$A$10,0)),"")</f>
        <v/>
      </c>
      <c r="R289" s="15">
        <f>IF(P289&gt;0,"Yes","No")</f>
        <v/>
      </c>
      <c r="S289" s="13" t="inlineStr">
        <is>
          <t>Old St - Moreland Primary School</t>
        </is>
      </c>
      <c r="T289" s="42">
        <f>IFERROR(INDEX(Venues!$E$2:$E$10,MATCH(S289,Venues!$A$2:$A$10,0)),"")</f>
        <v/>
      </c>
      <c r="U289" s="15">
        <f>IFERROR(INDEX(Venues!$F$2:$F$10,MATCH(S289,Venues!$A$2:$A$10,0)),"")</f>
        <v/>
      </c>
      <c r="V289" s="43">
        <f>IFERROR(INDEX(Venues!$H$2:$H$10,MATCH(S289,Venues!$A$2:$A$10,0)),"")</f>
        <v/>
      </c>
      <c r="W289" s="15">
        <f>IF('Pilot offer'!$C$24="Yes",'Pilot offer'!$C$3,S289)</f>
        <v/>
      </c>
      <c r="X289" s="42">
        <f>IF('Pilot offer'!$C$24="Yes",'Pilot offer'!$C$5+'Pilot offer'!$C$6,T289)</f>
        <v/>
      </c>
      <c r="Y289" s="15">
        <f>IF('Pilot offer'!$C$24="Yes",'Pilot offer'!$C$8,U289)</f>
        <v/>
      </c>
      <c r="Z289" s="43">
        <f>IF('Pilot offer'!$C$24="Yes",'Pilot offer'!$C$11,"")</f>
        <v/>
      </c>
      <c r="AA289" s="15">
        <f>IF(X289="","",W289&amp;" · "&amp;TEXT(X289,"ddd d mmm, hh:mm")&amp;" · "&amp;Y289&amp;IF(Z289&lt;&gt;""," · £"&amp;TEXT(Z289,"0.00")&amp;" per player"," · price TBC (cost £"&amp;TEXT(V289,"0.00")&amp;" pp)"))</f>
        <v/>
      </c>
      <c r="AD289" s="44" t="n"/>
    </row>
    <row r="290">
      <c r="A290" s="13" t="n">
        <v>288</v>
      </c>
      <c r="B290" s="13" t="inlineStr">
        <is>
          <t>2 · N1 Hoxton</t>
        </is>
      </c>
      <c r="C290" s="13" t="inlineStr">
        <is>
          <t>Hospitality</t>
        </is>
      </c>
      <c r="D290" s="13" t="inlineStr">
        <is>
          <t>Local businesses</t>
        </is>
      </c>
      <c r="E290" s="13" t="inlineStr">
        <is>
          <t>Firin</t>
        </is>
      </c>
      <c r="F290" s="13" t="inlineStr">
        <is>
          <t>amenity: restaurant</t>
        </is>
      </c>
      <c r="G290" s="13" t="inlineStr">
        <is>
          <t>info@firin.co.uk</t>
        </is>
      </c>
      <c r="H290" s="13" t="inlineStr">
        <is>
          <t>general</t>
        </is>
      </c>
      <c r="I290" s="13" t="inlineStr">
        <is>
          <t>+44 20 7833 5076</t>
        </is>
      </c>
      <c r="J290" s="14" t="inlineStr">
        <is>
          <t>https://firin.co.uk/</t>
        </is>
      </c>
      <c r="K290" s="13" t="inlineStr">
        <is>
          <t>York Way 140, London</t>
        </is>
      </c>
      <c r="L290" s="13" t="inlineStr">
        <is>
          <t>N1 0AX</t>
        </is>
      </c>
      <c r="M290" s="13" t="inlineStr">
        <is>
          <t>Market Road</t>
        </is>
      </c>
      <c r="N290" s="13" t="n">
        <v>15</v>
      </c>
      <c r="O290" s="15">
        <f>IFERROR(INDEX(Venues!$C$2:$C$10,MATCH(M290,Venues!$A$2:$A$10,0)),"Not checked")</f>
        <v/>
      </c>
      <c r="P290" s="15">
        <f>IFERROR(INDEX(Venues!$D$2:$D$10,MATCH(M290,Venues!$A$2:$A$10,0)),0)</f>
        <v/>
      </c>
      <c r="Q290" s="42">
        <f>IFERROR(INDEX(Venues!$E$2:$E$10,MATCH(M290,Venues!$A$2:$A$10,0)),"")</f>
        <v/>
      </c>
      <c r="R290" s="15">
        <f>IF(P290&gt;0,"Yes","No")</f>
        <v/>
      </c>
      <c r="S290" s="13" t="inlineStr">
        <is>
          <t>Market Road</t>
        </is>
      </c>
      <c r="T290" s="42">
        <f>IFERROR(INDEX(Venues!$E$2:$E$10,MATCH(S290,Venues!$A$2:$A$10,0)),"")</f>
        <v/>
      </c>
      <c r="U290" s="15">
        <f>IFERROR(INDEX(Venues!$F$2:$F$10,MATCH(S290,Venues!$A$2:$A$10,0)),"")</f>
        <v/>
      </c>
      <c r="V290" s="43">
        <f>IFERROR(INDEX(Venues!$H$2:$H$10,MATCH(S290,Venues!$A$2:$A$10,0)),"")</f>
        <v/>
      </c>
      <c r="W290" s="15">
        <f>IF('Pilot offer'!$C$24="Yes",'Pilot offer'!$C$3,S290)</f>
        <v/>
      </c>
      <c r="X290" s="42">
        <f>IF('Pilot offer'!$C$24="Yes",'Pilot offer'!$C$5+'Pilot offer'!$C$6,T290)</f>
        <v/>
      </c>
      <c r="Y290" s="15">
        <f>IF('Pilot offer'!$C$24="Yes",'Pilot offer'!$C$8,U290)</f>
        <v/>
      </c>
      <c r="Z290" s="43">
        <f>IF('Pilot offer'!$C$24="Yes",'Pilot offer'!$C$11,"")</f>
        <v/>
      </c>
      <c r="AA290" s="15">
        <f>IF(X290="","",W290&amp;" · "&amp;TEXT(X290,"ddd d mmm, hh:mm")&amp;" · "&amp;Y290&amp;IF(Z290&lt;&gt;""," · £"&amp;TEXT(Z290,"0.00")&amp;" per player"," · price TBC (cost £"&amp;TEXT(V290,"0.00")&amp;" pp)"))</f>
        <v/>
      </c>
      <c r="AD290" s="44" t="n"/>
    </row>
    <row r="291">
      <c r="A291" s="13" t="n">
        <v>289</v>
      </c>
      <c r="B291" s="13" t="inlineStr">
        <is>
          <t>2 · N1 Hoxton</t>
        </is>
      </c>
      <c r="C291" s="13" t="inlineStr">
        <is>
          <t>Hospitality</t>
        </is>
      </c>
      <c r="D291" s="13" t="inlineStr">
        <is>
          <t>Local businesses</t>
        </is>
      </c>
      <c r="E291" s="13" t="inlineStr">
        <is>
          <t>The Star of Kings</t>
        </is>
      </c>
      <c r="F291" s="13" t="inlineStr">
        <is>
          <t>amenity: pub</t>
        </is>
      </c>
      <c r="G291" s="13" t="inlineStr">
        <is>
          <t>info@starofkings.co.uk</t>
        </is>
      </c>
      <c r="H291" s="13" t="inlineStr">
        <is>
          <t>general</t>
        </is>
      </c>
      <c r="I291" s="13" t="inlineStr">
        <is>
          <t>+44 20 7458 4218</t>
        </is>
      </c>
      <c r="J291" s="14" t="inlineStr">
        <is>
          <t>http://starofkings.co.uk/</t>
        </is>
      </c>
      <c r="K291" s="13" t="inlineStr">
        <is>
          <t>York Way 126, London</t>
        </is>
      </c>
      <c r="L291" s="13" t="inlineStr">
        <is>
          <t>N1 0AX</t>
        </is>
      </c>
      <c r="M291" s="13" t="inlineStr">
        <is>
          <t>Market Road</t>
        </is>
      </c>
      <c r="N291" s="13" t="n">
        <v>16</v>
      </c>
      <c r="O291" s="15">
        <f>IFERROR(INDEX(Venues!$C$2:$C$10,MATCH(M291,Venues!$A$2:$A$10,0)),"Not checked")</f>
        <v/>
      </c>
      <c r="P291" s="15">
        <f>IFERROR(INDEX(Venues!$D$2:$D$10,MATCH(M291,Venues!$A$2:$A$10,0)),0)</f>
        <v/>
      </c>
      <c r="Q291" s="42">
        <f>IFERROR(INDEX(Venues!$E$2:$E$10,MATCH(M291,Venues!$A$2:$A$10,0)),"")</f>
        <v/>
      </c>
      <c r="R291" s="15">
        <f>IF(P291&gt;0,"Yes","No")</f>
        <v/>
      </c>
      <c r="S291" s="13" t="inlineStr">
        <is>
          <t>Market Road</t>
        </is>
      </c>
      <c r="T291" s="42">
        <f>IFERROR(INDEX(Venues!$E$2:$E$10,MATCH(S291,Venues!$A$2:$A$10,0)),"")</f>
        <v/>
      </c>
      <c r="U291" s="15">
        <f>IFERROR(INDEX(Venues!$F$2:$F$10,MATCH(S291,Venues!$A$2:$A$10,0)),"")</f>
        <v/>
      </c>
      <c r="V291" s="43">
        <f>IFERROR(INDEX(Venues!$H$2:$H$10,MATCH(S291,Venues!$A$2:$A$10,0)),"")</f>
        <v/>
      </c>
      <c r="W291" s="15">
        <f>IF('Pilot offer'!$C$24="Yes",'Pilot offer'!$C$3,S291)</f>
        <v/>
      </c>
      <c r="X291" s="42">
        <f>IF('Pilot offer'!$C$24="Yes",'Pilot offer'!$C$5+'Pilot offer'!$C$6,T291)</f>
        <v/>
      </c>
      <c r="Y291" s="15">
        <f>IF('Pilot offer'!$C$24="Yes",'Pilot offer'!$C$8,U291)</f>
        <v/>
      </c>
      <c r="Z291" s="43">
        <f>IF('Pilot offer'!$C$24="Yes",'Pilot offer'!$C$11,"")</f>
        <v/>
      </c>
      <c r="AA291" s="15">
        <f>IF(X291="","",W291&amp;" · "&amp;TEXT(X291,"ddd d mmm, hh:mm")&amp;" · "&amp;Y291&amp;IF(Z291&lt;&gt;""," · £"&amp;TEXT(Z291,"0.00")&amp;" per player"," · price TBC (cost £"&amp;TEXT(V291,"0.00")&amp;" pp)"))</f>
        <v/>
      </c>
      <c r="AD291" s="44" t="n"/>
    </row>
    <row r="292">
      <c r="A292" s="13" t="n">
        <v>290</v>
      </c>
      <c r="B292" s="13" t="inlineStr">
        <is>
          <t>2 · N1 Hoxton</t>
        </is>
      </c>
      <c r="C292" s="13" t="inlineStr">
        <is>
          <t>Other</t>
        </is>
      </c>
      <c r="D292" s="13" t="inlineStr">
        <is>
          <t>Local businesses</t>
        </is>
      </c>
      <c r="E292" s="13" t="inlineStr">
        <is>
          <t>American Carwash</t>
        </is>
      </c>
      <c r="F292" s="13" t="inlineStr">
        <is>
          <t>amenity: car wash</t>
        </is>
      </c>
      <c r="G292" s="13" t="inlineStr">
        <is>
          <t>roxanne@americancarwash.co.uk</t>
        </is>
      </c>
      <c r="H292" s="13" t="inlineStr">
        <is>
          <t>person_or_other</t>
        </is>
      </c>
      <c r="I292" s="13" t="inlineStr">
        <is>
          <t>+44 20 7278 0600</t>
        </is>
      </c>
      <c r="J292" s="14" t="inlineStr">
        <is>
          <t>https://www.americancarwash.co.uk/locations/kings-cross/</t>
        </is>
      </c>
      <c r="K292" s="13" t="inlineStr">
        <is>
          <t>York Way 176-178, London</t>
        </is>
      </c>
      <c r="L292" s="13" t="inlineStr">
        <is>
          <t>N1 0AZ</t>
        </is>
      </c>
      <c r="M292" s="13" t="inlineStr">
        <is>
          <t>Market Road</t>
        </is>
      </c>
      <c r="N292" s="13" t="n">
        <v>11</v>
      </c>
      <c r="O292" s="15">
        <f>IFERROR(INDEX(Venues!$C$2:$C$10,MATCH(M292,Venues!$A$2:$A$10,0)),"Not checked")</f>
        <v/>
      </c>
      <c r="P292" s="15">
        <f>IFERROR(INDEX(Venues!$D$2:$D$10,MATCH(M292,Venues!$A$2:$A$10,0)),0)</f>
        <v/>
      </c>
      <c r="Q292" s="42">
        <f>IFERROR(INDEX(Venues!$E$2:$E$10,MATCH(M292,Venues!$A$2:$A$10,0)),"")</f>
        <v/>
      </c>
      <c r="R292" s="15">
        <f>IF(P292&gt;0,"Yes","No")</f>
        <v/>
      </c>
      <c r="S292" s="13" t="inlineStr">
        <is>
          <t>Market Road</t>
        </is>
      </c>
      <c r="T292" s="42">
        <f>IFERROR(INDEX(Venues!$E$2:$E$10,MATCH(S292,Venues!$A$2:$A$10,0)),"")</f>
        <v/>
      </c>
      <c r="U292" s="15">
        <f>IFERROR(INDEX(Venues!$F$2:$F$10,MATCH(S292,Venues!$A$2:$A$10,0)),"")</f>
        <v/>
      </c>
      <c r="V292" s="43">
        <f>IFERROR(INDEX(Venues!$H$2:$H$10,MATCH(S292,Venues!$A$2:$A$10,0)),"")</f>
        <v/>
      </c>
      <c r="W292" s="15">
        <f>IF('Pilot offer'!$C$24="Yes",'Pilot offer'!$C$3,S292)</f>
        <v/>
      </c>
      <c r="X292" s="42">
        <f>IF('Pilot offer'!$C$24="Yes",'Pilot offer'!$C$5+'Pilot offer'!$C$6,T292)</f>
        <v/>
      </c>
      <c r="Y292" s="15">
        <f>IF('Pilot offer'!$C$24="Yes",'Pilot offer'!$C$8,U292)</f>
        <v/>
      </c>
      <c r="Z292" s="43">
        <f>IF('Pilot offer'!$C$24="Yes",'Pilot offer'!$C$11,"")</f>
        <v/>
      </c>
      <c r="AA292" s="15">
        <f>IF(X292="","",W292&amp;" · "&amp;TEXT(X292,"ddd d mmm, hh:mm")&amp;" · "&amp;Y292&amp;IF(Z292&lt;&gt;""," · £"&amp;TEXT(Z292,"0.00")&amp;" per player"," · price TBC (cost £"&amp;TEXT(V292,"0.00")&amp;" pp)"))</f>
        <v/>
      </c>
      <c r="AD292" s="44" t="n"/>
    </row>
    <row r="293">
      <c r="A293" s="13" t="n">
        <v>291</v>
      </c>
      <c r="B293" s="13" t="inlineStr">
        <is>
          <t>2 · N1 Hoxton</t>
        </is>
      </c>
      <c r="C293" s="13" t="inlineStr">
        <is>
          <t>Office &amp; professional</t>
        </is>
      </c>
      <c r="D293" s="13" t="inlineStr">
        <is>
          <t>Corporate</t>
        </is>
      </c>
      <c r="E293" s="13" t="inlineStr">
        <is>
          <t>Freedom Works UK</t>
        </is>
      </c>
      <c r="F293" s="13" t="inlineStr">
        <is>
          <t>corporate_office</t>
        </is>
      </c>
      <c r="G293" s="13" t="inlineStr">
        <is>
          <t>risc@freedomworks.org.uk</t>
        </is>
      </c>
      <c r="H293" s="13" t="inlineStr">
        <is>
          <t>person_or_other</t>
        </is>
      </c>
      <c r="I293" s="13" t="inlineStr">
        <is>
          <t>+44 7736 392100</t>
        </is>
      </c>
      <c r="J293" s="14" t="inlineStr">
        <is>
          <t>http://www.freedomworks.org.uk/</t>
        </is>
      </c>
      <c r="K293" s="13" t="inlineStr">
        <is>
          <t>London N1 0DQ, UK</t>
        </is>
      </c>
      <c r="L293" s="13" t="inlineStr">
        <is>
          <t>N1 0DQ</t>
        </is>
      </c>
      <c r="M293" s="13" t="inlineStr">
        <is>
          <t>Market Road</t>
        </is>
      </c>
      <c r="N293" s="13" t="n">
        <v>10</v>
      </c>
      <c r="O293" s="15">
        <f>IFERROR(INDEX(Venues!$C$2:$C$10,MATCH(M293,Venues!$A$2:$A$10,0)),"Not checked")</f>
        <v/>
      </c>
      <c r="P293" s="15">
        <f>IFERROR(INDEX(Venues!$D$2:$D$10,MATCH(M293,Venues!$A$2:$A$10,0)),0)</f>
        <v/>
      </c>
      <c r="Q293" s="42">
        <f>IFERROR(INDEX(Venues!$E$2:$E$10,MATCH(M293,Venues!$A$2:$A$10,0)),"")</f>
        <v/>
      </c>
      <c r="R293" s="15">
        <f>IF(P293&gt;0,"Yes","No")</f>
        <v/>
      </c>
      <c r="S293" s="13" t="inlineStr">
        <is>
          <t>Market Road</t>
        </is>
      </c>
      <c r="T293" s="42">
        <f>IFERROR(INDEX(Venues!$E$2:$E$10,MATCH(S293,Venues!$A$2:$A$10,0)),"")</f>
        <v/>
      </c>
      <c r="U293" s="15">
        <f>IFERROR(INDEX(Venues!$F$2:$F$10,MATCH(S293,Venues!$A$2:$A$10,0)),"")</f>
        <v/>
      </c>
      <c r="V293" s="43">
        <f>IFERROR(INDEX(Venues!$H$2:$H$10,MATCH(S293,Venues!$A$2:$A$10,0)),"")</f>
        <v/>
      </c>
      <c r="W293" s="15">
        <f>IF('Pilot offer'!$C$24="Yes",'Pilot offer'!$C$3,S293)</f>
        <v/>
      </c>
      <c r="X293" s="42">
        <f>IF('Pilot offer'!$C$24="Yes",'Pilot offer'!$C$5+'Pilot offer'!$C$6,T293)</f>
        <v/>
      </c>
      <c r="Y293" s="15">
        <f>IF('Pilot offer'!$C$24="Yes",'Pilot offer'!$C$8,U293)</f>
        <v/>
      </c>
      <c r="Z293" s="43">
        <f>IF('Pilot offer'!$C$24="Yes",'Pilot offer'!$C$11,"")</f>
        <v/>
      </c>
      <c r="AA293" s="15">
        <f>IF(X293="","",W293&amp;" · "&amp;TEXT(X293,"ddd d mmm, hh:mm")&amp;" · "&amp;Y293&amp;IF(Z293&lt;&gt;""," · £"&amp;TEXT(Z293,"0.00")&amp;" per player"," · price TBC (cost £"&amp;TEXT(V293,"0.00")&amp;" pp)"))</f>
        <v/>
      </c>
      <c r="AD293" s="44" t="n"/>
    </row>
    <row r="294">
      <c r="A294" s="13" t="n">
        <v>292</v>
      </c>
      <c r="B294" s="13" t="inlineStr">
        <is>
          <t>2 · N1 Hoxton</t>
        </is>
      </c>
      <c r="C294" s="13" t="inlineStr">
        <is>
          <t>Education</t>
        </is>
      </c>
      <c r="D294" s="13" t="inlineStr">
        <is>
          <t>Local businesses</t>
        </is>
      </c>
      <c r="E294" s="13" t="inlineStr">
        <is>
          <t>St Andrew's (Barnsbury) Church of England Primary School</t>
        </is>
      </c>
      <c r="F294" s="13" t="inlineStr">
        <is>
          <t>amenity: school</t>
        </is>
      </c>
      <c r="G294" s="13" t="inlineStr">
        <is>
          <t>admin@standrews.islington.sch.uk</t>
        </is>
      </c>
      <c r="H294" s="13" t="inlineStr">
        <is>
          <t>general</t>
        </is>
      </c>
      <c r="I294" s="13" t="inlineStr">
        <is>
          <t>+44 20 7837 4049</t>
        </is>
      </c>
      <c r="J294" s="14" t="inlineStr">
        <is>
          <t>https://www.standrews.islington.sch.uk</t>
        </is>
      </c>
      <c r="K294" s="13" t="inlineStr">
        <is>
          <t>Matilda Street, London</t>
        </is>
      </c>
      <c r="L294" s="13" t="inlineStr">
        <is>
          <t>N1 0LB</t>
        </is>
      </c>
      <c r="M294" s="13" t="inlineStr">
        <is>
          <t>Market Road</t>
        </is>
      </c>
      <c r="N294" s="13" t="n">
        <v>17</v>
      </c>
      <c r="O294" s="15">
        <f>IFERROR(INDEX(Venues!$C$2:$C$10,MATCH(M294,Venues!$A$2:$A$10,0)),"Not checked")</f>
        <v/>
      </c>
      <c r="P294" s="15">
        <f>IFERROR(INDEX(Venues!$D$2:$D$10,MATCH(M294,Venues!$A$2:$A$10,0)),0)</f>
        <v/>
      </c>
      <c r="Q294" s="42">
        <f>IFERROR(INDEX(Venues!$E$2:$E$10,MATCH(M294,Venues!$A$2:$A$10,0)),"")</f>
        <v/>
      </c>
      <c r="R294" s="15">
        <f>IF(P294&gt;0,"Yes","No")</f>
        <v/>
      </c>
      <c r="S294" s="13" t="inlineStr">
        <is>
          <t>Market Road</t>
        </is>
      </c>
      <c r="T294" s="42">
        <f>IFERROR(INDEX(Venues!$E$2:$E$10,MATCH(S294,Venues!$A$2:$A$10,0)),"")</f>
        <v/>
      </c>
      <c r="U294" s="15">
        <f>IFERROR(INDEX(Venues!$F$2:$F$10,MATCH(S294,Venues!$A$2:$A$10,0)),"")</f>
        <v/>
      </c>
      <c r="V294" s="43">
        <f>IFERROR(INDEX(Venues!$H$2:$H$10,MATCH(S294,Venues!$A$2:$A$10,0)),"")</f>
        <v/>
      </c>
      <c r="W294" s="15">
        <f>IF('Pilot offer'!$C$24="Yes",'Pilot offer'!$C$3,S294)</f>
        <v/>
      </c>
      <c r="X294" s="42">
        <f>IF('Pilot offer'!$C$24="Yes",'Pilot offer'!$C$5+'Pilot offer'!$C$6,T294)</f>
        <v/>
      </c>
      <c r="Y294" s="15">
        <f>IF('Pilot offer'!$C$24="Yes",'Pilot offer'!$C$8,U294)</f>
        <v/>
      </c>
      <c r="Z294" s="43">
        <f>IF('Pilot offer'!$C$24="Yes",'Pilot offer'!$C$11,"")</f>
        <v/>
      </c>
      <c r="AA294" s="15">
        <f>IF(X294="","",W294&amp;" · "&amp;TEXT(X294,"ddd d mmm, hh:mm")&amp;" · "&amp;Y294&amp;IF(Z294&lt;&gt;""," · £"&amp;TEXT(Z294,"0.00")&amp;" per player"," · price TBC (cost £"&amp;TEXT(V294,"0.00")&amp;" pp)"))</f>
        <v/>
      </c>
      <c r="AD294" s="44" t="n"/>
    </row>
    <row r="295">
      <c r="A295" s="13" t="n">
        <v>293</v>
      </c>
      <c r="B295" s="13" t="inlineStr">
        <is>
          <t>2 · N1 Hoxton</t>
        </is>
      </c>
      <c r="C295" s="13" t="inlineStr">
        <is>
          <t>Office &amp; professional</t>
        </is>
      </c>
      <c r="D295" s="13" t="inlineStr">
        <is>
          <t>Corporate</t>
        </is>
      </c>
      <c r="E295" s="13" t="inlineStr">
        <is>
          <t>Colman Coyle</t>
        </is>
      </c>
      <c r="F295" s="13" t="inlineStr">
        <is>
          <t>lawyer</t>
        </is>
      </c>
      <c r="G295" s="13" t="inlineStr">
        <is>
          <t>contact@colmancoyle.com</t>
        </is>
      </c>
      <c r="H295" s="13" t="inlineStr">
        <is>
          <t>general</t>
        </is>
      </c>
      <c r="I295" s="13" t="inlineStr">
        <is>
          <t>+44 20 7354 3000</t>
        </is>
      </c>
      <c r="J295" s="14" t="inlineStr">
        <is>
          <t>http://www.colmancoyle.com/</t>
        </is>
      </c>
      <c r="K295" s="13" t="inlineStr">
        <is>
          <t>WELLS HOUSE, 80 Upper St, London N1 0NU, UK</t>
        </is>
      </c>
      <c r="L295" s="13" t="inlineStr">
        <is>
          <t>N1 0NU</t>
        </is>
      </c>
      <c r="M295" s="13" t="inlineStr">
        <is>
          <t>Old St - Moreland Primary School</t>
        </is>
      </c>
      <c r="N295" s="13" t="n">
        <v>15</v>
      </c>
      <c r="O295" s="15">
        <f>IFERROR(INDEX(Venues!$C$2:$C$10,MATCH(M295,Venues!$A$2:$A$10,0)),"Not checked")</f>
        <v/>
      </c>
      <c r="P295" s="15">
        <f>IFERROR(INDEX(Venues!$D$2:$D$10,MATCH(M295,Venues!$A$2:$A$10,0)),0)</f>
        <v/>
      </c>
      <c r="Q295" s="42">
        <f>IFERROR(INDEX(Venues!$E$2:$E$10,MATCH(M295,Venues!$A$2:$A$10,0)),"")</f>
        <v/>
      </c>
      <c r="R295" s="15">
        <f>IF(P295&gt;0,"Yes","No")</f>
        <v/>
      </c>
      <c r="S295" s="13" t="inlineStr">
        <is>
          <t>Old St - Moreland Primary School</t>
        </is>
      </c>
      <c r="T295" s="42">
        <f>IFERROR(INDEX(Venues!$E$2:$E$10,MATCH(S295,Venues!$A$2:$A$10,0)),"")</f>
        <v/>
      </c>
      <c r="U295" s="15">
        <f>IFERROR(INDEX(Venues!$F$2:$F$10,MATCH(S295,Venues!$A$2:$A$10,0)),"")</f>
        <v/>
      </c>
      <c r="V295" s="43">
        <f>IFERROR(INDEX(Venues!$H$2:$H$10,MATCH(S295,Venues!$A$2:$A$10,0)),"")</f>
        <v/>
      </c>
      <c r="W295" s="15">
        <f>IF('Pilot offer'!$C$24="Yes",'Pilot offer'!$C$3,S295)</f>
        <v/>
      </c>
      <c r="X295" s="42">
        <f>IF('Pilot offer'!$C$24="Yes",'Pilot offer'!$C$5+'Pilot offer'!$C$6,T295)</f>
        <v/>
      </c>
      <c r="Y295" s="15">
        <f>IF('Pilot offer'!$C$24="Yes",'Pilot offer'!$C$8,U295)</f>
        <v/>
      </c>
      <c r="Z295" s="43">
        <f>IF('Pilot offer'!$C$24="Yes",'Pilot offer'!$C$11,"")</f>
        <v/>
      </c>
      <c r="AA295" s="15">
        <f>IF(X295="","",W295&amp;" · "&amp;TEXT(X295,"ddd d mmm, hh:mm")&amp;" · "&amp;Y295&amp;IF(Z295&lt;&gt;""," · £"&amp;TEXT(Z295,"0.00")&amp;" per player"," · price TBC (cost £"&amp;TEXT(V295,"0.00")&amp;" pp)"))</f>
        <v/>
      </c>
      <c r="AD295" s="44" t="n"/>
    </row>
    <row r="296">
      <c r="A296" s="13" t="n">
        <v>294</v>
      </c>
      <c r="B296" s="13" t="inlineStr">
        <is>
          <t>2 · N1 Hoxton</t>
        </is>
      </c>
      <c r="C296" s="13" t="inlineStr">
        <is>
          <t>Hospitality</t>
        </is>
      </c>
      <c r="D296" s="13" t="inlineStr">
        <is>
          <t>Local businesses</t>
        </is>
      </c>
      <c r="E296" s="13" t="inlineStr">
        <is>
          <t>Tenshi</t>
        </is>
      </c>
      <c r="F296" s="13" t="inlineStr">
        <is>
          <t>amenity: restaurant</t>
        </is>
      </c>
      <c r="G296" s="13" t="inlineStr">
        <is>
          <t>info@tenshilondon.com</t>
        </is>
      </c>
      <c r="H296" s="13" t="inlineStr">
        <is>
          <t>general</t>
        </is>
      </c>
      <c r="I296" s="13" t="inlineStr">
        <is>
          <t>+44 20 7226 4665</t>
        </is>
      </c>
      <c r="J296" s="14" t="inlineStr">
        <is>
          <t>http://www.tenshilondon.com/</t>
        </is>
      </c>
      <c r="K296" s="13" t="inlineStr">
        <is>
          <t>Upper Street 61, London</t>
        </is>
      </c>
      <c r="L296" s="13" t="inlineStr">
        <is>
          <t>N1 0NY</t>
        </is>
      </c>
      <c r="M296" s="13" t="inlineStr">
        <is>
          <t>Rosemary Gardens 3G - Islington</t>
        </is>
      </c>
      <c r="N296" s="13" t="n">
        <v>19</v>
      </c>
      <c r="O296" s="15">
        <f>IFERROR(INDEX(Venues!$C$2:$C$10,MATCH(M296,Venues!$A$2:$A$10,0)),"Not checked")</f>
        <v/>
      </c>
      <c r="P296" s="15">
        <f>IFERROR(INDEX(Venues!$D$2:$D$10,MATCH(M296,Venues!$A$2:$A$10,0)),0)</f>
        <v/>
      </c>
      <c r="Q296" s="42">
        <f>IFERROR(INDEX(Venues!$E$2:$E$10,MATCH(M296,Venues!$A$2:$A$10,0)),"")</f>
        <v/>
      </c>
      <c r="R296" s="15">
        <f>IF(P296&gt;0,"Yes","No")</f>
        <v/>
      </c>
      <c r="S296" s="13" t="inlineStr">
        <is>
          <t>COLA Shoreditch Park</t>
        </is>
      </c>
      <c r="T296" s="42">
        <f>IFERROR(INDEX(Venues!$E$2:$E$10,MATCH(S296,Venues!$A$2:$A$10,0)),"")</f>
        <v/>
      </c>
      <c r="U296" s="15">
        <f>IFERROR(INDEX(Venues!$F$2:$F$10,MATCH(S296,Venues!$A$2:$A$10,0)),"")</f>
        <v/>
      </c>
      <c r="V296" s="43">
        <f>IFERROR(INDEX(Venues!$H$2:$H$10,MATCH(S296,Venues!$A$2:$A$10,0)),"")</f>
        <v/>
      </c>
      <c r="W296" s="15">
        <f>IF('Pilot offer'!$C$24="Yes",'Pilot offer'!$C$3,S296)</f>
        <v/>
      </c>
      <c r="X296" s="42">
        <f>IF('Pilot offer'!$C$24="Yes",'Pilot offer'!$C$5+'Pilot offer'!$C$6,T296)</f>
        <v/>
      </c>
      <c r="Y296" s="15">
        <f>IF('Pilot offer'!$C$24="Yes",'Pilot offer'!$C$8,U296)</f>
        <v/>
      </c>
      <c r="Z296" s="43">
        <f>IF('Pilot offer'!$C$24="Yes",'Pilot offer'!$C$11,"")</f>
        <v/>
      </c>
      <c r="AA296" s="15">
        <f>IF(X296="","",W296&amp;" · "&amp;TEXT(X296,"ddd d mmm, hh:mm")&amp;" · "&amp;Y296&amp;IF(Z296&lt;&gt;""," · £"&amp;TEXT(Z296,"0.00")&amp;" per player"," · price TBC (cost £"&amp;TEXT(V296,"0.00")&amp;" pp)"))</f>
        <v/>
      </c>
      <c r="AD296" s="44" t="n"/>
    </row>
    <row r="297">
      <c r="A297" s="13" t="n">
        <v>295</v>
      </c>
      <c r="B297" s="13" t="inlineStr">
        <is>
          <t>2 · N1 Hoxton</t>
        </is>
      </c>
      <c r="C297" s="13" t="inlineStr">
        <is>
          <t>Hospitality</t>
        </is>
      </c>
      <c r="D297" s="13" t="inlineStr">
        <is>
          <t>Local businesses</t>
        </is>
      </c>
      <c r="E297" s="13" t="inlineStr">
        <is>
          <t>The Ladybird Bar</t>
        </is>
      </c>
      <c r="F297" s="13" t="inlineStr">
        <is>
          <t>amenity: bar</t>
        </is>
      </c>
      <c r="G297" s="13" t="inlineStr">
        <is>
          <t>info@barsilver.uk</t>
        </is>
      </c>
      <c r="H297" s="13" t="inlineStr">
        <is>
          <t>general</t>
        </is>
      </c>
      <c r="I297" s="13" t="inlineStr">
        <is>
          <t>+44 7812 390482</t>
        </is>
      </c>
      <c r="J297" s="14" t="inlineStr">
        <is>
          <t>https://ladybirdbar.co.uk</t>
        </is>
      </c>
      <c r="K297" s="13" t="inlineStr">
        <is>
          <t>Upper Street 70, London</t>
        </is>
      </c>
      <c r="L297" s="13" t="inlineStr">
        <is>
          <t>N1 0NY</t>
        </is>
      </c>
      <c r="M297" s="13" t="inlineStr">
        <is>
          <t>Rosemary Gardens 3G - Islington</t>
        </is>
      </c>
      <c r="N297" s="13" t="n">
        <v>18</v>
      </c>
      <c r="O297" s="15">
        <f>IFERROR(INDEX(Venues!$C$2:$C$10,MATCH(M297,Venues!$A$2:$A$10,0)),"Not checked")</f>
        <v/>
      </c>
      <c r="P297" s="15">
        <f>IFERROR(INDEX(Venues!$D$2:$D$10,MATCH(M297,Venues!$A$2:$A$10,0)),0)</f>
        <v/>
      </c>
      <c r="Q297" s="42">
        <f>IFERROR(INDEX(Venues!$E$2:$E$10,MATCH(M297,Venues!$A$2:$A$10,0)),"")</f>
        <v/>
      </c>
      <c r="R297" s="15">
        <f>IF(P297&gt;0,"Yes","No")</f>
        <v/>
      </c>
      <c r="S297" s="13" t="inlineStr">
        <is>
          <t>COLA Shoreditch Park</t>
        </is>
      </c>
      <c r="T297" s="42">
        <f>IFERROR(INDEX(Venues!$E$2:$E$10,MATCH(S297,Venues!$A$2:$A$10,0)),"")</f>
        <v/>
      </c>
      <c r="U297" s="15">
        <f>IFERROR(INDEX(Venues!$F$2:$F$10,MATCH(S297,Venues!$A$2:$A$10,0)),"")</f>
        <v/>
      </c>
      <c r="V297" s="43">
        <f>IFERROR(INDEX(Venues!$H$2:$H$10,MATCH(S297,Venues!$A$2:$A$10,0)),"")</f>
        <v/>
      </c>
      <c r="W297" s="15">
        <f>IF('Pilot offer'!$C$24="Yes",'Pilot offer'!$C$3,S297)</f>
        <v/>
      </c>
      <c r="X297" s="42">
        <f>IF('Pilot offer'!$C$24="Yes",'Pilot offer'!$C$5+'Pilot offer'!$C$6,T297)</f>
        <v/>
      </c>
      <c r="Y297" s="15">
        <f>IF('Pilot offer'!$C$24="Yes",'Pilot offer'!$C$8,U297)</f>
        <v/>
      </c>
      <c r="Z297" s="43">
        <f>IF('Pilot offer'!$C$24="Yes",'Pilot offer'!$C$11,"")</f>
        <v/>
      </c>
      <c r="AA297" s="15">
        <f>IF(X297="","",W297&amp;" · "&amp;TEXT(X297,"ddd d mmm, hh:mm")&amp;" · "&amp;Y297&amp;IF(Z297&lt;&gt;""," · £"&amp;TEXT(Z297,"0.00")&amp;" per player"," · price TBC (cost £"&amp;TEXT(V297,"0.00")&amp;" pp)"))</f>
        <v/>
      </c>
      <c r="AD297" s="44" t="n"/>
    </row>
    <row r="298">
      <c r="A298" s="13" t="n">
        <v>296</v>
      </c>
      <c r="B298" s="13" t="inlineStr">
        <is>
          <t>2 · N1 Hoxton</t>
        </is>
      </c>
      <c r="C298" s="13" t="inlineStr">
        <is>
          <t>Hospitality</t>
        </is>
      </c>
      <c r="D298" s="13" t="inlineStr">
        <is>
          <t>Local businesses</t>
        </is>
      </c>
      <c r="E298" s="13" t="inlineStr">
        <is>
          <t>Thai Square</t>
        </is>
      </c>
      <c r="F298" s="13" t="inlineStr">
        <is>
          <t>amenity: restaurant</t>
        </is>
      </c>
      <c r="G298" s="13" t="inlineStr">
        <is>
          <t>islington@thaisq.com</t>
        </is>
      </c>
      <c r="H298" s="13" t="inlineStr">
        <is>
          <t>openstreetmap_tag</t>
        </is>
      </c>
      <c r="I298" s="13" t="inlineStr">
        <is>
          <t>+44 20 7704 2000</t>
        </is>
      </c>
      <c r="J298" s="14" t="inlineStr">
        <is>
          <t>https://thaisq.com/restaurants/islington/</t>
        </is>
      </c>
      <c r="K298" s="13" t="inlineStr">
        <is>
          <t>Upper Street 347-349, London</t>
        </is>
      </c>
      <c r="L298" s="13" t="inlineStr">
        <is>
          <t>N1 0PD</t>
        </is>
      </c>
      <c r="M298" s="13" t="inlineStr">
        <is>
          <t>Rosemary Gardens 3G - Islington</t>
        </is>
      </c>
      <c r="N298" s="13" t="n">
        <v>19</v>
      </c>
      <c r="O298" s="15">
        <f>IFERROR(INDEX(Venues!$C$2:$C$10,MATCH(M298,Venues!$A$2:$A$10,0)),"Not checked")</f>
        <v/>
      </c>
      <c r="P298" s="15">
        <f>IFERROR(INDEX(Venues!$D$2:$D$10,MATCH(M298,Venues!$A$2:$A$10,0)),0)</f>
        <v/>
      </c>
      <c r="Q298" s="42">
        <f>IFERROR(INDEX(Venues!$E$2:$E$10,MATCH(M298,Venues!$A$2:$A$10,0)),"")</f>
        <v/>
      </c>
      <c r="R298" s="15">
        <f>IF(P298&gt;0,"Yes","No")</f>
        <v/>
      </c>
      <c r="S298" s="13" t="inlineStr">
        <is>
          <t>COLA Shoreditch Park</t>
        </is>
      </c>
      <c r="T298" s="42">
        <f>IFERROR(INDEX(Venues!$E$2:$E$10,MATCH(S298,Venues!$A$2:$A$10,0)),"")</f>
        <v/>
      </c>
      <c r="U298" s="15">
        <f>IFERROR(INDEX(Venues!$F$2:$F$10,MATCH(S298,Venues!$A$2:$A$10,0)),"")</f>
        <v/>
      </c>
      <c r="V298" s="43">
        <f>IFERROR(INDEX(Venues!$H$2:$H$10,MATCH(S298,Venues!$A$2:$A$10,0)),"")</f>
        <v/>
      </c>
      <c r="W298" s="15">
        <f>IF('Pilot offer'!$C$24="Yes",'Pilot offer'!$C$3,S298)</f>
        <v/>
      </c>
      <c r="X298" s="42">
        <f>IF('Pilot offer'!$C$24="Yes",'Pilot offer'!$C$5+'Pilot offer'!$C$6,T298)</f>
        <v/>
      </c>
      <c r="Y298" s="15">
        <f>IF('Pilot offer'!$C$24="Yes",'Pilot offer'!$C$8,U298)</f>
        <v/>
      </c>
      <c r="Z298" s="43">
        <f>IF('Pilot offer'!$C$24="Yes",'Pilot offer'!$C$11,"")</f>
        <v/>
      </c>
      <c r="AA298" s="15">
        <f>IF(X298="","",W298&amp;" · "&amp;TEXT(X298,"ddd d mmm, hh:mm")&amp;" · "&amp;Y298&amp;IF(Z298&lt;&gt;""," · £"&amp;TEXT(Z298,"0.00")&amp;" per player"," · price TBC (cost £"&amp;TEXT(V298,"0.00")&amp;" pp)"))</f>
        <v/>
      </c>
      <c r="AD298" s="44" t="n"/>
    </row>
    <row r="299">
      <c r="A299" s="13" t="n">
        <v>297</v>
      </c>
      <c r="B299" s="13" t="inlineStr">
        <is>
          <t>2 · N1 Hoxton</t>
        </is>
      </c>
      <c r="C299" s="13" t="inlineStr">
        <is>
          <t>Office &amp; professional</t>
        </is>
      </c>
      <c r="D299" s="13" t="inlineStr">
        <is>
          <t>Corporate</t>
        </is>
      </c>
      <c r="E299" s="13" t="inlineStr">
        <is>
          <t>Clarkwell &amp; Co Chartered Certified Accountants in London</t>
        </is>
      </c>
      <c r="F299" s="13" t="inlineStr">
        <is>
          <t>finance</t>
        </is>
      </c>
      <c r="G299" s="13" t="inlineStr">
        <is>
          <t>info@clarkwell.co.uk</t>
        </is>
      </c>
      <c r="H299" s="13" t="inlineStr">
        <is>
          <t>general</t>
        </is>
      </c>
      <c r="I299" s="13" t="inlineStr">
        <is>
          <t>+44 330 058 8233</t>
        </is>
      </c>
      <c r="J299" s="14" t="inlineStr">
        <is>
          <t>https://www.clarkwell.co.uk/</t>
        </is>
      </c>
      <c r="K299" s="13" t="inlineStr">
        <is>
          <t>32-33 Upper St, London N1 0PN, UK</t>
        </is>
      </c>
      <c r="L299" s="13" t="inlineStr">
        <is>
          <t>N1 0PN</t>
        </is>
      </c>
      <c r="M299" s="13" t="inlineStr">
        <is>
          <t>Old St - Moreland Primary School</t>
        </is>
      </c>
      <c r="N299" s="13" t="n">
        <v>12</v>
      </c>
      <c r="O299" s="15">
        <f>IFERROR(INDEX(Venues!$C$2:$C$10,MATCH(M299,Venues!$A$2:$A$10,0)),"Not checked")</f>
        <v/>
      </c>
      <c r="P299" s="15">
        <f>IFERROR(INDEX(Venues!$D$2:$D$10,MATCH(M299,Venues!$A$2:$A$10,0)),0)</f>
        <v/>
      </c>
      <c r="Q299" s="42">
        <f>IFERROR(INDEX(Venues!$E$2:$E$10,MATCH(M299,Venues!$A$2:$A$10,0)),"")</f>
        <v/>
      </c>
      <c r="R299" s="15">
        <f>IF(P299&gt;0,"Yes","No")</f>
        <v/>
      </c>
      <c r="S299" s="13" t="inlineStr">
        <is>
          <t>Old St - Moreland Primary School</t>
        </is>
      </c>
      <c r="T299" s="42">
        <f>IFERROR(INDEX(Venues!$E$2:$E$10,MATCH(S299,Venues!$A$2:$A$10,0)),"")</f>
        <v/>
      </c>
      <c r="U299" s="15">
        <f>IFERROR(INDEX(Venues!$F$2:$F$10,MATCH(S299,Venues!$A$2:$A$10,0)),"")</f>
        <v/>
      </c>
      <c r="V299" s="43">
        <f>IFERROR(INDEX(Venues!$H$2:$H$10,MATCH(S299,Venues!$A$2:$A$10,0)),"")</f>
        <v/>
      </c>
      <c r="W299" s="15">
        <f>IF('Pilot offer'!$C$24="Yes",'Pilot offer'!$C$3,S299)</f>
        <v/>
      </c>
      <c r="X299" s="42">
        <f>IF('Pilot offer'!$C$24="Yes",'Pilot offer'!$C$5+'Pilot offer'!$C$6,T299)</f>
        <v/>
      </c>
      <c r="Y299" s="15">
        <f>IF('Pilot offer'!$C$24="Yes",'Pilot offer'!$C$8,U299)</f>
        <v/>
      </c>
      <c r="Z299" s="43">
        <f>IF('Pilot offer'!$C$24="Yes",'Pilot offer'!$C$11,"")</f>
        <v/>
      </c>
      <c r="AA299" s="15">
        <f>IF(X299="","",W299&amp;" · "&amp;TEXT(X299,"ddd d mmm, hh:mm")&amp;" · "&amp;Y299&amp;IF(Z299&lt;&gt;""," · £"&amp;TEXT(Z299,"0.00")&amp;" per player"," · price TBC (cost £"&amp;TEXT(V299,"0.00")&amp;" pp)"))</f>
        <v/>
      </c>
      <c r="AD299" s="44" t="n"/>
    </row>
    <row r="300">
      <c r="A300" s="13" t="n">
        <v>298</v>
      </c>
      <c r="B300" s="13" t="inlineStr">
        <is>
          <t>2 · N1 Hoxton</t>
        </is>
      </c>
      <c r="C300" s="13" t="inlineStr">
        <is>
          <t>Hospitality</t>
        </is>
      </c>
      <c r="D300" s="13" t="inlineStr">
        <is>
          <t>Local businesses</t>
        </is>
      </c>
      <c r="E300" s="13" t="inlineStr">
        <is>
          <t>Kanada-Ya</t>
        </is>
      </c>
      <c r="F300" s="13" t="inlineStr">
        <is>
          <t>amenity: restaurant</t>
        </is>
      </c>
      <c r="G300" s="13" t="inlineStr">
        <is>
          <t>shop@shop.kanada-ya.com</t>
        </is>
      </c>
      <c r="H300" s="13" t="inlineStr">
        <is>
          <t>person_or_other</t>
        </is>
      </c>
      <c r="I300" s="13" t="inlineStr">
        <is>
          <t>+44 20 7288 2787</t>
        </is>
      </c>
      <c r="J300" s="14" t="inlineStr">
        <is>
          <t>https://www.kanada-ya.com/</t>
        </is>
      </c>
      <c r="K300" s="13" t="inlineStr">
        <is>
          <t>Upper Street 35, London</t>
        </is>
      </c>
      <c r="L300" s="13" t="inlineStr">
        <is>
          <t>N1 0PN</t>
        </is>
      </c>
      <c r="M300" s="13" t="inlineStr">
        <is>
          <t>Old St - Moreland Primary School</t>
        </is>
      </c>
      <c r="N300" s="13" t="n">
        <v>12</v>
      </c>
      <c r="O300" s="15">
        <f>IFERROR(INDEX(Venues!$C$2:$C$10,MATCH(M300,Venues!$A$2:$A$10,0)),"Not checked")</f>
        <v/>
      </c>
      <c r="P300" s="15">
        <f>IFERROR(INDEX(Venues!$D$2:$D$10,MATCH(M300,Venues!$A$2:$A$10,0)),0)</f>
        <v/>
      </c>
      <c r="Q300" s="42">
        <f>IFERROR(INDEX(Venues!$E$2:$E$10,MATCH(M300,Venues!$A$2:$A$10,0)),"")</f>
        <v/>
      </c>
      <c r="R300" s="15">
        <f>IF(P300&gt;0,"Yes","No")</f>
        <v/>
      </c>
      <c r="S300" s="13" t="inlineStr">
        <is>
          <t>Old St - Moreland Primary School</t>
        </is>
      </c>
      <c r="T300" s="42">
        <f>IFERROR(INDEX(Venues!$E$2:$E$10,MATCH(S300,Venues!$A$2:$A$10,0)),"")</f>
        <v/>
      </c>
      <c r="U300" s="15">
        <f>IFERROR(INDEX(Venues!$F$2:$F$10,MATCH(S300,Venues!$A$2:$A$10,0)),"")</f>
        <v/>
      </c>
      <c r="V300" s="43">
        <f>IFERROR(INDEX(Venues!$H$2:$H$10,MATCH(S300,Venues!$A$2:$A$10,0)),"")</f>
        <v/>
      </c>
      <c r="W300" s="15">
        <f>IF('Pilot offer'!$C$24="Yes",'Pilot offer'!$C$3,S300)</f>
        <v/>
      </c>
      <c r="X300" s="42">
        <f>IF('Pilot offer'!$C$24="Yes",'Pilot offer'!$C$5+'Pilot offer'!$C$6,T300)</f>
        <v/>
      </c>
      <c r="Y300" s="15">
        <f>IF('Pilot offer'!$C$24="Yes",'Pilot offer'!$C$8,U300)</f>
        <v/>
      </c>
      <c r="Z300" s="43">
        <f>IF('Pilot offer'!$C$24="Yes",'Pilot offer'!$C$11,"")</f>
        <v/>
      </c>
      <c r="AA300" s="15">
        <f>IF(X300="","",W300&amp;" · "&amp;TEXT(X300,"ddd d mmm, hh:mm")&amp;" · "&amp;Y300&amp;IF(Z300&lt;&gt;""," · £"&amp;TEXT(Z300,"0.00")&amp;" per player"," · price TBC (cost £"&amp;TEXT(V300,"0.00")&amp;" pp)"))</f>
        <v/>
      </c>
      <c r="AD300" s="44" t="n"/>
    </row>
    <row r="301">
      <c r="A301" s="13" t="n">
        <v>299</v>
      </c>
      <c r="B301" s="13" t="inlineStr">
        <is>
          <t>2 · N1 Hoxton</t>
        </is>
      </c>
      <c r="C301" s="13" t="inlineStr">
        <is>
          <t>Hospitality</t>
        </is>
      </c>
      <c r="D301" s="13" t="inlineStr">
        <is>
          <t>Local businesses</t>
        </is>
      </c>
      <c r="E301" s="13" t="inlineStr">
        <is>
          <t>Be At One</t>
        </is>
      </c>
      <c r="F301" s="13" t="inlineStr">
        <is>
          <t>amenity: bar</t>
        </is>
      </c>
      <c r="G301" s="13" t="inlineStr">
        <is>
          <t>stonegatepress@stonegategroup.co.uk</t>
        </is>
      </c>
      <c r="H301" s="13" t="inlineStr">
        <is>
          <t>person_or_other</t>
        </is>
      </c>
      <c r="I301" s="13" t="n"/>
      <c r="J301" s="14" t="inlineStr">
        <is>
          <t>https://www.beatone.co.uk/islington</t>
        </is>
      </c>
      <c r="K301" s="13" t="inlineStr">
        <is>
          <t>Upper Street 12, London</t>
        </is>
      </c>
      <c r="L301" s="13" t="inlineStr">
        <is>
          <t>N1 0PQ</t>
        </is>
      </c>
      <c r="M301" s="13" t="inlineStr">
        <is>
          <t>Old St - Moreland Primary School</t>
        </is>
      </c>
      <c r="N301" s="13" t="n">
        <v>12</v>
      </c>
      <c r="O301" s="15">
        <f>IFERROR(INDEX(Venues!$C$2:$C$10,MATCH(M301,Venues!$A$2:$A$10,0)),"Not checked")</f>
        <v/>
      </c>
      <c r="P301" s="15">
        <f>IFERROR(INDEX(Venues!$D$2:$D$10,MATCH(M301,Venues!$A$2:$A$10,0)),0)</f>
        <v/>
      </c>
      <c r="Q301" s="42">
        <f>IFERROR(INDEX(Venues!$E$2:$E$10,MATCH(M301,Venues!$A$2:$A$10,0)),"")</f>
        <v/>
      </c>
      <c r="R301" s="15">
        <f>IF(P301&gt;0,"Yes","No")</f>
        <v/>
      </c>
      <c r="S301" s="13" t="inlineStr">
        <is>
          <t>Old St - Moreland Primary School</t>
        </is>
      </c>
      <c r="T301" s="42">
        <f>IFERROR(INDEX(Venues!$E$2:$E$10,MATCH(S301,Venues!$A$2:$A$10,0)),"")</f>
        <v/>
      </c>
      <c r="U301" s="15">
        <f>IFERROR(INDEX(Venues!$F$2:$F$10,MATCH(S301,Venues!$A$2:$A$10,0)),"")</f>
        <v/>
      </c>
      <c r="V301" s="43">
        <f>IFERROR(INDEX(Venues!$H$2:$H$10,MATCH(S301,Venues!$A$2:$A$10,0)),"")</f>
        <v/>
      </c>
      <c r="W301" s="15">
        <f>IF('Pilot offer'!$C$24="Yes",'Pilot offer'!$C$3,S301)</f>
        <v/>
      </c>
      <c r="X301" s="42">
        <f>IF('Pilot offer'!$C$24="Yes",'Pilot offer'!$C$5+'Pilot offer'!$C$6,T301)</f>
        <v/>
      </c>
      <c r="Y301" s="15">
        <f>IF('Pilot offer'!$C$24="Yes",'Pilot offer'!$C$8,U301)</f>
        <v/>
      </c>
      <c r="Z301" s="43">
        <f>IF('Pilot offer'!$C$24="Yes",'Pilot offer'!$C$11,"")</f>
        <v/>
      </c>
      <c r="AA301" s="15">
        <f>IF(X301="","",W301&amp;" · "&amp;TEXT(X301,"ddd d mmm, hh:mm")&amp;" · "&amp;Y301&amp;IF(Z301&lt;&gt;""," · £"&amp;TEXT(Z301,"0.00")&amp;" per player"," · price TBC (cost £"&amp;TEXT(V301,"0.00")&amp;" pp)"))</f>
        <v/>
      </c>
      <c r="AD301" s="44" t="n"/>
    </row>
    <row r="302">
      <c r="A302" s="13" t="n">
        <v>300</v>
      </c>
      <c r="B302" s="13" t="inlineStr">
        <is>
          <t>2 · N1 Hoxton</t>
        </is>
      </c>
      <c r="C302" s="13" t="inlineStr">
        <is>
          <t>Hospitality</t>
        </is>
      </c>
      <c r="D302" s="13" t="inlineStr">
        <is>
          <t>Local businesses</t>
        </is>
      </c>
      <c r="E302" s="13" t="inlineStr">
        <is>
          <t>The Pig &amp; Butcher</t>
        </is>
      </c>
      <c r="F302" s="13" t="inlineStr">
        <is>
          <t>amenity: pub</t>
        </is>
      </c>
      <c r="G302" s="13" t="inlineStr">
        <is>
          <t>reservations@thepigandbutcher.co.uk</t>
        </is>
      </c>
      <c r="H302" s="13" t="inlineStr">
        <is>
          <t>commercial</t>
        </is>
      </c>
      <c r="I302" s="13" t="inlineStr">
        <is>
          <t>+44 20 7226 8304</t>
        </is>
      </c>
      <c r="J302" s="14" t="inlineStr">
        <is>
          <t>https://thepigandbutcher.co.uk</t>
        </is>
      </c>
      <c r="K302" s="13" t="inlineStr">
        <is>
          <t>Liverpool Road 80, London</t>
        </is>
      </c>
      <c r="L302" s="13" t="inlineStr">
        <is>
          <t>N1 0QD</t>
        </is>
      </c>
      <c r="M302" s="13" t="inlineStr">
        <is>
          <t>Old St - Moreland Primary School</t>
        </is>
      </c>
      <c r="N302" s="13" t="n">
        <v>17</v>
      </c>
      <c r="O302" s="15">
        <f>IFERROR(INDEX(Venues!$C$2:$C$10,MATCH(M302,Venues!$A$2:$A$10,0)),"Not checked")</f>
        <v/>
      </c>
      <c r="P302" s="15">
        <f>IFERROR(INDEX(Venues!$D$2:$D$10,MATCH(M302,Venues!$A$2:$A$10,0)),0)</f>
        <v/>
      </c>
      <c r="Q302" s="42">
        <f>IFERROR(INDEX(Venues!$E$2:$E$10,MATCH(M302,Venues!$A$2:$A$10,0)),"")</f>
        <v/>
      </c>
      <c r="R302" s="15">
        <f>IF(P302&gt;0,"Yes","No")</f>
        <v/>
      </c>
      <c r="S302" s="13" t="inlineStr">
        <is>
          <t>Old St - Moreland Primary School</t>
        </is>
      </c>
      <c r="T302" s="42">
        <f>IFERROR(INDEX(Venues!$E$2:$E$10,MATCH(S302,Venues!$A$2:$A$10,0)),"")</f>
        <v/>
      </c>
      <c r="U302" s="15">
        <f>IFERROR(INDEX(Venues!$F$2:$F$10,MATCH(S302,Venues!$A$2:$A$10,0)),"")</f>
        <v/>
      </c>
      <c r="V302" s="43">
        <f>IFERROR(INDEX(Venues!$H$2:$H$10,MATCH(S302,Venues!$A$2:$A$10,0)),"")</f>
        <v/>
      </c>
      <c r="W302" s="15">
        <f>IF('Pilot offer'!$C$24="Yes",'Pilot offer'!$C$3,S302)</f>
        <v/>
      </c>
      <c r="X302" s="42">
        <f>IF('Pilot offer'!$C$24="Yes",'Pilot offer'!$C$5+'Pilot offer'!$C$6,T302)</f>
        <v/>
      </c>
      <c r="Y302" s="15">
        <f>IF('Pilot offer'!$C$24="Yes",'Pilot offer'!$C$8,U302)</f>
        <v/>
      </c>
      <c r="Z302" s="43">
        <f>IF('Pilot offer'!$C$24="Yes",'Pilot offer'!$C$11,"")</f>
        <v/>
      </c>
      <c r="AA302" s="15">
        <f>IF(X302="","",W302&amp;" · "&amp;TEXT(X302,"ddd d mmm, hh:mm")&amp;" · "&amp;Y302&amp;IF(Z302&lt;&gt;""," · £"&amp;TEXT(Z302,"0.00")&amp;" per player"," · price TBC (cost £"&amp;TEXT(V302,"0.00")&amp;" pp)"))</f>
        <v/>
      </c>
      <c r="AD302" s="44" t="n"/>
    </row>
    <row r="303">
      <c r="A303" s="13" t="n">
        <v>301</v>
      </c>
      <c r="B303" s="13" t="inlineStr">
        <is>
          <t>2 · N1 Hoxton</t>
        </is>
      </c>
      <c r="C303" s="13" t="inlineStr">
        <is>
          <t>Hospitality</t>
        </is>
      </c>
      <c r="D303" s="13" t="inlineStr">
        <is>
          <t>Local businesses</t>
        </is>
      </c>
      <c r="E303" s="13" t="inlineStr">
        <is>
          <t>Kilis</t>
        </is>
      </c>
      <c r="F303" s="13" t="inlineStr">
        <is>
          <t>amenity: restaurant</t>
        </is>
      </c>
      <c r="G303" s="13" t="inlineStr">
        <is>
          <t>info@kilis.co.uk</t>
        </is>
      </c>
      <c r="H303" s="13" t="inlineStr">
        <is>
          <t>general</t>
        </is>
      </c>
      <c r="I303" s="13" t="inlineStr">
        <is>
          <t>+44 20 7226 5489</t>
        </is>
      </c>
      <c r="J303" s="14" t="inlineStr">
        <is>
          <t>https://www.kilis.co.uk/</t>
        </is>
      </c>
      <c r="K303" s="13" t="inlineStr">
        <is>
          <t>Theberton Street 4, London</t>
        </is>
      </c>
      <c r="L303" s="13" t="inlineStr">
        <is>
          <t>N1 0QX</t>
        </is>
      </c>
      <c r="M303" s="13" t="inlineStr">
        <is>
          <t>Rosemary Gardens 3G - Islington</t>
        </is>
      </c>
      <c r="N303" s="13" t="n">
        <v>17</v>
      </c>
      <c r="O303" s="15">
        <f>IFERROR(INDEX(Venues!$C$2:$C$10,MATCH(M303,Venues!$A$2:$A$10,0)),"Not checked")</f>
        <v/>
      </c>
      <c r="P303" s="15">
        <f>IFERROR(INDEX(Venues!$D$2:$D$10,MATCH(M303,Venues!$A$2:$A$10,0)),0)</f>
        <v/>
      </c>
      <c r="Q303" s="42">
        <f>IFERROR(INDEX(Venues!$E$2:$E$10,MATCH(M303,Venues!$A$2:$A$10,0)),"")</f>
        <v/>
      </c>
      <c r="R303" s="15">
        <f>IF(P303&gt;0,"Yes","No")</f>
        <v/>
      </c>
      <c r="S303" s="13" t="inlineStr">
        <is>
          <t>COLA Shoreditch Park</t>
        </is>
      </c>
      <c r="T303" s="42">
        <f>IFERROR(INDEX(Venues!$E$2:$E$10,MATCH(S303,Venues!$A$2:$A$10,0)),"")</f>
        <v/>
      </c>
      <c r="U303" s="15">
        <f>IFERROR(INDEX(Venues!$F$2:$F$10,MATCH(S303,Venues!$A$2:$A$10,0)),"")</f>
        <v/>
      </c>
      <c r="V303" s="43">
        <f>IFERROR(INDEX(Venues!$H$2:$H$10,MATCH(S303,Venues!$A$2:$A$10,0)),"")</f>
        <v/>
      </c>
      <c r="W303" s="15">
        <f>IF('Pilot offer'!$C$24="Yes",'Pilot offer'!$C$3,S303)</f>
        <v/>
      </c>
      <c r="X303" s="42">
        <f>IF('Pilot offer'!$C$24="Yes",'Pilot offer'!$C$5+'Pilot offer'!$C$6,T303)</f>
        <v/>
      </c>
      <c r="Y303" s="15">
        <f>IF('Pilot offer'!$C$24="Yes",'Pilot offer'!$C$8,U303)</f>
        <v/>
      </c>
      <c r="Z303" s="43">
        <f>IF('Pilot offer'!$C$24="Yes",'Pilot offer'!$C$11,"")</f>
        <v/>
      </c>
      <c r="AA303" s="15">
        <f>IF(X303="","",W303&amp;" · "&amp;TEXT(X303,"ddd d mmm, hh:mm")&amp;" · "&amp;Y303&amp;IF(Z303&lt;&gt;""," · £"&amp;TEXT(Z303,"0.00")&amp;" per player"," · price TBC (cost £"&amp;TEXT(V303,"0.00")&amp;" pp)"))</f>
        <v/>
      </c>
      <c r="AD303" s="44" t="n"/>
    </row>
    <row r="304">
      <c r="A304" s="13" t="n">
        <v>302</v>
      </c>
      <c r="B304" s="13" t="inlineStr">
        <is>
          <t>2 · N1 Hoxton</t>
        </is>
      </c>
      <c r="C304" s="13" t="inlineStr">
        <is>
          <t>Hospitality</t>
        </is>
      </c>
      <c r="D304" s="13" t="inlineStr">
        <is>
          <t>Local businesses</t>
        </is>
      </c>
      <c r="E304" s="13" t="inlineStr">
        <is>
          <t>Mem &amp; Laz</t>
        </is>
      </c>
      <c r="F304" s="13" t="inlineStr">
        <is>
          <t>amenity: restaurant</t>
        </is>
      </c>
      <c r="G304" s="13" t="inlineStr">
        <is>
          <t>info@memlaz.co.uk</t>
        </is>
      </c>
      <c r="H304" s="13" t="inlineStr">
        <is>
          <t>general</t>
        </is>
      </c>
      <c r="I304" s="13" t="inlineStr">
        <is>
          <t>+44 20 7704 9089</t>
        </is>
      </c>
      <c r="J304" s="14" t="inlineStr">
        <is>
          <t>https://www.memlaz.co.uk/</t>
        </is>
      </c>
      <c r="K304" s="13" t="inlineStr">
        <is>
          <t>Theberton Street 8, London</t>
        </is>
      </c>
      <c r="L304" s="13" t="inlineStr">
        <is>
          <t>N1 0QX</t>
        </is>
      </c>
      <c r="M304" s="13" t="inlineStr">
        <is>
          <t>Rosemary Gardens 3G - Islington</t>
        </is>
      </c>
      <c r="N304" s="13" t="n">
        <v>17</v>
      </c>
      <c r="O304" s="15">
        <f>IFERROR(INDEX(Venues!$C$2:$C$10,MATCH(M304,Venues!$A$2:$A$10,0)),"Not checked")</f>
        <v/>
      </c>
      <c r="P304" s="15">
        <f>IFERROR(INDEX(Venues!$D$2:$D$10,MATCH(M304,Venues!$A$2:$A$10,0)),0)</f>
        <v/>
      </c>
      <c r="Q304" s="42">
        <f>IFERROR(INDEX(Venues!$E$2:$E$10,MATCH(M304,Venues!$A$2:$A$10,0)),"")</f>
        <v/>
      </c>
      <c r="R304" s="15">
        <f>IF(P304&gt;0,"Yes","No")</f>
        <v/>
      </c>
      <c r="S304" s="13" t="inlineStr">
        <is>
          <t>COLA Shoreditch Park</t>
        </is>
      </c>
      <c r="T304" s="42">
        <f>IFERROR(INDEX(Venues!$E$2:$E$10,MATCH(S304,Venues!$A$2:$A$10,0)),"")</f>
        <v/>
      </c>
      <c r="U304" s="15">
        <f>IFERROR(INDEX(Venues!$F$2:$F$10,MATCH(S304,Venues!$A$2:$A$10,0)),"")</f>
        <v/>
      </c>
      <c r="V304" s="43">
        <f>IFERROR(INDEX(Venues!$H$2:$H$10,MATCH(S304,Venues!$A$2:$A$10,0)),"")</f>
        <v/>
      </c>
      <c r="W304" s="15">
        <f>IF('Pilot offer'!$C$24="Yes",'Pilot offer'!$C$3,S304)</f>
        <v/>
      </c>
      <c r="X304" s="42">
        <f>IF('Pilot offer'!$C$24="Yes",'Pilot offer'!$C$5+'Pilot offer'!$C$6,T304)</f>
        <v/>
      </c>
      <c r="Y304" s="15">
        <f>IF('Pilot offer'!$C$24="Yes",'Pilot offer'!$C$8,U304)</f>
        <v/>
      </c>
      <c r="Z304" s="43">
        <f>IF('Pilot offer'!$C$24="Yes",'Pilot offer'!$C$11,"")</f>
        <v/>
      </c>
      <c r="AA304" s="15">
        <f>IF(X304="","",W304&amp;" · "&amp;TEXT(X304,"ddd d mmm, hh:mm")&amp;" · "&amp;Y304&amp;IF(Z304&lt;&gt;""," · £"&amp;TEXT(Z304,"0.00")&amp;" per player"," · price TBC (cost £"&amp;TEXT(V304,"0.00")&amp;" pp)"))</f>
        <v/>
      </c>
      <c r="AD304" s="44" t="n"/>
    </row>
    <row r="305">
      <c r="A305" s="13" t="n">
        <v>303</v>
      </c>
      <c r="B305" s="13" t="inlineStr">
        <is>
          <t>2 · N1 Hoxton</t>
        </is>
      </c>
      <c r="C305" s="13" t="inlineStr">
        <is>
          <t>Office &amp; professional</t>
        </is>
      </c>
      <c r="D305" s="13" t="inlineStr">
        <is>
          <t>Corporate</t>
        </is>
      </c>
      <c r="E305" s="13" t="inlineStr">
        <is>
          <t>The Klassnik Corporation</t>
        </is>
      </c>
      <c r="F305" s="13" t="inlineStr">
        <is>
          <t>architect</t>
        </is>
      </c>
      <c r="G305" s="13" t="inlineStr">
        <is>
          <t>info@klassnik.com</t>
        </is>
      </c>
      <c r="H305" s="13" t="inlineStr">
        <is>
          <t>general</t>
        </is>
      </c>
      <c r="I305" s="13" t="inlineStr">
        <is>
          <t>+44 20 8819 3243</t>
        </is>
      </c>
      <c r="J305" s="14" t="inlineStr">
        <is>
          <t>https://www.klassnik.com/</t>
        </is>
      </c>
      <c r="K305" s="13" t="inlineStr">
        <is>
          <t>165 Caledonian Road, London</t>
        </is>
      </c>
      <c r="L305" s="13" t="inlineStr">
        <is>
          <t>N1 0SL</t>
        </is>
      </c>
      <c r="M305" s="13" t="inlineStr">
        <is>
          <t>Market Road</t>
        </is>
      </c>
      <c r="N305" s="13" t="n">
        <v>18</v>
      </c>
      <c r="O305" s="15">
        <f>IFERROR(INDEX(Venues!$C$2:$C$10,MATCH(M305,Venues!$A$2:$A$10,0)),"Not checked")</f>
        <v/>
      </c>
      <c r="P305" s="15">
        <f>IFERROR(INDEX(Venues!$D$2:$D$10,MATCH(M305,Venues!$A$2:$A$10,0)),0)</f>
        <v/>
      </c>
      <c r="Q305" s="42">
        <f>IFERROR(INDEX(Venues!$E$2:$E$10,MATCH(M305,Venues!$A$2:$A$10,0)),"")</f>
        <v/>
      </c>
      <c r="R305" s="15">
        <f>IF(P305&gt;0,"Yes","No")</f>
        <v/>
      </c>
      <c r="S305" s="13" t="inlineStr">
        <is>
          <t>Market Road</t>
        </is>
      </c>
      <c r="T305" s="42">
        <f>IFERROR(INDEX(Venues!$E$2:$E$10,MATCH(S305,Venues!$A$2:$A$10,0)),"")</f>
        <v/>
      </c>
      <c r="U305" s="15">
        <f>IFERROR(INDEX(Venues!$F$2:$F$10,MATCH(S305,Venues!$A$2:$A$10,0)),"")</f>
        <v/>
      </c>
      <c r="V305" s="43">
        <f>IFERROR(INDEX(Venues!$H$2:$H$10,MATCH(S305,Venues!$A$2:$A$10,0)),"")</f>
        <v/>
      </c>
      <c r="W305" s="15">
        <f>IF('Pilot offer'!$C$24="Yes",'Pilot offer'!$C$3,S305)</f>
        <v/>
      </c>
      <c r="X305" s="42">
        <f>IF('Pilot offer'!$C$24="Yes",'Pilot offer'!$C$5+'Pilot offer'!$C$6,T305)</f>
        <v/>
      </c>
      <c r="Y305" s="15">
        <f>IF('Pilot offer'!$C$24="Yes",'Pilot offer'!$C$8,U305)</f>
        <v/>
      </c>
      <c r="Z305" s="43">
        <f>IF('Pilot offer'!$C$24="Yes",'Pilot offer'!$C$11,"")</f>
        <v/>
      </c>
      <c r="AA305" s="15">
        <f>IF(X305="","",W305&amp;" · "&amp;TEXT(X305,"ddd d mmm, hh:mm")&amp;" · "&amp;Y305&amp;IF(Z305&lt;&gt;""," · £"&amp;TEXT(Z305,"0.00")&amp;" per player"," · price TBC (cost £"&amp;TEXT(V305,"0.00")&amp;" pp)"))</f>
        <v/>
      </c>
      <c r="AD305" s="44" t="n"/>
    </row>
    <row r="306">
      <c r="A306" s="13" t="n">
        <v>304</v>
      </c>
      <c r="B306" s="13" t="inlineStr">
        <is>
          <t>2 · N1 Hoxton</t>
        </is>
      </c>
      <c r="C306" s="13" t="inlineStr">
        <is>
          <t>Hospitality</t>
        </is>
      </c>
      <c r="D306" s="13" t="inlineStr">
        <is>
          <t>Local businesses</t>
        </is>
      </c>
      <c r="E306" s="13" t="inlineStr">
        <is>
          <t>Hilton London Angel Islington</t>
        </is>
      </c>
      <c r="F306" s="13" t="inlineStr">
        <is>
          <t>tourism: hotel</t>
        </is>
      </c>
      <c r="G306" s="13" t="inlineStr">
        <is>
          <t>lonis_islington@hilton.com</t>
        </is>
      </c>
      <c r="H306" s="13" t="inlineStr">
        <is>
          <t>openstreetmap_tag</t>
        </is>
      </c>
      <c r="I306" s="13" t="inlineStr">
        <is>
          <t>+44 20 7354 7700</t>
        </is>
      </c>
      <c r="J306" s="14" t="inlineStr">
        <is>
          <t>https://www.hilton.com/en/hotels/lonishn-hilton-london-angel-islington/</t>
        </is>
      </c>
      <c r="K306" s="13" t="inlineStr">
        <is>
          <t>Upper Street 53, London</t>
        </is>
      </c>
      <c r="L306" s="13" t="inlineStr">
        <is>
          <t>N1 0UY</t>
        </is>
      </c>
      <c r="M306" s="13" t="inlineStr">
        <is>
          <t>Rosemary Gardens 3G - Islington</t>
        </is>
      </c>
      <c r="N306" s="13" t="n">
        <v>19</v>
      </c>
      <c r="O306" s="15">
        <f>IFERROR(INDEX(Venues!$C$2:$C$10,MATCH(M306,Venues!$A$2:$A$10,0)),"Not checked")</f>
        <v/>
      </c>
      <c r="P306" s="15">
        <f>IFERROR(INDEX(Venues!$D$2:$D$10,MATCH(M306,Venues!$A$2:$A$10,0)),0)</f>
        <v/>
      </c>
      <c r="Q306" s="42">
        <f>IFERROR(INDEX(Venues!$E$2:$E$10,MATCH(M306,Venues!$A$2:$A$10,0)),"")</f>
        <v/>
      </c>
      <c r="R306" s="15">
        <f>IF(P306&gt;0,"Yes","No")</f>
        <v/>
      </c>
      <c r="S306" s="13" t="inlineStr">
        <is>
          <t>COLA Shoreditch Park</t>
        </is>
      </c>
      <c r="T306" s="42">
        <f>IFERROR(INDEX(Venues!$E$2:$E$10,MATCH(S306,Venues!$A$2:$A$10,0)),"")</f>
        <v/>
      </c>
      <c r="U306" s="15">
        <f>IFERROR(INDEX(Venues!$F$2:$F$10,MATCH(S306,Venues!$A$2:$A$10,0)),"")</f>
        <v/>
      </c>
      <c r="V306" s="43">
        <f>IFERROR(INDEX(Venues!$H$2:$H$10,MATCH(S306,Venues!$A$2:$A$10,0)),"")</f>
        <v/>
      </c>
      <c r="W306" s="15">
        <f>IF('Pilot offer'!$C$24="Yes",'Pilot offer'!$C$3,S306)</f>
        <v/>
      </c>
      <c r="X306" s="42">
        <f>IF('Pilot offer'!$C$24="Yes",'Pilot offer'!$C$5+'Pilot offer'!$C$6,T306)</f>
        <v/>
      </c>
      <c r="Y306" s="15">
        <f>IF('Pilot offer'!$C$24="Yes",'Pilot offer'!$C$8,U306)</f>
        <v/>
      </c>
      <c r="Z306" s="43">
        <f>IF('Pilot offer'!$C$24="Yes",'Pilot offer'!$C$11,"")</f>
        <v/>
      </c>
      <c r="AA306" s="15">
        <f>IF(X306="","",W306&amp;" · "&amp;TEXT(X306,"ddd d mmm, hh:mm")&amp;" · "&amp;Y306&amp;IF(Z306&lt;&gt;""," · £"&amp;TEXT(Z306,"0.00")&amp;" per player"," · price TBC (cost £"&amp;TEXT(V306,"0.00")&amp;" pp)"))</f>
        <v/>
      </c>
      <c r="AD306" s="44" t="n"/>
    </row>
    <row r="307">
      <c r="A307" s="13" t="n">
        <v>305</v>
      </c>
      <c r="B307" s="13" t="inlineStr">
        <is>
          <t>2 · N1 Hoxton</t>
        </is>
      </c>
      <c r="C307" s="13" t="inlineStr">
        <is>
          <t>Education</t>
        </is>
      </c>
      <c r="D307" s="13" t="inlineStr">
        <is>
          <t>Local businesses</t>
        </is>
      </c>
      <c r="E307" s="13" t="inlineStr">
        <is>
          <t>Vittoria Primary School</t>
        </is>
      </c>
      <c r="F307" s="13" t="inlineStr">
        <is>
          <t>amenity: school</t>
        </is>
      </c>
      <c r="G307" s="13" t="inlineStr">
        <is>
          <t>office@vittoria.islington.sch.uk</t>
        </is>
      </c>
      <c r="H307" s="13" t="inlineStr">
        <is>
          <t>general</t>
        </is>
      </c>
      <c r="I307" s="13" t="inlineStr">
        <is>
          <t>+44 20 7837 5597</t>
        </is>
      </c>
      <c r="J307" s="14" t="inlineStr">
        <is>
          <t>https://www.vittoria.islington.sch.uk/</t>
        </is>
      </c>
      <c r="K307" s="13" t="inlineStr">
        <is>
          <t>Treaty Street, London</t>
        </is>
      </c>
      <c r="L307" s="13" t="inlineStr">
        <is>
          <t>N1 0WF</t>
        </is>
      </c>
      <c r="M307" s="13" t="inlineStr">
        <is>
          <t>Market Road</t>
        </is>
      </c>
      <c r="N307" s="13" t="n">
        <v>18</v>
      </c>
      <c r="O307" s="15">
        <f>IFERROR(INDEX(Venues!$C$2:$C$10,MATCH(M307,Venues!$A$2:$A$10,0)),"Not checked")</f>
        <v/>
      </c>
      <c r="P307" s="15">
        <f>IFERROR(INDEX(Venues!$D$2:$D$10,MATCH(M307,Venues!$A$2:$A$10,0)),0)</f>
        <v/>
      </c>
      <c r="Q307" s="42">
        <f>IFERROR(INDEX(Venues!$E$2:$E$10,MATCH(M307,Venues!$A$2:$A$10,0)),"")</f>
        <v/>
      </c>
      <c r="R307" s="15">
        <f>IF(P307&gt;0,"Yes","No")</f>
        <v/>
      </c>
      <c r="S307" s="13" t="inlineStr">
        <is>
          <t>Market Road</t>
        </is>
      </c>
      <c r="T307" s="42">
        <f>IFERROR(INDEX(Venues!$E$2:$E$10,MATCH(S307,Venues!$A$2:$A$10,0)),"")</f>
        <v/>
      </c>
      <c r="U307" s="15">
        <f>IFERROR(INDEX(Venues!$F$2:$F$10,MATCH(S307,Venues!$A$2:$A$10,0)),"")</f>
        <v/>
      </c>
      <c r="V307" s="43">
        <f>IFERROR(INDEX(Venues!$H$2:$H$10,MATCH(S307,Venues!$A$2:$A$10,0)),"")</f>
        <v/>
      </c>
      <c r="W307" s="15">
        <f>IF('Pilot offer'!$C$24="Yes",'Pilot offer'!$C$3,S307)</f>
        <v/>
      </c>
      <c r="X307" s="42">
        <f>IF('Pilot offer'!$C$24="Yes",'Pilot offer'!$C$5+'Pilot offer'!$C$6,T307)</f>
        <v/>
      </c>
      <c r="Y307" s="15">
        <f>IF('Pilot offer'!$C$24="Yes",'Pilot offer'!$C$8,U307)</f>
        <v/>
      </c>
      <c r="Z307" s="43">
        <f>IF('Pilot offer'!$C$24="Yes",'Pilot offer'!$C$11,"")</f>
        <v/>
      </c>
      <c r="AA307" s="15">
        <f>IF(X307="","",W307&amp;" · "&amp;TEXT(X307,"ddd d mmm, hh:mm")&amp;" · "&amp;Y307&amp;IF(Z307&lt;&gt;""," · £"&amp;TEXT(Z307,"0.00")&amp;" per player"," · price TBC (cost £"&amp;TEXT(V307,"0.00")&amp;" pp)"))</f>
        <v/>
      </c>
      <c r="AD307" s="44" t="n"/>
    </row>
    <row r="308">
      <c r="A308" s="13" t="n">
        <v>306</v>
      </c>
      <c r="B308" s="13" t="inlineStr">
        <is>
          <t>2 · N1 Hoxton</t>
        </is>
      </c>
      <c r="C308" s="13" t="inlineStr">
        <is>
          <t>Hospitality</t>
        </is>
      </c>
      <c r="D308" s="13" t="inlineStr">
        <is>
          <t>Local businesses</t>
        </is>
      </c>
      <c r="E308" s="13" t="inlineStr">
        <is>
          <t>Jam Delish</t>
        </is>
      </c>
      <c r="F308" s="13" t="inlineStr">
        <is>
          <t>amenity: restaurant</t>
        </is>
      </c>
      <c r="G308" s="13" t="inlineStr">
        <is>
          <t>jamdelish@outlook.com</t>
        </is>
      </c>
      <c r="H308" s="13" t="inlineStr">
        <is>
          <t>freemail</t>
        </is>
      </c>
      <c r="I308" s="13" t="inlineStr">
        <is>
          <t>+44 7957 439777</t>
        </is>
      </c>
      <c r="J308" s="14" t="inlineStr">
        <is>
          <t>https://jamdelish.co.uk/</t>
        </is>
      </c>
      <c r="K308" s="13" t="inlineStr">
        <is>
          <t>Tolpuddle Street 1, London</t>
        </is>
      </c>
      <c r="L308" s="13" t="inlineStr">
        <is>
          <t>N1 0XT</t>
        </is>
      </c>
      <c r="M308" s="13" t="inlineStr">
        <is>
          <t>Old St - Moreland Primary School</t>
        </is>
      </c>
      <c r="N308" s="13" t="n">
        <v>15</v>
      </c>
      <c r="O308" s="15">
        <f>IFERROR(INDEX(Venues!$C$2:$C$10,MATCH(M308,Venues!$A$2:$A$10,0)),"Not checked")</f>
        <v/>
      </c>
      <c r="P308" s="15">
        <f>IFERROR(INDEX(Venues!$D$2:$D$10,MATCH(M308,Venues!$A$2:$A$10,0)),0)</f>
        <v/>
      </c>
      <c r="Q308" s="42">
        <f>IFERROR(INDEX(Venues!$E$2:$E$10,MATCH(M308,Venues!$A$2:$A$10,0)),"")</f>
        <v/>
      </c>
      <c r="R308" s="15">
        <f>IF(P308&gt;0,"Yes","No")</f>
        <v/>
      </c>
      <c r="S308" s="13" t="inlineStr">
        <is>
          <t>Old St - Moreland Primary School</t>
        </is>
      </c>
      <c r="T308" s="42">
        <f>IFERROR(INDEX(Venues!$E$2:$E$10,MATCH(S308,Venues!$A$2:$A$10,0)),"")</f>
        <v/>
      </c>
      <c r="U308" s="15">
        <f>IFERROR(INDEX(Venues!$F$2:$F$10,MATCH(S308,Venues!$A$2:$A$10,0)),"")</f>
        <v/>
      </c>
      <c r="V308" s="43">
        <f>IFERROR(INDEX(Venues!$H$2:$H$10,MATCH(S308,Venues!$A$2:$A$10,0)),"")</f>
        <v/>
      </c>
      <c r="W308" s="15">
        <f>IF('Pilot offer'!$C$24="Yes",'Pilot offer'!$C$3,S308)</f>
        <v/>
      </c>
      <c r="X308" s="42">
        <f>IF('Pilot offer'!$C$24="Yes",'Pilot offer'!$C$5+'Pilot offer'!$C$6,T308)</f>
        <v/>
      </c>
      <c r="Y308" s="15">
        <f>IF('Pilot offer'!$C$24="Yes",'Pilot offer'!$C$8,U308)</f>
        <v/>
      </c>
      <c r="Z308" s="43">
        <f>IF('Pilot offer'!$C$24="Yes",'Pilot offer'!$C$11,"")</f>
        <v/>
      </c>
      <c r="AA308" s="15">
        <f>IF(X308="","",W308&amp;" · "&amp;TEXT(X308,"ddd d mmm, hh:mm")&amp;" · "&amp;Y308&amp;IF(Z308&lt;&gt;""," · £"&amp;TEXT(Z308,"0.00")&amp;" per player"," · price TBC (cost £"&amp;TEXT(V308,"0.00")&amp;" pp)"))</f>
        <v/>
      </c>
      <c r="AD308" s="44" t="n"/>
    </row>
    <row r="309">
      <c r="A309" s="13" t="n">
        <v>307</v>
      </c>
      <c r="B309" s="13" t="inlineStr">
        <is>
          <t>2 · N1 Hoxton</t>
        </is>
      </c>
      <c r="C309" s="13" t="inlineStr">
        <is>
          <t>Hospitality</t>
        </is>
      </c>
      <c r="D309" s="13" t="inlineStr">
        <is>
          <t>Local businesses</t>
        </is>
      </c>
      <c r="E309" s="13" t="inlineStr">
        <is>
          <t>The Tamil Prince</t>
        </is>
      </c>
      <c r="F309" s="13" t="inlineStr">
        <is>
          <t>amenity: restaurant</t>
        </is>
      </c>
      <c r="G309" s="13" t="inlineStr">
        <is>
          <t>info@thetamilprince.com</t>
        </is>
      </c>
      <c r="H309" s="13" t="inlineStr">
        <is>
          <t>general</t>
        </is>
      </c>
      <c r="I309" s="13" t="inlineStr">
        <is>
          <t>+44 20 7062 7846</t>
        </is>
      </c>
      <c r="J309" s="14" t="inlineStr">
        <is>
          <t>https://www.thetamilprince.com</t>
        </is>
      </c>
      <c r="K309" s="13" t="inlineStr">
        <is>
          <t>Hemingford Road 115, London</t>
        </is>
      </c>
      <c r="L309" s="13" t="inlineStr">
        <is>
          <t>N1 1BZ</t>
        </is>
      </c>
      <c r="M309" s="13" t="inlineStr">
        <is>
          <t>Market Road</t>
        </is>
      </c>
      <c r="N309" s="13" t="n">
        <v>14</v>
      </c>
      <c r="O309" s="15">
        <f>IFERROR(INDEX(Venues!$C$2:$C$10,MATCH(M309,Venues!$A$2:$A$10,0)),"Not checked")</f>
        <v/>
      </c>
      <c r="P309" s="15">
        <f>IFERROR(INDEX(Venues!$D$2:$D$10,MATCH(M309,Venues!$A$2:$A$10,0)),0)</f>
        <v/>
      </c>
      <c r="Q309" s="42">
        <f>IFERROR(INDEX(Venues!$E$2:$E$10,MATCH(M309,Venues!$A$2:$A$10,0)),"")</f>
        <v/>
      </c>
      <c r="R309" s="15">
        <f>IF(P309&gt;0,"Yes","No")</f>
        <v/>
      </c>
      <c r="S309" s="13" t="inlineStr">
        <is>
          <t>Market Road</t>
        </is>
      </c>
      <c r="T309" s="42">
        <f>IFERROR(INDEX(Venues!$E$2:$E$10,MATCH(S309,Venues!$A$2:$A$10,0)),"")</f>
        <v/>
      </c>
      <c r="U309" s="15">
        <f>IFERROR(INDEX(Venues!$F$2:$F$10,MATCH(S309,Venues!$A$2:$A$10,0)),"")</f>
        <v/>
      </c>
      <c r="V309" s="43">
        <f>IFERROR(INDEX(Venues!$H$2:$H$10,MATCH(S309,Venues!$A$2:$A$10,0)),"")</f>
        <v/>
      </c>
      <c r="W309" s="15">
        <f>IF('Pilot offer'!$C$24="Yes",'Pilot offer'!$C$3,S309)</f>
        <v/>
      </c>
      <c r="X309" s="42">
        <f>IF('Pilot offer'!$C$24="Yes",'Pilot offer'!$C$5+'Pilot offer'!$C$6,T309)</f>
        <v/>
      </c>
      <c r="Y309" s="15">
        <f>IF('Pilot offer'!$C$24="Yes",'Pilot offer'!$C$8,U309)</f>
        <v/>
      </c>
      <c r="Z309" s="43">
        <f>IF('Pilot offer'!$C$24="Yes",'Pilot offer'!$C$11,"")</f>
        <v/>
      </c>
      <c r="AA309" s="15">
        <f>IF(X309="","",W309&amp;" · "&amp;TEXT(X309,"ddd d mmm, hh:mm")&amp;" · "&amp;Y309&amp;IF(Z309&lt;&gt;""," · £"&amp;TEXT(Z309,"0.00")&amp;" per player"," · price TBC (cost £"&amp;TEXT(V309,"0.00")&amp;" pp)"))</f>
        <v/>
      </c>
      <c r="AD309" s="44" t="n"/>
    </row>
    <row r="310">
      <c r="A310" s="13" t="n">
        <v>308</v>
      </c>
      <c r="B310" s="13" t="inlineStr">
        <is>
          <t>2 · N1 Hoxton</t>
        </is>
      </c>
      <c r="C310" s="13" t="inlineStr">
        <is>
          <t>Hospitality</t>
        </is>
      </c>
      <c r="D310" s="13" t="inlineStr">
        <is>
          <t>Local businesses</t>
        </is>
      </c>
      <c r="E310" s="13" t="inlineStr">
        <is>
          <t>Hemingford Arms</t>
        </is>
      </c>
      <c r="F310" s="13" t="inlineStr">
        <is>
          <t>amenity: pub</t>
        </is>
      </c>
      <c r="G310" s="13" t="inlineStr">
        <is>
          <t>enquiries@hemingfordarms.com</t>
        </is>
      </c>
      <c r="H310" s="13" t="inlineStr">
        <is>
          <t>general</t>
        </is>
      </c>
      <c r="I310" s="13" t="inlineStr">
        <is>
          <t>+44 20 7607 3303</t>
        </is>
      </c>
      <c r="J310" s="14" t="inlineStr">
        <is>
          <t>https://www.hemingfordarms.com/</t>
        </is>
      </c>
      <c r="K310" s="13" t="inlineStr">
        <is>
          <t>Hemingford Road 158, London</t>
        </is>
      </c>
      <c r="L310" s="13" t="inlineStr">
        <is>
          <t>N1 1DF</t>
        </is>
      </c>
      <c r="M310" s="13" t="inlineStr">
        <is>
          <t>Market Road</t>
        </is>
      </c>
      <c r="N310" s="13" t="n">
        <v>14</v>
      </c>
      <c r="O310" s="15">
        <f>IFERROR(INDEX(Venues!$C$2:$C$10,MATCH(M310,Venues!$A$2:$A$10,0)),"Not checked")</f>
        <v/>
      </c>
      <c r="P310" s="15">
        <f>IFERROR(INDEX(Venues!$D$2:$D$10,MATCH(M310,Venues!$A$2:$A$10,0)),0)</f>
        <v/>
      </c>
      <c r="Q310" s="42">
        <f>IFERROR(INDEX(Venues!$E$2:$E$10,MATCH(M310,Venues!$A$2:$A$10,0)),"")</f>
        <v/>
      </c>
      <c r="R310" s="15">
        <f>IF(P310&gt;0,"Yes","No")</f>
        <v/>
      </c>
      <c r="S310" s="13" t="inlineStr">
        <is>
          <t>Market Road</t>
        </is>
      </c>
      <c r="T310" s="42">
        <f>IFERROR(INDEX(Venues!$E$2:$E$10,MATCH(S310,Venues!$A$2:$A$10,0)),"")</f>
        <v/>
      </c>
      <c r="U310" s="15">
        <f>IFERROR(INDEX(Venues!$F$2:$F$10,MATCH(S310,Venues!$A$2:$A$10,0)),"")</f>
        <v/>
      </c>
      <c r="V310" s="43">
        <f>IFERROR(INDEX(Venues!$H$2:$H$10,MATCH(S310,Venues!$A$2:$A$10,0)),"")</f>
        <v/>
      </c>
      <c r="W310" s="15">
        <f>IF('Pilot offer'!$C$24="Yes",'Pilot offer'!$C$3,S310)</f>
        <v/>
      </c>
      <c r="X310" s="42">
        <f>IF('Pilot offer'!$C$24="Yes",'Pilot offer'!$C$5+'Pilot offer'!$C$6,T310)</f>
        <v/>
      </c>
      <c r="Y310" s="15">
        <f>IF('Pilot offer'!$C$24="Yes",'Pilot offer'!$C$8,U310)</f>
        <v/>
      </c>
      <c r="Z310" s="43">
        <f>IF('Pilot offer'!$C$24="Yes",'Pilot offer'!$C$11,"")</f>
        <v/>
      </c>
      <c r="AA310" s="15">
        <f>IF(X310="","",W310&amp;" · "&amp;TEXT(X310,"ddd d mmm, hh:mm")&amp;" · "&amp;Y310&amp;IF(Z310&lt;&gt;""," · £"&amp;TEXT(Z310,"0.00")&amp;" per player"," · price TBC (cost £"&amp;TEXT(V310,"0.00")&amp;" pp)"))</f>
        <v/>
      </c>
      <c r="AD310" s="44" t="n"/>
    </row>
    <row r="311">
      <c r="A311" s="13" t="n">
        <v>309</v>
      </c>
      <c r="B311" s="13" t="inlineStr">
        <is>
          <t>2 · N1 Hoxton</t>
        </is>
      </c>
      <c r="C311" s="13" t="inlineStr">
        <is>
          <t>Hospitality</t>
        </is>
      </c>
      <c r="D311" s="13" t="inlineStr">
        <is>
          <t>Local businesses</t>
        </is>
      </c>
      <c r="E311" s="13" t="inlineStr">
        <is>
          <t>The Drapers Arms</t>
        </is>
      </c>
      <c r="F311" s="13" t="inlineStr">
        <is>
          <t>amenity: pub</t>
        </is>
      </c>
      <c r="G311" s="13" t="inlineStr">
        <is>
          <t>info@thedrapersarms.com</t>
        </is>
      </c>
      <c r="H311" s="13" t="inlineStr">
        <is>
          <t>general</t>
        </is>
      </c>
      <c r="I311" s="13" t="inlineStr">
        <is>
          <t>+44 20 7619 0348</t>
        </is>
      </c>
      <c r="J311" s="14" t="inlineStr">
        <is>
          <t>http://www.thedrapersarms.com/</t>
        </is>
      </c>
      <c r="K311" s="13" t="inlineStr">
        <is>
          <t>Barnsbury Street 44, London</t>
        </is>
      </c>
      <c r="L311" s="13" t="inlineStr">
        <is>
          <t>N1 1ER</t>
        </is>
      </c>
      <c r="M311" s="13" t="inlineStr">
        <is>
          <t>Market Road</t>
        </is>
      </c>
      <c r="N311" s="13" t="n">
        <v>20</v>
      </c>
      <c r="O311" s="15">
        <f>IFERROR(INDEX(Venues!$C$2:$C$10,MATCH(M311,Venues!$A$2:$A$10,0)),"Not checked")</f>
        <v/>
      </c>
      <c r="P311" s="15">
        <f>IFERROR(INDEX(Venues!$D$2:$D$10,MATCH(M311,Venues!$A$2:$A$10,0)),0)</f>
        <v/>
      </c>
      <c r="Q311" s="42">
        <f>IFERROR(INDEX(Venues!$E$2:$E$10,MATCH(M311,Venues!$A$2:$A$10,0)),"")</f>
        <v/>
      </c>
      <c r="R311" s="15">
        <f>IF(P311&gt;0,"Yes","No")</f>
        <v/>
      </c>
      <c r="S311" s="13" t="inlineStr">
        <is>
          <t>Market Road</t>
        </is>
      </c>
      <c r="T311" s="42">
        <f>IFERROR(INDEX(Venues!$E$2:$E$10,MATCH(S311,Venues!$A$2:$A$10,0)),"")</f>
        <v/>
      </c>
      <c r="U311" s="15">
        <f>IFERROR(INDEX(Venues!$F$2:$F$10,MATCH(S311,Venues!$A$2:$A$10,0)),"")</f>
        <v/>
      </c>
      <c r="V311" s="43">
        <f>IFERROR(INDEX(Venues!$H$2:$H$10,MATCH(S311,Venues!$A$2:$A$10,0)),"")</f>
        <v/>
      </c>
      <c r="W311" s="15">
        <f>IF('Pilot offer'!$C$24="Yes",'Pilot offer'!$C$3,S311)</f>
        <v/>
      </c>
      <c r="X311" s="42">
        <f>IF('Pilot offer'!$C$24="Yes",'Pilot offer'!$C$5+'Pilot offer'!$C$6,T311)</f>
        <v/>
      </c>
      <c r="Y311" s="15">
        <f>IF('Pilot offer'!$C$24="Yes",'Pilot offer'!$C$8,U311)</f>
        <v/>
      </c>
      <c r="Z311" s="43">
        <f>IF('Pilot offer'!$C$24="Yes",'Pilot offer'!$C$11,"")</f>
        <v/>
      </c>
      <c r="AA311" s="15">
        <f>IF(X311="","",W311&amp;" · "&amp;TEXT(X311,"ddd d mmm, hh:mm")&amp;" · "&amp;Y311&amp;IF(Z311&lt;&gt;""," · £"&amp;TEXT(Z311,"0.00")&amp;" per player"," · price TBC (cost £"&amp;TEXT(V311,"0.00")&amp;" pp)"))</f>
        <v/>
      </c>
      <c r="AD311" s="44" t="n"/>
    </row>
    <row r="312">
      <c r="A312" s="13" t="n">
        <v>310</v>
      </c>
      <c r="B312" s="13" t="inlineStr">
        <is>
          <t>2 · N1 Hoxton</t>
        </is>
      </c>
      <c r="C312" s="13" t="inlineStr">
        <is>
          <t>Hospitality</t>
        </is>
      </c>
      <c r="D312" s="13" t="inlineStr">
        <is>
          <t>Local businesses</t>
        </is>
      </c>
      <c r="E312" s="13" t="inlineStr">
        <is>
          <t>The Albion</t>
        </is>
      </c>
      <c r="F312" s="13" t="inlineStr">
        <is>
          <t>amenity: pub</t>
        </is>
      </c>
      <c r="G312" s="13" t="inlineStr">
        <is>
          <t>info@the-albion.co.uk</t>
        </is>
      </c>
      <c r="H312" s="13" t="inlineStr">
        <is>
          <t>openstreetmap_tag</t>
        </is>
      </c>
      <c r="I312" s="13" t="inlineStr">
        <is>
          <t>+44 20 7607 7450</t>
        </is>
      </c>
      <c r="J312" s="14" t="inlineStr">
        <is>
          <t>https://www.the-albion.co.uk/</t>
        </is>
      </c>
      <c r="K312" s="13" t="inlineStr">
        <is>
          <t>Thornhill Road 10, London</t>
        </is>
      </c>
      <c r="L312" s="13" t="inlineStr">
        <is>
          <t>N1 1HW</t>
        </is>
      </c>
      <c r="M312" s="13" t="inlineStr">
        <is>
          <t>Market Road</t>
        </is>
      </c>
      <c r="N312" s="13" t="n">
        <v>20</v>
      </c>
      <c r="O312" s="15">
        <f>IFERROR(INDEX(Venues!$C$2:$C$10,MATCH(M312,Venues!$A$2:$A$10,0)),"Not checked")</f>
        <v/>
      </c>
      <c r="P312" s="15">
        <f>IFERROR(INDEX(Venues!$D$2:$D$10,MATCH(M312,Venues!$A$2:$A$10,0)),0)</f>
        <v/>
      </c>
      <c r="Q312" s="42">
        <f>IFERROR(INDEX(Venues!$E$2:$E$10,MATCH(M312,Venues!$A$2:$A$10,0)),"")</f>
        <v/>
      </c>
      <c r="R312" s="15">
        <f>IF(P312&gt;0,"Yes","No")</f>
        <v/>
      </c>
      <c r="S312" s="13" t="inlineStr">
        <is>
          <t>Market Road</t>
        </is>
      </c>
      <c r="T312" s="42">
        <f>IFERROR(INDEX(Venues!$E$2:$E$10,MATCH(S312,Venues!$A$2:$A$10,0)),"")</f>
        <v/>
      </c>
      <c r="U312" s="15">
        <f>IFERROR(INDEX(Venues!$F$2:$F$10,MATCH(S312,Venues!$A$2:$A$10,0)),"")</f>
        <v/>
      </c>
      <c r="V312" s="43">
        <f>IFERROR(INDEX(Venues!$H$2:$H$10,MATCH(S312,Venues!$A$2:$A$10,0)),"")</f>
        <v/>
      </c>
      <c r="W312" s="15">
        <f>IF('Pilot offer'!$C$24="Yes",'Pilot offer'!$C$3,S312)</f>
        <v/>
      </c>
      <c r="X312" s="42">
        <f>IF('Pilot offer'!$C$24="Yes",'Pilot offer'!$C$5+'Pilot offer'!$C$6,T312)</f>
        <v/>
      </c>
      <c r="Y312" s="15">
        <f>IF('Pilot offer'!$C$24="Yes",'Pilot offer'!$C$8,U312)</f>
        <v/>
      </c>
      <c r="Z312" s="43">
        <f>IF('Pilot offer'!$C$24="Yes",'Pilot offer'!$C$11,"")</f>
        <v/>
      </c>
      <c r="AA312" s="15">
        <f>IF(X312="","",W312&amp;" · "&amp;TEXT(X312,"ddd d mmm, hh:mm")&amp;" · "&amp;Y312&amp;IF(Z312&lt;&gt;""," · £"&amp;TEXT(Z312,"0.00")&amp;" per player"," · price TBC (cost £"&amp;TEXT(V312,"0.00")&amp;" pp)"))</f>
        <v/>
      </c>
      <c r="AD312" s="44" t="n"/>
    </row>
    <row r="313">
      <c r="A313" s="13" t="n">
        <v>311</v>
      </c>
      <c r="B313" s="13" t="inlineStr">
        <is>
          <t>2 · N1 Hoxton</t>
        </is>
      </c>
      <c r="C313" s="13" t="inlineStr">
        <is>
          <t>Education</t>
        </is>
      </c>
      <c r="D313" s="13" t="inlineStr">
        <is>
          <t>Local businesses</t>
        </is>
      </c>
      <c r="E313" s="13" t="inlineStr">
        <is>
          <t>Thornhill Primary School</t>
        </is>
      </c>
      <c r="F313" s="13" t="inlineStr">
        <is>
          <t>amenity: school</t>
        </is>
      </c>
      <c r="G313" s="13" t="inlineStr">
        <is>
          <t>thornhill@thornhill.islington.sch.uk</t>
        </is>
      </c>
      <c r="H313" s="13" t="inlineStr">
        <is>
          <t>person_or_other</t>
        </is>
      </c>
      <c r="I313" s="13" t="inlineStr">
        <is>
          <t>+44 20 7607 4162</t>
        </is>
      </c>
      <c r="J313" s="14" t="inlineStr">
        <is>
          <t>https://www.thornhill.islington.sch.uk</t>
        </is>
      </c>
      <c r="K313" s="13" t="inlineStr">
        <is>
          <t>Thornhill Road, London</t>
        </is>
      </c>
      <c r="L313" s="13" t="inlineStr">
        <is>
          <t>N1 1HX</t>
        </is>
      </c>
      <c r="M313" s="13" t="inlineStr">
        <is>
          <t>Market Road</t>
        </is>
      </c>
      <c r="N313" s="13" t="n">
        <v>18</v>
      </c>
      <c r="O313" s="15">
        <f>IFERROR(INDEX(Venues!$C$2:$C$10,MATCH(M313,Venues!$A$2:$A$10,0)),"Not checked")</f>
        <v/>
      </c>
      <c r="P313" s="15">
        <f>IFERROR(INDEX(Venues!$D$2:$D$10,MATCH(M313,Venues!$A$2:$A$10,0)),0)</f>
        <v/>
      </c>
      <c r="Q313" s="42">
        <f>IFERROR(INDEX(Venues!$E$2:$E$10,MATCH(M313,Venues!$A$2:$A$10,0)),"")</f>
        <v/>
      </c>
      <c r="R313" s="15">
        <f>IF(P313&gt;0,"Yes","No")</f>
        <v/>
      </c>
      <c r="S313" s="13" t="inlineStr">
        <is>
          <t>Market Road</t>
        </is>
      </c>
      <c r="T313" s="42">
        <f>IFERROR(INDEX(Venues!$E$2:$E$10,MATCH(S313,Venues!$A$2:$A$10,0)),"")</f>
        <v/>
      </c>
      <c r="U313" s="15">
        <f>IFERROR(INDEX(Venues!$F$2:$F$10,MATCH(S313,Venues!$A$2:$A$10,0)),"")</f>
        <v/>
      </c>
      <c r="V313" s="43">
        <f>IFERROR(INDEX(Venues!$H$2:$H$10,MATCH(S313,Venues!$A$2:$A$10,0)),"")</f>
        <v/>
      </c>
      <c r="W313" s="15">
        <f>IF('Pilot offer'!$C$24="Yes",'Pilot offer'!$C$3,S313)</f>
        <v/>
      </c>
      <c r="X313" s="42">
        <f>IF('Pilot offer'!$C$24="Yes",'Pilot offer'!$C$5+'Pilot offer'!$C$6,T313)</f>
        <v/>
      </c>
      <c r="Y313" s="15">
        <f>IF('Pilot offer'!$C$24="Yes",'Pilot offer'!$C$8,U313)</f>
        <v/>
      </c>
      <c r="Z313" s="43">
        <f>IF('Pilot offer'!$C$24="Yes",'Pilot offer'!$C$11,"")</f>
        <v/>
      </c>
      <c r="AA313" s="15">
        <f>IF(X313="","",W313&amp;" · "&amp;TEXT(X313,"ddd d mmm, hh:mm")&amp;" · "&amp;Y313&amp;IF(Z313&lt;&gt;""," · £"&amp;TEXT(Z313,"0.00")&amp;" per player"," · price TBC (cost £"&amp;TEXT(V313,"0.00")&amp;" pp)"))</f>
        <v/>
      </c>
      <c r="AD313" s="44" t="n"/>
    </row>
    <row r="314">
      <c r="A314" s="13" t="n">
        <v>312</v>
      </c>
      <c r="B314" s="13" t="inlineStr">
        <is>
          <t>2 · N1 Hoxton</t>
        </is>
      </c>
      <c r="C314" s="13" t="inlineStr">
        <is>
          <t>Hospitality</t>
        </is>
      </c>
      <c r="D314" s="13" t="inlineStr">
        <is>
          <t>Local businesses</t>
        </is>
      </c>
      <c r="E314" s="13" t="inlineStr">
        <is>
          <t>King's Head</t>
        </is>
      </c>
      <c r="F314" s="13" t="inlineStr">
        <is>
          <t>amenity: pub</t>
        </is>
      </c>
      <c r="G314" s="13" t="inlineStr">
        <is>
          <t>boxoffice@kingsheadtheatre.com</t>
        </is>
      </c>
      <c r="H314" s="13" t="inlineStr">
        <is>
          <t>person_or_other</t>
        </is>
      </c>
      <c r="I314" s="13" t="n"/>
      <c r="J314" s="14" t="inlineStr">
        <is>
          <t>https://kingsheadtheatre.com/</t>
        </is>
      </c>
      <c r="K314" s="13" t="inlineStr">
        <is>
          <t>Upper Street 115, London</t>
        </is>
      </c>
      <c r="L314" s="13" t="inlineStr">
        <is>
          <t>N1 1QN</t>
        </is>
      </c>
      <c r="M314" s="13" t="inlineStr">
        <is>
          <t>Rosemary Gardens 3G - Islington</t>
        </is>
      </c>
      <c r="N314" s="13" t="n">
        <v>16</v>
      </c>
      <c r="O314" s="15">
        <f>IFERROR(INDEX(Venues!$C$2:$C$10,MATCH(M314,Venues!$A$2:$A$10,0)),"Not checked")</f>
        <v/>
      </c>
      <c r="P314" s="15">
        <f>IFERROR(INDEX(Venues!$D$2:$D$10,MATCH(M314,Venues!$A$2:$A$10,0)),0)</f>
        <v/>
      </c>
      <c r="Q314" s="42">
        <f>IFERROR(INDEX(Venues!$E$2:$E$10,MATCH(M314,Venues!$A$2:$A$10,0)),"")</f>
        <v/>
      </c>
      <c r="R314" s="15">
        <f>IF(P314&gt;0,"Yes","No")</f>
        <v/>
      </c>
      <c r="S314" s="13" t="inlineStr">
        <is>
          <t>COLA Shoreditch Park</t>
        </is>
      </c>
      <c r="T314" s="42">
        <f>IFERROR(INDEX(Venues!$E$2:$E$10,MATCH(S314,Venues!$A$2:$A$10,0)),"")</f>
        <v/>
      </c>
      <c r="U314" s="15">
        <f>IFERROR(INDEX(Venues!$F$2:$F$10,MATCH(S314,Venues!$A$2:$A$10,0)),"")</f>
        <v/>
      </c>
      <c r="V314" s="43">
        <f>IFERROR(INDEX(Venues!$H$2:$H$10,MATCH(S314,Venues!$A$2:$A$10,0)),"")</f>
        <v/>
      </c>
      <c r="W314" s="15">
        <f>IF('Pilot offer'!$C$24="Yes",'Pilot offer'!$C$3,S314)</f>
        <v/>
      </c>
      <c r="X314" s="42">
        <f>IF('Pilot offer'!$C$24="Yes",'Pilot offer'!$C$5+'Pilot offer'!$C$6,T314)</f>
        <v/>
      </c>
      <c r="Y314" s="15">
        <f>IF('Pilot offer'!$C$24="Yes",'Pilot offer'!$C$8,U314)</f>
        <v/>
      </c>
      <c r="Z314" s="43">
        <f>IF('Pilot offer'!$C$24="Yes",'Pilot offer'!$C$11,"")</f>
        <v/>
      </c>
      <c r="AA314" s="15">
        <f>IF(X314="","",W314&amp;" · "&amp;TEXT(X314,"ddd d mmm, hh:mm")&amp;" · "&amp;Y314&amp;IF(Z314&lt;&gt;""," · £"&amp;TEXT(Z314,"0.00")&amp;" per player"," · price TBC (cost £"&amp;TEXT(V314,"0.00")&amp;" pp)"))</f>
        <v/>
      </c>
      <c r="AD314" s="44" t="n"/>
    </row>
    <row r="315">
      <c r="A315" s="13" t="n">
        <v>313</v>
      </c>
      <c r="B315" s="13" t="inlineStr">
        <is>
          <t>2 · N1 Hoxton</t>
        </is>
      </c>
      <c r="C315" s="13" t="inlineStr">
        <is>
          <t>Hospitality</t>
        </is>
      </c>
      <c r="D315" s="13" t="inlineStr">
        <is>
          <t>Local businesses</t>
        </is>
      </c>
      <c r="E315" s="13" t="inlineStr">
        <is>
          <t>La Farola</t>
        </is>
      </c>
      <c r="F315" s="13" t="inlineStr">
        <is>
          <t>amenity: restaurant</t>
        </is>
      </c>
      <c r="G315" s="13" t="inlineStr">
        <is>
          <t>info@lafarolacafe.co.uk</t>
        </is>
      </c>
      <c r="H315" s="13" t="inlineStr">
        <is>
          <t>general</t>
        </is>
      </c>
      <c r="I315" s="13" t="inlineStr">
        <is>
          <t>+44 20 7359 7707</t>
        </is>
      </c>
      <c r="J315" s="14" t="inlineStr">
        <is>
          <t>https://lafarolacafe.co.uk/</t>
        </is>
      </c>
      <c r="K315" s="13" t="inlineStr">
        <is>
          <t>Upper Street 101, London</t>
        </is>
      </c>
      <c r="L315" s="13" t="inlineStr">
        <is>
          <t>N1 1QN</t>
        </is>
      </c>
      <c r="M315" s="13" t="inlineStr">
        <is>
          <t>Rosemary Gardens 3G - Islington</t>
        </is>
      </c>
      <c r="N315" s="13" t="n">
        <v>17</v>
      </c>
      <c r="O315" s="15">
        <f>IFERROR(INDEX(Venues!$C$2:$C$10,MATCH(M315,Venues!$A$2:$A$10,0)),"Not checked")</f>
        <v/>
      </c>
      <c r="P315" s="15">
        <f>IFERROR(INDEX(Venues!$D$2:$D$10,MATCH(M315,Venues!$A$2:$A$10,0)),0)</f>
        <v/>
      </c>
      <c r="Q315" s="42">
        <f>IFERROR(INDEX(Venues!$E$2:$E$10,MATCH(M315,Venues!$A$2:$A$10,0)),"")</f>
        <v/>
      </c>
      <c r="R315" s="15">
        <f>IF(P315&gt;0,"Yes","No")</f>
        <v/>
      </c>
      <c r="S315" s="13" t="inlineStr">
        <is>
          <t>COLA Shoreditch Park</t>
        </is>
      </c>
      <c r="T315" s="42">
        <f>IFERROR(INDEX(Venues!$E$2:$E$10,MATCH(S315,Venues!$A$2:$A$10,0)),"")</f>
        <v/>
      </c>
      <c r="U315" s="15">
        <f>IFERROR(INDEX(Venues!$F$2:$F$10,MATCH(S315,Venues!$A$2:$A$10,0)),"")</f>
        <v/>
      </c>
      <c r="V315" s="43">
        <f>IFERROR(INDEX(Venues!$H$2:$H$10,MATCH(S315,Venues!$A$2:$A$10,0)),"")</f>
        <v/>
      </c>
      <c r="W315" s="15">
        <f>IF('Pilot offer'!$C$24="Yes",'Pilot offer'!$C$3,S315)</f>
        <v/>
      </c>
      <c r="X315" s="42">
        <f>IF('Pilot offer'!$C$24="Yes",'Pilot offer'!$C$5+'Pilot offer'!$C$6,T315)</f>
        <v/>
      </c>
      <c r="Y315" s="15">
        <f>IF('Pilot offer'!$C$24="Yes",'Pilot offer'!$C$8,U315)</f>
        <v/>
      </c>
      <c r="Z315" s="43">
        <f>IF('Pilot offer'!$C$24="Yes",'Pilot offer'!$C$11,"")</f>
        <v/>
      </c>
      <c r="AA315" s="15">
        <f>IF(X315="","",W315&amp;" · "&amp;TEXT(X315,"ddd d mmm, hh:mm")&amp;" · "&amp;Y315&amp;IF(Z315&lt;&gt;""," · £"&amp;TEXT(Z315,"0.00")&amp;" per player"," · price TBC (cost £"&amp;TEXT(V315,"0.00")&amp;" pp)"))</f>
        <v/>
      </c>
      <c r="AD315" s="44" t="n"/>
    </row>
    <row r="316">
      <c r="A316" s="13" t="n">
        <v>314</v>
      </c>
      <c r="B316" s="13" t="inlineStr">
        <is>
          <t>2 · N1 Hoxton</t>
        </is>
      </c>
      <c r="C316" s="13" t="inlineStr">
        <is>
          <t>Office &amp; professional</t>
        </is>
      </c>
      <c r="D316" s="13" t="inlineStr">
        <is>
          <t>Corporate</t>
        </is>
      </c>
      <c r="E316" s="13" t="inlineStr">
        <is>
          <t>Neilson &amp; Bauer</t>
        </is>
      </c>
      <c r="F316" s="13" t="inlineStr">
        <is>
          <t>estate_agent</t>
        </is>
      </c>
      <c r="G316" s="13" t="inlineStr">
        <is>
          <t>sales@neilsonbauer.com</t>
        </is>
      </c>
      <c r="H316" s="13" t="inlineStr">
        <is>
          <t>commercial</t>
        </is>
      </c>
      <c r="I316" s="13" t="inlineStr">
        <is>
          <t>+44 20 7226 0626</t>
        </is>
      </c>
      <c r="J316" s="14" t="inlineStr">
        <is>
          <t>https://www.neilsonbauer.com/</t>
        </is>
      </c>
      <c r="K316" s="13" t="inlineStr">
        <is>
          <t>108-109 Upper Street, London</t>
        </is>
      </c>
      <c r="L316" s="13" t="inlineStr">
        <is>
          <t>N1 1QN</t>
        </is>
      </c>
      <c r="M316" s="13" t="inlineStr">
        <is>
          <t>Old St - Moreland Primary School</t>
        </is>
      </c>
      <c r="N316" s="13" t="n">
        <v>17</v>
      </c>
      <c r="O316" s="15">
        <f>IFERROR(INDEX(Venues!$C$2:$C$10,MATCH(M316,Venues!$A$2:$A$10,0)),"Not checked")</f>
        <v/>
      </c>
      <c r="P316" s="15">
        <f>IFERROR(INDEX(Venues!$D$2:$D$10,MATCH(M316,Venues!$A$2:$A$10,0)),0)</f>
        <v/>
      </c>
      <c r="Q316" s="42">
        <f>IFERROR(INDEX(Venues!$E$2:$E$10,MATCH(M316,Venues!$A$2:$A$10,0)),"")</f>
        <v/>
      </c>
      <c r="R316" s="15">
        <f>IF(P316&gt;0,"Yes","No")</f>
        <v/>
      </c>
      <c r="S316" s="13" t="inlineStr">
        <is>
          <t>Old St - Moreland Primary School</t>
        </is>
      </c>
      <c r="T316" s="42">
        <f>IFERROR(INDEX(Venues!$E$2:$E$10,MATCH(S316,Venues!$A$2:$A$10,0)),"")</f>
        <v/>
      </c>
      <c r="U316" s="15">
        <f>IFERROR(INDEX(Venues!$F$2:$F$10,MATCH(S316,Venues!$A$2:$A$10,0)),"")</f>
        <v/>
      </c>
      <c r="V316" s="43">
        <f>IFERROR(INDEX(Venues!$H$2:$H$10,MATCH(S316,Venues!$A$2:$A$10,0)),"")</f>
        <v/>
      </c>
      <c r="W316" s="15">
        <f>IF('Pilot offer'!$C$24="Yes",'Pilot offer'!$C$3,S316)</f>
        <v/>
      </c>
      <c r="X316" s="42">
        <f>IF('Pilot offer'!$C$24="Yes",'Pilot offer'!$C$5+'Pilot offer'!$C$6,T316)</f>
        <v/>
      </c>
      <c r="Y316" s="15">
        <f>IF('Pilot offer'!$C$24="Yes",'Pilot offer'!$C$8,U316)</f>
        <v/>
      </c>
      <c r="Z316" s="43">
        <f>IF('Pilot offer'!$C$24="Yes",'Pilot offer'!$C$11,"")</f>
        <v/>
      </c>
      <c r="AA316" s="15">
        <f>IF(X316="","",W316&amp;" · "&amp;TEXT(X316,"ddd d mmm, hh:mm")&amp;" · "&amp;Y316&amp;IF(Z316&lt;&gt;""," · £"&amp;TEXT(Z316,"0.00")&amp;" per player"," · price TBC (cost £"&amp;TEXT(V316,"0.00")&amp;" pp)"))</f>
        <v/>
      </c>
      <c r="AD316" s="44" t="n"/>
    </row>
    <row r="317">
      <c r="A317" s="13" t="n">
        <v>315</v>
      </c>
      <c r="B317" s="13" t="inlineStr">
        <is>
          <t>2 · N1 Hoxton</t>
        </is>
      </c>
      <c r="C317" s="13" t="inlineStr">
        <is>
          <t>Hospitality</t>
        </is>
      </c>
      <c r="D317" s="13" t="inlineStr">
        <is>
          <t>Local businesses</t>
        </is>
      </c>
      <c r="E317" s="13" t="inlineStr">
        <is>
          <t>Tofu Vegan</t>
        </is>
      </c>
      <c r="F317" s="13" t="inlineStr">
        <is>
          <t>amenity: restaurant</t>
        </is>
      </c>
      <c r="G317" s="13" t="inlineStr">
        <is>
          <t>islington@tofuvegan.com</t>
        </is>
      </c>
      <c r="H317" s="13" t="inlineStr">
        <is>
          <t>openstreetmap_tag</t>
        </is>
      </c>
      <c r="I317" s="13" t="inlineStr">
        <is>
          <t>+44 20 7916 3304</t>
        </is>
      </c>
      <c r="J317" s="14" t="inlineStr">
        <is>
          <t>https://tofuvegan.com</t>
        </is>
      </c>
      <c r="K317" s="13" t="inlineStr">
        <is>
          <t>Upper Street 105, London</t>
        </is>
      </c>
      <c r="L317" s="13" t="inlineStr">
        <is>
          <t>N1 1QN</t>
        </is>
      </c>
      <c r="M317" s="13" t="inlineStr">
        <is>
          <t>Rosemary Gardens 3G - Islington</t>
        </is>
      </c>
      <c r="N317" s="13" t="n">
        <v>17</v>
      </c>
      <c r="O317" s="15">
        <f>IFERROR(INDEX(Venues!$C$2:$C$10,MATCH(M317,Venues!$A$2:$A$10,0)),"Not checked")</f>
        <v/>
      </c>
      <c r="P317" s="15">
        <f>IFERROR(INDEX(Venues!$D$2:$D$10,MATCH(M317,Venues!$A$2:$A$10,0)),0)</f>
        <v/>
      </c>
      <c r="Q317" s="42">
        <f>IFERROR(INDEX(Venues!$E$2:$E$10,MATCH(M317,Venues!$A$2:$A$10,0)),"")</f>
        <v/>
      </c>
      <c r="R317" s="15">
        <f>IF(P317&gt;0,"Yes","No")</f>
        <v/>
      </c>
      <c r="S317" s="13" t="inlineStr">
        <is>
          <t>COLA Shoreditch Park</t>
        </is>
      </c>
      <c r="T317" s="42">
        <f>IFERROR(INDEX(Venues!$E$2:$E$10,MATCH(S317,Venues!$A$2:$A$10,0)),"")</f>
        <v/>
      </c>
      <c r="U317" s="15">
        <f>IFERROR(INDEX(Venues!$F$2:$F$10,MATCH(S317,Venues!$A$2:$A$10,0)),"")</f>
        <v/>
      </c>
      <c r="V317" s="43">
        <f>IFERROR(INDEX(Venues!$H$2:$H$10,MATCH(S317,Venues!$A$2:$A$10,0)),"")</f>
        <v/>
      </c>
      <c r="W317" s="15">
        <f>IF('Pilot offer'!$C$24="Yes",'Pilot offer'!$C$3,S317)</f>
        <v/>
      </c>
      <c r="X317" s="42">
        <f>IF('Pilot offer'!$C$24="Yes",'Pilot offer'!$C$5+'Pilot offer'!$C$6,T317)</f>
        <v/>
      </c>
      <c r="Y317" s="15">
        <f>IF('Pilot offer'!$C$24="Yes",'Pilot offer'!$C$8,U317)</f>
        <v/>
      </c>
      <c r="Z317" s="43">
        <f>IF('Pilot offer'!$C$24="Yes",'Pilot offer'!$C$11,"")</f>
        <v/>
      </c>
      <c r="AA317" s="15">
        <f>IF(X317="","",W317&amp;" · "&amp;TEXT(X317,"ddd d mmm, hh:mm")&amp;" · "&amp;Y317&amp;IF(Z317&lt;&gt;""," · £"&amp;TEXT(Z317,"0.00")&amp;" per player"," · price TBC (cost £"&amp;TEXT(V317,"0.00")&amp;" pp)"))</f>
        <v/>
      </c>
      <c r="AD317" s="44" t="n"/>
    </row>
    <row r="318">
      <c r="A318" s="13" t="n">
        <v>316</v>
      </c>
      <c r="B318" s="13" t="inlineStr">
        <is>
          <t>2 · N1 Hoxton</t>
        </is>
      </c>
      <c r="C318" s="13" t="inlineStr">
        <is>
          <t>Coworking / shared office</t>
        </is>
      </c>
      <c r="D318" s="13" t="inlineStr">
        <is>
          <t>Corporate</t>
        </is>
      </c>
      <c r="E318" s="13" t="inlineStr">
        <is>
          <t>Good Space Islington Square</t>
        </is>
      </c>
      <c r="F318" s="13" t="inlineStr">
        <is>
          <t>coworking_space</t>
        </is>
      </c>
      <c r="G318" s="13" t="inlineStr">
        <is>
          <t>holly@good.space</t>
        </is>
      </c>
      <c r="H318" s="13" t="inlineStr">
        <is>
          <t>person_or_other</t>
        </is>
      </c>
      <c r="I318" s="13" t="inlineStr">
        <is>
          <t>+44 20 8064 0142</t>
        </is>
      </c>
      <c r="J318" s="14" t="inlineStr">
        <is>
          <t>https://good.space/locations/islington-square</t>
        </is>
      </c>
      <c r="K318" s="13" t="inlineStr">
        <is>
          <t>116 Upper St, London N1 1QP, UK</t>
        </is>
      </c>
      <c r="L318" s="13" t="inlineStr">
        <is>
          <t>N1 1QP</t>
        </is>
      </c>
      <c r="M318" s="13" t="inlineStr">
        <is>
          <t>Rosemary Gardens 3G - Islington</t>
        </is>
      </c>
      <c r="N318" s="13" t="n">
        <v>16</v>
      </c>
      <c r="O318" s="15">
        <f>IFERROR(INDEX(Venues!$C$2:$C$10,MATCH(M318,Venues!$A$2:$A$10,0)),"Not checked")</f>
        <v/>
      </c>
      <c r="P318" s="15">
        <f>IFERROR(INDEX(Venues!$D$2:$D$10,MATCH(M318,Venues!$A$2:$A$10,0)),0)</f>
        <v/>
      </c>
      <c r="Q318" s="42">
        <f>IFERROR(INDEX(Venues!$E$2:$E$10,MATCH(M318,Venues!$A$2:$A$10,0)),"")</f>
        <v/>
      </c>
      <c r="R318" s="15">
        <f>IF(P318&gt;0,"Yes","No")</f>
        <v/>
      </c>
      <c r="S318" s="13" t="inlineStr">
        <is>
          <t>COLA Shoreditch Park</t>
        </is>
      </c>
      <c r="T318" s="42">
        <f>IFERROR(INDEX(Venues!$E$2:$E$10,MATCH(S318,Venues!$A$2:$A$10,0)),"")</f>
        <v/>
      </c>
      <c r="U318" s="15">
        <f>IFERROR(INDEX(Venues!$F$2:$F$10,MATCH(S318,Venues!$A$2:$A$10,0)),"")</f>
        <v/>
      </c>
      <c r="V318" s="43">
        <f>IFERROR(INDEX(Venues!$H$2:$H$10,MATCH(S318,Venues!$A$2:$A$10,0)),"")</f>
        <v/>
      </c>
      <c r="W318" s="15">
        <f>IF('Pilot offer'!$C$24="Yes",'Pilot offer'!$C$3,S318)</f>
        <v/>
      </c>
      <c r="X318" s="42">
        <f>IF('Pilot offer'!$C$24="Yes",'Pilot offer'!$C$5+'Pilot offer'!$C$6,T318)</f>
        <v/>
      </c>
      <c r="Y318" s="15">
        <f>IF('Pilot offer'!$C$24="Yes",'Pilot offer'!$C$8,U318)</f>
        <v/>
      </c>
      <c r="Z318" s="43">
        <f>IF('Pilot offer'!$C$24="Yes",'Pilot offer'!$C$11,"")</f>
        <v/>
      </c>
      <c r="AA318" s="15">
        <f>IF(X318="","",W318&amp;" · "&amp;TEXT(X318,"ddd d mmm, hh:mm")&amp;" · "&amp;Y318&amp;IF(Z318&lt;&gt;""," · £"&amp;TEXT(Z318,"0.00")&amp;" per player"," · price TBC (cost £"&amp;TEXT(V318,"0.00")&amp;" pp)"))</f>
        <v/>
      </c>
      <c r="AD318" s="44" t="n"/>
    </row>
    <row r="319">
      <c r="A319" s="13" t="n">
        <v>317</v>
      </c>
      <c r="B319" s="13" t="inlineStr">
        <is>
          <t>2 · N1 Hoxton</t>
        </is>
      </c>
      <c r="C319" s="13" t="inlineStr">
        <is>
          <t>Hospitality</t>
        </is>
      </c>
      <c r="D319" s="13" t="inlineStr">
        <is>
          <t>Local businesses</t>
        </is>
      </c>
      <c r="E319" s="13" t="inlineStr">
        <is>
          <t>Re:1996</t>
        </is>
      </c>
      <c r="F319" s="13" t="inlineStr">
        <is>
          <t>amenity: restaurant</t>
        </is>
      </c>
      <c r="G319" s="13" t="inlineStr">
        <is>
          <t>hello@re1996.com</t>
        </is>
      </c>
      <c r="H319" s="13" t="inlineStr">
        <is>
          <t>general</t>
        </is>
      </c>
      <c r="I319" s="13" t="n"/>
      <c r="J319" s="14" t="inlineStr">
        <is>
          <t>https://re1996.com/</t>
        </is>
      </c>
      <c r="K319" s="13" t="inlineStr">
        <is>
          <t>Upper Street 102, London</t>
        </is>
      </c>
      <c r="L319" s="13" t="inlineStr">
        <is>
          <t>N1 1QP</t>
        </is>
      </c>
      <c r="M319" s="13" t="inlineStr">
        <is>
          <t>Rosemary Gardens 3G - Islington</t>
        </is>
      </c>
      <c r="N319" s="13" t="n">
        <v>17</v>
      </c>
      <c r="O319" s="15">
        <f>IFERROR(INDEX(Venues!$C$2:$C$10,MATCH(M319,Venues!$A$2:$A$10,0)),"Not checked")</f>
        <v/>
      </c>
      <c r="P319" s="15">
        <f>IFERROR(INDEX(Venues!$D$2:$D$10,MATCH(M319,Venues!$A$2:$A$10,0)),0)</f>
        <v/>
      </c>
      <c r="Q319" s="42">
        <f>IFERROR(INDEX(Venues!$E$2:$E$10,MATCH(M319,Venues!$A$2:$A$10,0)),"")</f>
        <v/>
      </c>
      <c r="R319" s="15">
        <f>IF(P319&gt;0,"Yes","No")</f>
        <v/>
      </c>
      <c r="S319" s="13" t="inlineStr">
        <is>
          <t>COLA Shoreditch Park</t>
        </is>
      </c>
      <c r="T319" s="42">
        <f>IFERROR(INDEX(Venues!$E$2:$E$10,MATCH(S319,Venues!$A$2:$A$10,0)),"")</f>
        <v/>
      </c>
      <c r="U319" s="15">
        <f>IFERROR(INDEX(Venues!$F$2:$F$10,MATCH(S319,Venues!$A$2:$A$10,0)),"")</f>
        <v/>
      </c>
      <c r="V319" s="43">
        <f>IFERROR(INDEX(Venues!$H$2:$H$10,MATCH(S319,Venues!$A$2:$A$10,0)),"")</f>
        <v/>
      </c>
      <c r="W319" s="15">
        <f>IF('Pilot offer'!$C$24="Yes",'Pilot offer'!$C$3,S319)</f>
        <v/>
      </c>
      <c r="X319" s="42">
        <f>IF('Pilot offer'!$C$24="Yes",'Pilot offer'!$C$5+'Pilot offer'!$C$6,T319)</f>
        <v/>
      </c>
      <c r="Y319" s="15">
        <f>IF('Pilot offer'!$C$24="Yes",'Pilot offer'!$C$8,U319)</f>
        <v/>
      </c>
      <c r="Z319" s="43">
        <f>IF('Pilot offer'!$C$24="Yes",'Pilot offer'!$C$11,"")</f>
        <v/>
      </c>
      <c r="AA319" s="15">
        <f>IF(X319="","",W319&amp;" · "&amp;TEXT(X319,"ddd d mmm, hh:mm")&amp;" · "&amp;Y319&amp;IF(Z319&lt;&gt;""," · £"&amp;TEXT(Z319,"0.00")&amp;" per player"," · price TBC (cost £"&amp;TEXT(V319,"0.00")&amp;" pp)"))</f>
        <v/>
      </c>
      <c r="AD319" s="44" t="n"/>
    </row>
    <row r="320">
      <c r="A320" s="13" t="n">
        <v>318</v>
      </c>
      <c r="B320" s="13" t="inlineStr">
        <is>
          <t>2 · N1 Hoxton</t>
        </is>
      </c>
      <c r="C320" s="13" t="inlineStr">
        <is>
          <t>Retail</t>
        </is>
      </c>
      <c r="D320" s="13" t="inlineStr">
        <is>
          <t>Local businesses</t>
        </is>
      </c>
      <c r="E320" s="13" t="inlineStr">
        <is>
          <t>The Bottle Cocktail Shop</t>
        </is>
      </c>
      <c r="F320" s="13" t="inlineStr">
        <is>
          <t>shop: alcohol</t>
        </is>
      </c>
      <c r="G320" s="13" t="inlineStr">
        <is>
          <t>ciaran@thebottlecocktailshop.com</t>
        </is>
      </c>
      <c r="H320" s="13" t="inlineStr">
        <is>
          <t>person_or_other</t>
        </is>
      </c>
      <c r="I320" s="13" t="n"/>
      <c r="J320" s="14" t="inlineStr">
        <is>
          <t>https://thebottlecocktailshop.com/</t>
        </is>
      </c>
      <c r="K320" s="13" t="inlineStr">
        <is>
          <t>Upper Street 116, London</t>
        </is>
      </c>
      <c r="L320" s="13" t="inlineStr">
        <is>
          <t>N1 1QP</t>
        </is>
      </c>
      <c r="M320" s="13" t="inlineStr">
        <is>
          <t>Rosemary Gardens 3G - Islington</t>
        </is>
      </c>
      <c r="N320" s="13" t="n">
        <v>17</v>
      </c>
      <c r="O320" s="15">
        <f>IFERROR(INDEX(Venues!$C$2:$C$10,MATCH(M320,Venues!$A$2:$A$10,0)),"Not checked")</f>
        <v/>
      </c>
      <c r="P320" s="15">
        <f>IFERROR(INDEX(Venues!$D$2:$D$10,MATCH(M320,Venues!$A$2:$A$10,0)),0)</f>
        <v/>
      </c>
      <c r="Q320" s="42">
        <f>IFERROR(INDEX(Venues!$E$2:$E$10,MATCH(M320,Venues!$A$2:$A$10,0)),"")</f>
        <v/>
      </c>
      <c r="R320" s="15">
        <f>IF(P320&gt;0,"Yes","No")</f>
        <v/>
      </c>
      <c r="S320" s="13" t="inlineStr">
        <is>
          <t>COLA Shoreditch Park</t>
        </is>
      </c>
      <c r="T320" s="42">
        <f>IFERROR(INDEX(Venues!$E$2:$E$10,MATCH(S320,Venues!$A$2:$A$10,0)),"")</f>
        <v/>
      </c>
      <c r="U320" s="15">
        <f>IFERROR(INDEX(Venues!$F$2:$F$10,MATCH(S320,Venues!$A$2:$A$10,0)),"")</f>
        <v/>
      </c>
      <c r="V320" s="43">
        <f>IFERROR(INDEX(Venues!$H$2:$H$10,MATCH(S320,Venues!$A$2:$A$10,0)),"")</f>
        <v/>
      </c>
      <c r="W320" s="15">
        <f>IF('Pilot offer'!$C$24="Yes",'Pilot offer'!$C$3,S320)</f>
        <v/>
      </c>
      <c r="X320" s="42">
        <f>IF('Pilot offer'!$C$24="Yes",'Pilot offer'!$C$5+'Pilot offer'!$C$6,T320)</f>
        <v/>
      </c>
      <c r="Y320" s="15">
        <f>IF('Pilot offer'!$C$24="Yes",'Pilot offer'!$C$8,U320)</f>
        <v/>
      </c>
      <c r="Z320" s="43">
        <f>IF('Pilot offer'!$C$24="Yes",'Pilot offer'!$C$11,"")</f>
        <v/>
      </c>
      <c r="AA320" s="15">
        <f>IF(X320="","",W320&amp;" · "&amp;TEXT(X320,"ddd d mmm, hh:mm")&amp;" · "&amp;Y320&amp;IF(Z320&lt;&gt;""," · £"&amp;TEXT(Z320,"0.00")&amp;" per player"," · price TBC (cost £"&amp;TEXT(V320,"0.00")&amp;" pp)"))</f>
        <v/>
      </c>
      <c r="AD320" s="44" t="n"/>
    </row>
    <row r="321">
      <c r="A321" s="13" t="n">
        <v>319</v>
      </c>
      <c r="B321" s="13" t="inlineStr">
        <is>
          <t>2 · N1 Hoxton</t>
        </is>
      </c>
      <c r="C321" s="13" t="inlineStr">
        <is>
          <t>Hospitality</t>
        </is>
      </c>
      <c r="D321" s="13" t="inlineStr">
        <is>
          <t>Local businesses</t>
        </is>
      </c>
      <c r="E321" s="13" t="inlineStr">
        <is>
          <t>Hoxley &amp; Porter</t>
        </is>
      </c>
      <c r="F321" s="13" t="inlineStr">
        <is>
          <t>amenity: bar</t>
        </is>
      </c>
      <c r="G321" s="13" t="inlineStr">
        <is>
          <t>hoxleyporter@gmail.com</t>
        </is>
      </c>
      <c r="H321" s="13" t="inlineStr">
        <is>
          <t>freemail</t>
        </is>
      </c>
      <c r="I321" s="13" t="inlineStr">
        <is>
          <t>+44 20 7226 1375</t>
        </is>
      </c>
      <c r="J321" s="14" t="inlineStr">
        <is>
          <t>https://hoxleyandporter.com/</t>
        </is>
      </c>
      <c r="K321" s="13" t="inlineStr">
        <is>
          <t>Upper Street 153, London</t>
        </is>
      </c>
      <c r="L321" s="13" t="inlineStr">
        <is>
          <t>N1 1RA</t>
        </is>
      </c>
      <c r="M321" s="13" t="inlineStr">
        <is>
          <t>Rosemary Gardens 3G - Islington</t>
        </is>
      </c>
      <c r="N321" s="13" t="n">
        <v>17</v>
      </c>
      <c r="O321" s="15">
        <f>IFERROR(INDEX(Venues!$C$2:$C$10,MATCH(M321,Venues!$A$2:$A$10,0)),"Not checked")</f>
        <v/>
      </c>
      <c r="P321" s="15">
        <f>IFERROR(INDEX(Venues!$D$2:$D$10,MATCH(M321,Venues!$A$2:$A$10,0)),0)</f>
        <v/>
      </c>
      <c r="Q321" s="42">
        <f>IFERROR(INDEX(Venues!$E$2:$E$10,MATCH(M321,Venues!$A$2:$A$10,0)),"")</f>
        <v/>
      </c>
      <c r="R321" s="15">
        <f>IF(P321&gt;0,"Yes","No")</f>
        <v/>
      </c>
      <c r="S321" s="13" t="inlineStr">
        <is>
          <t>COLA Shoreditch Park</t>
        </is>
      </c>
      <c r="T321" s="42">
        <f>IFERROR(INDEX(Venues!$E$2:$E$10,MATCH(S321,Venues!$A$2:$A$10,0)),"")</f>
        <v/>
      </c>
      <c r="U321" s="15">
        <f>IFERROR(INDEX(Venues!$F$2:$F$10,MATCH(S321,Venues!$A$2:$A$10,0)),"")</f>
        <v/>
      </c>
      <c r="V321" s="43">
        <f>IFERROR(INDEX(Venues!$H$2:$H$10,MATCH(S321,Venues!$A$2:$A$10,0)),"")</f>
        <v/>
      </c>
      <c r="W321" s="15">
        <f>IF('Pilot offer'!$C$24="Yes",'Pilot offer'!$C$3,S321)</f>
        <v/>
      </c>
      <c r="X321" s="42">
        <f>IF('Pilot offer'!$C$24="Yes",'Pilot offer'!$C$5+'Pilot offer'!$C$6,T321)</f>
        <v/>
      </c>
      <c r="Y321" s="15">
        <f>IF('Pilot offer'!$C$24="Yes",'Pilot offer'!$C$8,U321)</f>
        <v/>
      </c>
      <c r="Z321" s="43">
        <f>IF('Pilot offer'!$C$24="Yes",'Pilot offer'!$C$11,"")</f>
        <v/>
      </c>
      <c r="AA321" s="15">
        <f>IF(X321="","",W321&amp;" · "&amp;TEXT(X321,"ddd d mmm, hh:mm")&amp;" · "&amp;Y321&amp;IF(Z321&lt;&gt;""," · £"&amp;TEXT(Z321,"0.00")&amp;" per player"," · price TBC (cost £"&amp;TEXT(V321,"0.00")&amp;" pp)"))</f>
        <v/>
      </c>
      <c r="AD321" s="44" t="n"/>
    </row>
    <row r="322">
      <c r="A322" s="13" t="n">
        <v>320</v>
      </c>
      <c r="B322" s="13" t="inlineStr">
        <is>
          <t>2 · N1 Hoxton</t>
        </is>
      </c>
      <c r="C322" s="13" t="inlineStr">
        <is>
          <t>Hospitality</t>
        </is>
      </c>
      <c r="D322" s="13" t="inlineStr">
        <is>
          <t>Local businesses</t>
        </is>
      </c>
      <c r="E322" s="13" t="inlineStr">
        <is>
          <t>Workers Cafe</t>
        </is>
      </c>
      <c r="F322" s="13" t="inlineStr">
        <is>
          <t>amenity: fast food</t>
        </is>
      </c>
      <c r="G322" s="13" t="inlineStr">
        <is>
          <t>support@cryptomafia.co</t>
        </is>
      </c>
      <c r="H322" s="13" t="inlineStr">
        <is>
          <t>commercial</t>
        </is>
      </c>
      <c r="I322" s="13" t="inlineStr">
        <is>
          <t>+44 20 7226 3973</t>
        </is>
      </c>
      <c r="J322" s="14" t="inlineStr">
        <is>
          <t>http://www.workersislington.co.uk/</t>
        </is>
      </c>
      <c r="K322" s="13" t="inlineStr">
        <is>
          <t>Upper Street 172, London</t>
        </is>
      </c>
      <c r="L322" s="13" t="inlineStr">
        <is>
          <t>N1 1RG</t>
        </is>
      </c>
      <c r="M322" s="13" t="inlineStr">
        <is>
          <t>Rosemary Gardens 3G - Islington</t>
        </is>
      </c>
      <c r="N322" s="13" t="n">
        <v>17</v>
      </c>
      <c r="O322" s="15">
        <f>IFERROR(INDEX(Venues!$C$2:$C$10,MATCH(M322,Venues!$A$2:$A$10,0)),"Not checked")</f>
        <v/>
      </c>
      <c r="P322" s="15">
        <f>IFERROR(INDEX(Venues!$D$2:$D$10,MATCH(M322,Venues!$A$2:$A$10,0)),0)</f>
        <v/>
      </c>
      <c r="Q322" s="42">
        <f>IFERROR(INDEX(Venues!$E$2:$E$10,MATCH(M322,Venues!$A$2:$A$10,0)),"")</f>
        <v/>
      </c>
      <c r="R322" s="15">
        <f>IF(P322&gt;0,"Yes","No")</f>
        <v/>
      </c>
      <c r="S322" s="13" t="inlineStr">
        <is>
          <t>COLA Shoreditch Park</t>
        </is>
      </c>
      <c r="T322" s="42">
        <f>IFERROR(INDEX(Venues!$E$2:$E$10,MATCH(S322,Venues!$A$2:$A$10,0)),"")</f>
        <v/>
      </c>
      <c r="U322" s="15">
        <f>IFERROR(INDEX(Venues!$F$2:$F$10,MATCH(S322,Venues!$A$2:$A$10,0)),"")</f>
        <v/>
      </c>
      <c r="V322" s="43">
        <f>IFERROR(INDEX(Venues!$H$2:$H$10,MATCH(S322,Venues!$A$2:$A$10,0)),"")</f>
        <v/>
      </c>
      <c r="W322" s="15">
        <f>IF('Pilot offer'!$C$24="Yes",'Pilot offer'!$C$3,S322)</f>
        <v/>
      </c>
      <c r="X322" s="42">
        <f>IF('Pilot offer'!$C$24="Yes",'Pilot offer'!$C$5+'Pilot offer'!$C$6,T322)</f>
        <v/>
      </c>
      <c r="Y322" s="15">
        <f>IF('Pilot offer'!$C$24="Yes",'Pilot offer'!$C$8,U322)</f>
        <v/>
      </c>
      <c r="Z322" s="43">
        <f>IF('Pilot offer'!$C$24="Yes",'Pilot offer'!$C$11,"")</f>
        <v/>
      </c>
      <c r="AA322" s="15">
        <f>IF(X322="","",W322&amp;" · "&amp;TEXT(X322,"ddd d mmm, hh:mm")&amp;" · "&amp;Y322&amp;IF(Z322&lt;&gt;""," · £"&amp;TEXT(Z322,"0.00")&amp;" per player"," · price TBC (cost £"&amp;TEXT(V322,"0.00")&amp;" pp)"))</f>
        <v/>
      </c>
      <c r="AD322" s="44" t="n"/>
    </row>
    <row r="323">
      <c r="A323" s="13" t="n">
        <v>321</v>
      </c>
      <c r="B323" s="13" t="inlineStr">
        <is>
          <t>2 · N1 Hoxton</t>
        </is>
      </c>
      <c r="C323" s="13" t="inlineStr">
        <is>
          <t>Hospitality</t>
        </is>
      </c>
      <c r="D323" s="13" t="inlineStr">
        <is>
          <t>Local businesses</t>
        </is>
      </c>
      <c r="E323" s="13" t="inlineStr">
        <is>
          <t>Santa Maria</t>
        </is>
      </c>
      <c r="F323" s="13" t="inlineStr">
        <is>
          <t>amenity: restaurant</t>
        </is>
      </c>
      <c r="G323" s="13" t="inlineStr">
        <is>
          <t>info@santamariapizzeria.com</t>
        </is>
      </c>
      <c r="H323" s="13" t="inlineStr">
        <is>
          <t>general</t>
        </is>
      </c>
      <c r="I323" s="13" t="n"/>
      <c r="J323" s="14" t="inlineStr">
        <is>
          <t>https://www.santamariapizzeria.com/</t>
        </is>
      </c>
      <c r="K323" s="13" t="inlineStr">
        <is>
          <t>Upper Street 189, London</t>
        </is>
      </c>
      <c r="L323" s="13" t="inlineStr">
        <is>
          <t>N1 1RQ</t>
        </is>
      </c>
      <c r="M323" s="13" t="inlineStr">
        <is>
          <t>Rosemary Gardens 3G - Islington</t>
        </is>
      </c>
      <c r="N323" s="13" t="n">
        <v>18</v>
      </c>
      <c r="O323" s="15">
        <f>IFERROR(INDEX(Venues!$C$2:$C$10,MATCH(M323,Venues!$A$2:$A$10,0)),"Not checked")</f>
        <v/>
      </c>
      <c r="P323" s="15">
        <f>IFERROR(INDEX(Venues!$D$2:$D$10,MATCH(M323,Venues!$A$2:$A$10,0)),0)</f>
        <v/>
      </c>
      <c r="Q323" s="42">
        <f>IFERROR(INDEX(Venues!$E$2:$E$10,MATCH(M323,Venues!$A$2:$A$10,0)),"")</f>
        <v/>
      </c>
      <c r="R323" s="15">
        <f>IF(P323&gt;0,"Yes","No")</f>
        <v/>
      </c>
      <c r="S323" s="13" t="inlineStr">
        <is>
          <t>COLA Shoreditch Park</t>
        </is>
      </c>
      <c r="T323" s="42">
        <f>IFERROR(INDEX(Venues!$E$2:$E$10,MATCH(S323,Venues!$A$2:$A$10,0)),"")</f>
        <v/>
      </c>
      <c r="U323" s="15">
        <f>IFERROR(INDEX(Venues!$F$2:$F$10,MATCH(S323,Venues!$A$2:$A$10,0)),"")</f>
        <v/>
      </c>
      <c r="V323" s="43">
        <f>IFERROR(INDEX(Venues!$H$2:$H$10,MATCH(S323,Venues!$A$2:$A$10,0)),"")</f>
        <v/>
      </c>
      <c r="W323" s="15">
        <f>IF('Pilot offer'!$C$24="Yes",'Pilot offer'!$C$3,S323)</f>
        <v/>
      </c>
      <c r="X323" s="42">
        <f>IF('Pilot offer'!$C$24="Yes",'Pilot offer'!$C$5+'Pilot offer'!$C$6,T323)</f>
        <v/>
      </c>
      <c r="Y323" s="15">
        <f>IF('Pilot offer'!$C$24="Yes",'Pilot offer'!$C$8,U323)</f>
        <v/>
      </c>
      <c r="Z323" s="43">
        <f>IF('Pilot offer'!$C$24="Yes",'Pilot offer'!$C$11,"")</f>
        <v/>
      </c>
      <c r="AA323" s="15">
        <f>IF(X323="","",W323&amp;" · "&amp;TEXT(X323,"ddd d mmm, hh:mm")&amp;" · "&amp;Y323&amp;IF(Z323&lt;&gt;""," · £"&amp;TEXT(Z323,"0.00")&amp;" per player"," · price TBC (cost £"&amp;TEXT(V323,"0.00")&amp;" pp)"))</f>
        <v/>
      </c>
      <c r="AD323" s="44" t="n"/>
    </row>
    <row r="324">
      <c r="A324" s="13" t="n">
        <v>322</v>
      </c>
      <c r="B324" s="13" t="inlineStr">
        <is>
          <t>2 · N1 Hoxton</t>
        </is>
      </c>
      <c r="C324" s="13" t="inlineStr">
        <is>
          <t>Other</t>
        </is>
      </c>
      <c r="D324" s="13" t="inlineStr">
        <is>
          <t>Local businesses</t>
        </is>
      </c>
      <c r="E324" s="13" t="inlineStr">
        <is>
          <t>Udderlicious</t>
        </is>
      </c>
      <c r="F324" s="13" t="inlineStr">
        <is>
          <t>amenity: ice cream</t>
        </is>
      </c>
      <c r="G324" s="13" t="inlineStr">
        <is>
          <t>raj@udderlicious.co.uk</t>
        </is>
      </c>
      <c r="H324" s="13" t="inlineStr">
        <is>
          <t>openstreetmap_tag</t>
        </is>
      </c>
      <c r="I324" s="13" t="inlineStr">
        <is>
          <t>+44 20 7359 7777</t>
        </is>
      </c>
      <c r="J324" s="14" t="inlineStr">
        <is>
          <t>https://www.udderlicious.co.uk/</t>
        </is>
      </c>
      <c r="K324" s="13" t="inlineStr">
        <is>
          <t>Upper Street 187, London</t>
        </is>
      </c>
      <c r="L324" s="13" t="inlineStr">
        <is>
          <t>N1 1RQ</t>
        </is>
      </c>
      <c r="M324" s="13" t="inlineStr">
        <is>
          <t>Rosemary Gardens 3G - Islington</t>
        </is>
      </c>
      <c r="N324" s="13" t="n">
        <v>18</v>
      </c>
      <c r="O324" s="15">
        <f>IFERROR(INDEX(Venues!$C$2:$C$10,MATCH(M324,Venues!$A$2:$A$10,0)),"Not checked")</f>
        <v/>
      </c>
      <c r="P324" s="15">
        <f>IFERROR(INDEX(Venues!$D$2:$D$10,MATCH(M324,Venues!$A$2:$A$10,0)),0)</f>
        <v/>
      </c>
      <c r="Q324" s="42">
        <f>IFERROR(INDEX(Venues!$E$2:$E$10,MATCH(M324,Venues!$A$2:$A$10,0)),"")</f>
        <v/>
      </c>
      <c r="R324" s="15">
        <f>IF(P324&gt;0,"Yes","No")</f>
        <v/>
      </c>
      <c r="S324" s="13" t="inlineStr">
        <is>
          <t>COLA Shoreditch Park</t>
        </is>
      </c>
      <c r="T324" s="42">
        <f>IFERROR(INDEX(Venues!$E$2:$E$10,MATCH(S324,Venues!$A$2:$A$10,0)),"")</f>
        <v/>
      </c>
      <c r="U324" s="15">
        <f>IFERROR(INDEX(Venues!$F$2:$F$10,MATCH(S324,Venues!$A$2:$A$10,0)),"")</f>
        <v/>
      </c>
      <c r="V324" s="43">
        <f>IFERROR(INDEX(Venues!$H$2:$H$10,MATCH(S324,Venues!$A$2:$A$10,0)),"")</f>
        <v/>
      </c>
      <c r="W324" s="15">
        <f>IF('Pilot offer'!$C$24="Yes",'Pilot offer'!$C$3,S324)</f>
        <v/>
      </c>
      <c r="X324" s="42">
        <f>IF('Pilot offer'!$C$24="Yes",'Pilot offer'!$C$5+'Pilot offer'!$C$6,T324)</f>
        <v/>
      </c>
      <c r="Y324" s="15">
        <f>IF('Pilot offer'!$C$24="Yes",'Pilot offer'!$C$8,U324)</f>
        <v/>
      </c>
      <c r="Z324" s="43">
        <f>IF('Pilot offer'!$C$24="Yes",'Pilot offer'!$C$11,"")</f>
        <v/>
      </c>
      <c r="AA324" s="15">
        <f>IF(X324="","",W324&amp;" · "&amp;TEXT(X324,"ddd d mmm, hh:mm")&amp;" · "&amp;Y324&amp;IF(Z324&lt;&gt;""," · £"&amp;TEXT(Z324,"0.00")&amp;" per player"," · price TBC (cost £"&amp;TEXT(V324,"0.00")&amp;" pp)"))</f>
        <v/>
      </c>
      <c r="AD324" s="44" t="n"/>
    </row>
    <row r="325">
      <c r="A325" s="13" t="n">
        <v>323</v>
      </c>
      <c r="B325" s="13" t="inlineStr">
        <is>
          <t>2 · N1 Hoxton</t>
        </is>
      </c>
      <c r="C325" s="13" t="inlineStr">
        <is>
          <t>Office &amp; professional</t>
        </is>
      </c>
      <c r="D325" s="13" t="inlineStr">
        <is>
          <t>Corporate</t>
        </is>
      </c>
      <c r="E325" s="13" t="inlineStr">
        <is>
          <t>Nucco</t>
        </is>
      </c>
      <c r="F325" s="13" t="inlineStr">
        <is>
          <t>service</t>
        </is>
      </c>
      <c r="G325" s="13" t="inlineStr">
        <is>
          <t>contact@nucco.co.uk</t>
        </is>
      </c>
      <c r="H325" s="13" t="inlineStr">
        <is>
          <t>general</t>
        </is>
      </c>
      <c r="I325" s="13" t="inlineStr">
        <is>
          <t>+44 20 7613 3330</t>
        </is>
      </c>
      <c r="J325" s="14" t="inlineStr">
        <is>
          <t>https://www.nucco.co.uk/</t>
        </is>
      </c>
      <c r="K325" s="13" t="inlineStr">
        <is>
          <t>12 Swan Yard, London N1 1SD, UK</t>
        </is>
      </c>
      <c r="L325" s="13" t="inlineStr">
        <is>
          <t>N1 1SD</t>
        </is>
      </c>
      <c r="M325" s="13" t="inlineStr">
        <is>
          <t>Rosemary Gardens 3G - Islington</t>
        </is>
      </c>
      <c r="N325" s="13" t="n">
        <v>21</v>
      </c>
      <c r="O325" s="15">
        <f>IFERROR(INDEX(Venues!$C$2:$C$10,MATCH(M325,Venues!$A$2:$A$10,0)),"Not checked")</f>
        <v/>
      </c>
      <c r="P325" s="15">
        <f>IFERROR(INDEX(Venues!$D$2:$D$10,MATCH(M325,Venues!$A$2:$A$10,0)),0)</f>
        <v/>
      </c>
      <c r="Q325" s="42">
        <f>IFERROR(INDEX(Venues!$E$2:$E$10,MATCH(M325,Venues!$A$2:$A$10,0)),"")</f>
        <v/>
      </c>
      <c r="R325" s="15">
        <f>IF(P325&gt;0,"Yes","No")</f>
        <v/>
      </c>
      <c r="S325" s="13" t="inlineStr">
        <is>
          <t>COLA Shoreditch Park</t>
        </is>
      </c>
      <c r="T325" s="42">
        <f>IFERROR(INDEX(Venues!$E$2:$E$10,MATCH(S325,Venues!$A$2:$A$10,0)),"")</f>
        <v/>
      </c>
      <c r="U325" s="15">
        <f>IFERROR(INDEX(Venues!$F$2:$F$10,MATCH(S325,Venues!$A$2:$A$10,0)),"")</f>
        <v/>
      </c>
      <c r="V325" s="43">
        <f>IFERROR(INDEX(Venues!$H$2:$H$10,MATCH(S325,Venues!$A$2:$A$10,0)),"")</f>
        <v/>
      </c>
      <c r="W325" s="15">
        <f>IF('Pilot offer'!$C$24="Yes",'Pilot offer'!$C$3,S325)</f>
        <v/>
      </c>
      <c r="X325" s="42">
        <f>IF('Pilot offer'!$C$24="Yes",'Pilot offer'!$C$5+'Pilot offer'!$C$6,T325)</f>
        <v/>
      </c>
      <c r="Y325" s="15">
        <f>IF('Pilot offer'!$C$24="Yes",'Pilot offer'!$C$8,U325)</f>
        <v/>
      </c>
      <c r="Z325" s="43">
        <f>IF('Pilot offer'!$C$24="Yes",'Pilot offer'!$C$11,"")</f>
        <v/>
      </c>
      <c r="AA325" s="15">
        <f>IF(X325="","",W325&amp;" · "&amp;TEXT(X325,"ddd d mmm, hh:mm")&amp;" · "&amp;Y325&amp;IF(Z325&lt;&gt;""," · £"&amp;TEXT(Z325,"0.00")&amp;" per player"," · price TBC (cost £"&amp;TEXT(V325,"0.00")&amp;" pp)"))</f>
        <v/>
      </c>
      <c r="AD325" s="44" t="n"/>
    </row>
    <row r="326">
      <c r="A326" s="13" t="n">
        <v>324</v>
      </c>
      <c r="B326" s="13" t="inlineStr">
        <is>
          <t>2 · N1 Hoxton</t>
        </is>
      </c>
      <c r="C326" s="13" t="inlineStr">
        <is>
          <t>Leisure &amp; culture</t>
        </is>
      </c>
      <c r="D326" s="13" t="inlineStr">
        <is>
          <t>Local businesses</t>
        </is>
      </c>
      <c r="E326" s="13" t="inlineStr">
        <is>
          <t>Estorick Collection</t>
        </is>
      </c>
      <c r="F326" s="13" t="inlineStr">
        <is>
          <t>tourism: gallery</t>
        </is>
      </c>
      <c r="G326" s="13" t="inlineStr">
        <is>
          <t>roberta.cremoncini@estorickcollection.com</t>
        </is>
      </c>
      <c r="H326" s="13" t="inlineStr">
        <is>
          <t>person_or_other</t>
        </is>
      </c>
      <c r="I326" s="13" t="inlineStr">
        <is>
          <t>+44 20 7704 9522</t>
        </is>
      </c>
      <c r="J326" s="14" t="inlineStr">
        <is>
          <t>https://www.estorickcollection.com/</t>
        </is>
      </c>
      <c r="K326" s="13" t="inlineStr">
        <is>
          <t>Canonbury Square 39a, London</t>
        </is>
      </c>
      <c r="L326" s="13" t="inlineStr">
        <is>
          <t>N1 2AN</t>
        </is>
      </c>
      <c r="M326" s="13" t="inlineStr">
        <is>
          <t>Rosemary Gardens 3G - Islington</t>
        </is>
      </c>
      <c r="N326" s="13" t="n">
        <v>17</v>
      </c>
      <c r="O326" s="15">
        <f>IFERROR(INDEX(Venues!$C$2:$C$10,MATCH(M326,Venues!$A$2:$A$10,0)),"Not checked")</f>
        <v/>
      </c>
      <c r="P326" s="15">
        <f>IFERROR(INDEX(Venues!$D$2:$D$10,MATCH(M326,Venues!$A$2:$A$10,0)),0)</f>
        <v/>
      </c>
      <c r="Q326" s="42">
        <f>IFERROR(INDEX(Venues!$E$2:$E$10,MATCH(M326,Venues!$A$2:$A$10,0)),"")</f>
        <v/>
      </c>
      <c r="R326" s="15">
        <f>IF(P326&gt;0,"Yes","No")</f>
        <v/>
      </c>
      <c r="S326" s="13" t="inlineStr">
        <is>
          <t>COLA Shoreditch Park</t>
        </is>
      </c>
      <c r="T326" s="42">
        <f>IFERROR(INDEX(Venues!$E$2:$E$10,MATCH(S326,Venues!$A$2:$A$10,0)),"")</f>
        <v/>
      </c>
      <c r="U326" s="15">
        <f>IFERROR(INDEX(Venues!$F$2:$F$10,MATCH(S326,Venues!$A$2:$A$10,0)),"")</f>
        <v/>
      </c>
      <c r="V326" s="43">
        <f>IFERROR(INDEX(Venues!$H$2:$H$10,MATCH(S326,Venues!$A$2:$A$10,0)),"")</f>
        <v/>
      </c>
      <c r="W326" s="15">
        <f>IF('Pilot offer'!$C$24="Yes",'Pilot offer'!$C$3,S326)</f>
        <v/>
      </c>
      <c r="X326" s="42">
        <f>IF('Pilot offer'!$C$24="Yes",'Pilot offer'!$C$5+'Pilot offer'!$C$6,T326)</f>
        <v/>
      </c>
      <c r="Y326" s="15">
        <f>IF('Pilot offer'!$C$24="Yes",'Pilot offer'!$C$8,U326)</f>
        <v/>
      </c>
      <c r="Z326" s="43">
        <f>IF('Pilot offer'!$C$24="Yes",'Pilot offer'!$C$11,"")</f>
        <v/>
      </c>
      <c r="AA326" s="15">
        <f>IF(X326="","",W326&amp;" · "&amp;TEXT(X326,"ddd d mmm, hh:mm")&amp;" · "&amp;Y326&amp;IF(Z326&lt;&gt;""," · £"&amp;TEXT(Z326,"0.00")&amp;" per player"," · price TBC (cost £"&amp;TEXT(V326,"0.00")&amp;" pp)"))</f>
        <v/>
      </c>
      <c r="AD326" s="44" t="n"/>
    </row>
    <row r="327">
      <c r="A327" s="13" t="n">
        <v>325</v>
      </c>
      <c r="B327" s="13" t="inlineStr">
        <is>
          <t>2 · N1 Hoxton</t>
        </is>
      </c>
      <c r="C327" s="13" t="inlineStr">
        <is>
          <t>Retail</t>
        </is>
      </c>
      <c r="D327" s="13" t="inlineStr">
        <is>
          <t>Local businesses</t>
        </is>
      </c>
      <c r="E327" s="13" t="inlineStr">
        <is>
          <t>Le Labo</t>
        </is>
      </c>
      <c r="F327" s="13" t="inlineStr">
        <is>
          <t>shop: perfumery</t>
        </is>
      </c>
      <c r="G327" s="13" t="inlineStr">
        <is>
          <t>concierge@lelabofragrances.com</t>
        </is>
      </c>
      <c r="H327" s="13" t="inlineStr">
        <is>
          <t>person_or_other</t>
        </is>
      </c>
      <c r="I327" s="13" t="inlineStr">
        <is>
          <t>+44 20 7998 3320</t>
        </is>
      </c>
      <c r="J327" s="14" t="inlineStr">
        <is>
          <t>https://www.lelabofragrances.com</t>
        </is>
      </c>
      <c r="K327" s="13" t="inlineStr">
        <is>
          <t>Cross Street 54, London</t>
        </is>
      </c>
      <c r="L327" s="13" t="inlineStr">
        <is>
          <t>N1 2BA</t>
        </is>
      </c>
      <c r="M327" s="13" t="inlineStr">
        <is>
          <t>Rosemary Gardens 3G - Islington</t>
        </is>
      </c>
      <c r="N327" s="13" t="n">
        <v>15</v>
      </c>
      <c r="O327" s="15">
        <f>IFERROR(INDEX(Venues!$C$2:$C$10,MATCH(M327,Venues!$A$2:$A$10,0)),"Not checked")</f>
        <v/>
      </c>
      <c r="P327" s="15">
        <f>IFERROR(INDEX(Venues!$D$2:$D$10,MATCH(M327,Venues!$A$2:$A$10,0)),0)</f>
        <v/>
      </c>
      <c r="Q327" s="42">
        <f>IFERROR(INDEX(Venues!$E$2:$E$10,MATCH(M327,Venues!$A$2:$A$10,0)),"")</f>
        <v/>
      </c>
      <c r="R327" s="15">
        <f>IF(P327&gt;0,"Yes","No")</f>
        <v/>
      </c>
      <c r="S327" s="13" t="inlineStr">
        <is>
          <t>COLA Shoreditch Park</t>
        </is>
      </c>
      <c r="T327" s="42">
        <f>IFERROR(INDEX(Venues!$E$2:$E$10,MATCH(S327,Venues!$A$2:$A$10,0)),"")</f>
        <v/>
      </c>
      <c r="U327" s="15">
        <f>IFERROR(INDEX(Venues!$F$2:$F$10,MATCH(S327,Venues!$A$2:$A$10,0)),"")</f>
        <v/>
      </c>
      <c r="V327" s="43">
        <f>IFERROR(INDEX(Venues!$H$2:$H$10,MATCH(S327,Venues!$A$2:$A$10,0)),"")</f>
        <v/>
      </c>
      <c r="W327" s="15">
        <f>IF('Pilot offer'!$C$24="Yes",'Pilot offer'!$C$3,S327)</f>
        <v/>
      </c>
      <c r="X327" s="42">
        <f>IF('Pilot offer'!$C$24="Yes",'Pilot offer'!$C$5+'Pilot offer'!$C$6,T327)</f>
        <v/>
      </c>
      <c r="Y327" s="15">
        <f>IF('Pilot offer'!$C$24="Yes",'Pilot offer'!$C$8,U327)</f>
        <v/>
      </c>
      <c r="Z327" s="43">
        <f>IF('Pilot offer'!$C$24="Yes",'Pilot offer'!$C$11,"")</f>
        <v/>
      </c>
      <c r="AA327" s="15">
        <f>IF(X327="","",W327&amp;" · "&amp;TEXT(X327,"ddd d mmm, hh:mm")&amp;" · "&amp;Y327&amp;IF(Z327&lt;&gt;""," · £"&amp;TEXT(Z327,"0.00")&amp;" per player"," · price TBC (cost £"&amp;TEXT(V327,"0.00")&amp;" pp)"))</f>
        <v/>
      </c>
      <c r="AD327" s="44" t="n"/>
    </row>
    <row r="328">
      <c r="A328" s="13" t="n">
        <v>326</v>
      </c>
      <c r="B328" s="13" t="inlineStr">
        <is>
          <t>2 · N1 Hoxton</t>
        </is>
      </c>
      <c r="C328" s="13" t="inlineStr">
        <is>
          <t>Retail</t>
        </is>
      </c>
      <c r="D328" s="13" t="inlineStr">
        <is>
          <t>Local businesses</t>
        </is>
      </c>
      <c r="E328" s="13" t="inlineStr">
        <is>
          <t>Tribe</t>
        </is>
      </c>
      <c r="F328" s="13" t="inlineStr">
        <is>
          <t>shop: clothes</t>
        </is>
      </c>
      <c r="G328" s="13" t="inlineStr">
        <is>
          <t>info@tribe-london.com</t>
        </is>
      </c>
      <c r="H328" s="13" t="inlineStr">
        <is>
          <t>general</t>
        </is>
      </c>
      <c r="I328" s="13" t="inlineStr">
        <is>
          <t>+44 20 7226 5544</t>
        </is>
      </c>
      <c r="J328" s="14" t="inlineStr">
        <is>
          <t>https://www.tribe-london.com/</t>
        </is>
      </c>
      <c r="K328" s="13" t="inlineStr">
        <is>
          <t>Cross Street 52, London</t>
        </is>
      </c>
      <c r="L328" s="13" t="inlineStr">
        <is>
          <t>N1 2BA</t>
        </is>
      </c>
      <c r="M328" s="13" t="inlineStr">
        <is>
          <t>Rosemary Gardens 3G - Islington</t>
        </is>
      </c>
      <c r="N328" s="13" t="n">
        <v>15</v>
      </c>
      <c r="O328" s="15">
        <f>IFERROR(INDEX(Venues!$C$2:$C$10,MATCH(M328,Venues!$A$2:$A$10,0)),"Not checked")</f>
        <v/>
      </c>
      <c r="P328" s="15">
        <f>IFERROR(INDEX(Venues!$D$2:$D$10,MATCH(M328,Venues!$A$2:$A$10,0)),0)</f>
        <v/>
      </c>
      <c r="Q328" s="42">
        <f>IFERROR(INDEX(Venues!$E$2:$E$10,MATCH(M328,Venues!$A$2:$A$10,0)),"")</f>
        <v/>
      </c>
      <c r="R328" s="15">
        <f>IF(P328&gt;0,"Yes","No")</f>
        <v/>
      </c>
      <c r="S328" s="13" t="inlineStr">
        <is>
          <t>COLA Shoreditch Park</t>
        </is>
      </c>
      <c r="T328" s="42">
        <f>IFERROR(INDEX(Venues!$E$2:$E$10,MATCH(S328,Venues!$A$2:$A$10,0)),"")</f>
        <v/>
      </c>
      <c r="U328" s="15">
        <f>IFERROR(INDEX(Venues!$F$2:$F$10,MATCH(S328,Venues!$A$2:$A$10,0)),"")</f>
        <v/>
      </c>
      <c r="V328" s="43">
        <f>IFERROR(INDEX(Venues!$H$2:$H$10,MATCH(S328,Venues!$A$2:$A$10,0)),"")</f>
        <v/>
      </c>
      <c r="W328" s="15">
        <f>IF('Pilot offer'!$C$24="Yes",'Pilot offer'!$C$3,S328)</f>
        <v/>
      </c>
      <c r="X328" s="42">
        <f>IF('Pilot offer'!$C$24="Yes",'Pilot offer'!$C$5+'Pilot offer'!$C$6,T328)</f>
        <v/>
      </c>
      <c r="Y328" s="15">
        <f>IF('Pilot offer'!$C$24="Yes",'Pilot offer'!$C$8,U328)</f>
        <v/>
      </c>
      <c r="Z328" s="43">
        <f>IF('Pilot offer'!$C$24="Yes",'Pilot offer'!$C$11,"")</f>
        <v/>
      </c>
      <c r="AA328" s="15">
        <f>IF(X328="","",W328&amp;" · "&amp;TEXT(X328,"ddd d mmm, hh:mm")&amp;" · "&amp;Y328&amp;IF(Z328&lt;&gt;""," · £"&amp;TEXT(Z328,"0.00")&amp;" per player"," · price TBC (cost £"&amp;TEXT(V328,"0.00")&amp;" pp)"))</f>
        <v/>
      </c>
      <c r="AD328" s="44" t="n"/>
    </row>
    <row r="329">
      <c r="A329" s="13" t="n">
        <v>327</v>
      </c>
      <c r="B329" s="13" t="inlineStr">
        <is>
          <t>2 · N1 Hoxton</t>
        </is>
      </c>
      <c r="C329" s="13" t="inlineStr">
        <is>
          <t>Hospitality</t>
        </is>
      </c>
      <c r="D329" s="13" t="inlineStr">
        <is>
          <t>Local businesses</t>
        </is>
      </c>
      <c r="E329" s="13" t="inlineStr">
        <is>
          <t>Smokehouse</t>
        </is>
      </c>
      <c r="F329" s="13" t="inlineStr">
        <is>
          <t>amenity: restaurant</t>
        </is>
      </c>
      <c r="G329" s="13" t="inlineStr">
        <is>
          <t>info@smokehouseislington.co.uk</t>
        </is>
      </c>
      <c r="H329" s="13" t="inlineStr">
        <is>
          <t>openstreetmap_tag</t>
        </is>
      </c>
      <c r="I329" s="13" t="inlineStr">
        <is>
          <t>+44 20 7354 1144</t>
        </is>
      </c>
      <c r="J329" s="14" t="inlineStr">
        <is>
          <t>https://smokehouseislington.co.uk/</t>
        </is>
      </c>
      <c r="K329" s="13" t="inlineStr">
        <is>
          <t>Canonbury Road 63-69, London</t>
        </is>
      </c>
      <c r="L329" s="13" t="inlineStr">
        <is>
          <t>N1 2DG</t>
        </is>
      </c>
      <c r="M329" s="13" t="inlineStr">
        <is>
          <t>Rosemary Gardens 3G - Islington</t>
        </is>
      </c>
      <c r="N329" s="13" t="n">
        <v>15</v>
      </c>
      <c r="O329" s="15">
        <f>IFERROR(INDEX(Venues!$C$2:$C$10,MATCH(M329,Venues!$A$2:$A$10,0)),"Not checked")</f>
        <v/>
      </c>
      <c r="P329" s="15">
        <f>IFERROR(INDEX(Venues!$D$2:$D$10,MATCH(M329,Venues!$A$2:$A$10,0)),0)</f>
        <v/>
      </c>
      <c r="Q329" s="42">
        <f>IFERROR(INDEX(Venues!$E$2:$E$10,MATCH(M329,Venues!$A$2:$A$10,0)),"")</f>
        <v/>
      </c>
      <c r="R329" s="15">
        <f>IF(P329&gt;0,"Yes","No")</f>
        <v/>
      </c>
      <c r="S329" s="13" t="inlineStr">
        <is>
          <t>COLA Shoreditch Park</t>
        </is>
      </c>
      <c r="T329" s="42">
        <f>IFERROR(INDEX(Venues!$E$2:$E$10,MATCH(S329,Venues!$A$2:$A$10,0)),"")</f>
        <v/>
      </c>
      <c r="U329" s="15">
        <f>IFERROR(INDEX(Venues!$F$2:$F$10,MATCH(S329,Venues!$A$2:$A$10,0)),"")</f>
        <v/>
      </c>
      <c r="V329" s="43">
        <f>IFERROR(INDEX(Venues!$H$2:$H$10,MATCH(S329,Venues!$A$2:$A$10,0)),"")</f>
        <v/>
      </c>
      <c r="W329" s="15">
        <f>IF('Pilot offer'!$C$24="Yes",'Pilot offer'!$C$3,S329)</f>
        <v/>
      </c>
      <c r="X329" s="42">
        <f>IF('Pilot offer'!$C$24="Yes",'Pilot offer'!$C$5+'Pilot offer'!$C$6,T329)</f>
        <v/>
      </c>
      <c r="Y329" s="15">
        <f>IF('Pilot offer'!$C$24="Yes",'Pilot offer'!$C$8,U329)</f>
        <v/>
      </c>
      <c r="Z329" s="43">
        <f>IF('Pilot offer'!$C$24="Yes",'Pilot offer'!$C$11,"")</f>
        <v/>
      </c>
      <c r="AA329" s="15">
        <f>IF(X329="","",W329&amp;" · "&amp;TEXT(X329,"ddd d mmm, hh:mm")&amp;" · "&amp;Y329&amp;IF(Z329&lt;&gt;""," · £"&amp;TEXT(Z329,"0.00")&amp;" per player"," · price TBC (cost £"&amp;TEXT(V329,"0.00")&amp;" pp)"))</f>
        <v/>
      </c>
      <c r="AD329" s="44" t="n"/>
    </row>
    <row r="330">
      <c r="A330" s="13" t="n">
        <v>328</v>
      </c>
      <c r="B330" s="13" t="inlineStr">
        <is>
          <t>2 · N1 Hoxton</t>
        </is>
      </c>
      <c r="C330" s="13" t="inlineStr">
        <is>
          <t>Leisure &amp; culture</t>
        </is>
      </c>
      <c r="D330" s="13" t="inlineStr">
        <is>
          <t>Local businesses</t>
        </is>
      </c>
      <c r="E330" s="13" t="inlineStr">
        <is>
          <t>Little Angel Theatre</t>
        </is>
      </c>
      <c r="F330" s="13" t="inlineStr">
        <is>
          <t>amenity: theatre</t>
        </is>
      </c>
      <c r="G330" s="13" t="inlineStr">
        <is>
          <t>info@littleangeltheatre.com</t>
        </is>
      </c>
      <c r="H330" s="13" t="inlineStr">
        <is>
          <t>openstreetmap_tag</t>
        </is>
      </c>
      <c r="I330" s="13" t="inlineStr">
        <is>
          <t>+44 20 7226 1787</t>
        </is>
      </c>
      <c r="J330" s="14" t="inlineStr">
        <is>
          <t>https://www.littleangeltheatre.com</t>
        </is>
      </c>
      <c r="K330" s="13" t="inlineStr">
        <is>
          <t>Dagmar Passage 13, London</t>
        </is>
      </c>
      <c r="L330" s="13" t="inlineStr">
        <is>
          <t>N1 2DN</t>
        </is>
      </c>
      <c r="M330" s="13" t="inlineStr">
        <is>
          <t>Rosemary Gardens 3G - Islington</t>
        </is>
      </c>
      <c r="N330" s="13" t="n">
        <v>15</v>
      </c>
      <c r="O330" s="15">
        <f>IFERROR(INDEX(Venues!$C$2:$C$10,MATCH(M330,Venues!$A$2:$A$10,0)),"Not checked")</f>
        <v/>
      </c>
      <c r="P330" s="15">
        <f>IFERROR(INDEX(Venues!$D$2:$D$10,MATCH(M330,Venues!$A$2:$A$10,0)),0)</f>
        <v/>
      </c>
      <c r="Q330" s="42">
        <f>IFERROR(INDEX(Venues!$E$2:$E$10,MATCH(M330,Venues!$A$2:$A$10,0)),"")</f>
        <v/>
      </c>
      <c r="R330" s="15">
        <f>IF(P330&gt;0,"Yes","No")</f>
        <v/>
      </c>
      <c r="S330" s="13" t="inlineStr">
        <is>
          <t>COLA Shoreditch Park</t>
        </is>
      </c>
      <c r="T330" s="42">
        <f>IFERROR(INDEX(Venues!$E$2:$E$10,MATCH(S330,Venues!$A$2:$A$10,0)),"")</f>
        <v/>
      </c>
      <c r="U330" s="15">
        <f>IFERROR(INDEX(Venues!$F$2:$F$10,MATCH(S330,Venues!$A$2:$A$10,0)),"")</f>
        <v/>
      </c>
      <c r="V330" s="43">
        <f>IFERROR(INDEX(Venues!$H$2:$H$10,MATCH(S330,Venues!$A$2:$A$10,0)),"")</f>
        <v/>
      </c>
      <c r="W330" s="15">
        <f>IF('Pilot offer'!$C$24="Yes",'Pilot offer'!$C$3,S330)</f>
        <v/>
      </c>
      <c r="X330" s="42">
        <f>IF('Pilot offer'!$C$24="Yes",'Pilot offer'!$C$5+'Pilot offer'!$C$6,T330)</f>
        <v/>
      </c>
      <c r="Y330" s="15">
        <f>IF('Pilot offer'!$C$24="Yes",'Pilot offer'!$C$8,U330)</f>
        <v/>
      </c>
      <c r="Z330" s="43">
        <f>IF('Pilot offer'!$C$24="Yes",'Pilot offer'!$C$11,"")</f>
        <v/>
      </c>
      <c r="AA330" s="15">
        <f>IF(X330="","",W330&amp;" · "&amp;TEXT(X330,"ddd d mmm, hh:mm")&amp;" · "&amp;Y330&amp;IF(Z330&lt;&gt;""," · £"&amp;TEXT(Z330,"0.00")&amp;" per player"," · price TBC (cost £"&amp;TEXT(V330,"0.00")&amp;" pp)"))</f>
        <v/>
      </c>
      <c r="AD330" s="44" t="n"/>
    </row>
    <row r="331">
      <c r="A331" s="13" t="n">
        <v>329</v>
      </c>
      <c r="B331" s="13" t="inlineStr">
        <is>
          <t>2 · N1 Hoxton</t>
        </is>
      </c>
      <c r="C331" s="13" t="inlineStr">
        <is>
          <t>Education</t>
        </is>
      </c>
      <c r="D331" s="13" t="inlineStr">
        <is>
          <t>Local businesses</t>
        </is>
      </c>
      <c r="E331" s="13" t="inlineStr">
        <is>
          <t>St Mary's Church of England Primary School</t>
        </is>
      </c>
      <c r="F331" s="13" t="inlineStr">
        <is>
          <t>amenity: school</t>
        </is>
      </c>
      <c r="G331" s="13" t="inlineStr">
        <is>
          <t>school@stmarys.islington.sch.uk</t>
        </is>
      </c>
      <c r="H331" s="13" t="inlineStr">
        <is>
          <t>person_or_other</t>
        </is>
      </c>
      <c r="I331" s="13" t="inlineStr">
        <is>
          <t>+44 20 7359 1870</t>
        </is>
      </c>
      <c r="J331" s="14" t="inlineStr">
        <is>
          <t>https://www.stmarys.islington.sch.uk/</t>
        </is>
      </c>
      <c r="K331" s="13" t="inlineStr">
        <is>
          <t>Fowler Road, London</t>
        </is>
      </c>
      <c r="L331" s="13" t="inlineStr">
        <is>
          <t>N1 2EP</t>
        </is>
      </c>
      <c r="M331" s="13" t="inlineStr">
        <is>
          <t>Rosemary Gardens 3G - Islington</t>
        </is>
      </c>
      <c r="N331" s="13" t="n">
        <v>14</v>
      </c>
      <c r="O331" s="15">
        <f>IFERROR(INDEX(Venues!$C$2:$C$10,MATCH(M331,Venues!$A$2:$A$10,0)),"Not checked")</f>
        <v/>
      </c>
      <c r="P331" s="15">
        <f>IFERROR(INDEX(Venues!$D$2:$D$10,MATCH(M331,Venues!$A$2:$A$10,0)),0)</f>
        <v/>
      </c>
      <c r="Q331" s="42">
        <f>IFERROR(INDEX(Venues!$E$2:$E$10,MATCH(M331,Venues!$A$2:$A$10,0)),"")</f>
        <v/>
      </c>
      <c r="R331" s="15">
        <f>IF(P331&gt;0,"Yes","No")</f>
        <v/>
      </c>
      <c r="S331" s="13" t="inlineStr">
        <is>
          <t>COLA Shoreditch Park</t>
        </is>
      </c>
      <c r="T331" s="42">
        <f>IFERROR(INDEX(Venues!$E$2:$E$10,MATCH(S331,Venues!$A$2:$A$10,0)),"")</f>
        <v/>
      </c>
      <c r="U331" s="15">
        <f>IFERROR(INDEX(Venues!$F$2:$F$10,MATCH(S331,Venues!$A$2:$A$10,0)),"")</f>
        <v/>
      </c>
      <c r="V331" s="43">
        <f>IFERROR(INDEX(Venues!$H$2:$H$10,MATCH(S331,Venues!$A$2:$A$10,0)),"")</f>
        <v/>
      </c>
      <c r="W331" s="15">
        <f>IF('Pilot offer'!$C$24="Yes",'Pilot offer'!$C$3,S331)</f>
        <v/>
      </c>
      <c r="X331" s="42">
        <f>IF('Pilot offer'!$C$24="Yes",'Pilot offer'!$C$5+'Pilot offer'!$C$6,T331)</f>
        <v/>
      </c>
      <c r="Y331" s="15">
        <f>IF('Pilot offer'!$C$24="Yes",'Pilot offer'!$C$8,U331)</f>
        <v/>
      </c>
      <c r="Z331" s="43">
        <f>IF('Pilot offer'!$C$24="Yes",'Pilot offer'!$C$11,"")</f>
        <v/>
      </c>
      <c r="AA331" s="15">
        <f>IF(X331="","",W331&amp;" · "&amp;TEXT(X331,"ddd d mmm, hh:mm")&amp;" · "&amp;Y331&amp;IF(Z331&lt;&gt;""," · £"&amp;TEXT(Z331,"0.00")&amp;" per player"," · price TBC (cost £"&amp;TEXT(V331,"0.00")&amp;" pp)"))</f>
        <v/>
      </c>
      <c r="AD331" s="44" t="n"/>
    </row>
    <row r="332">
      <c r="A332" s="13" t="n">
        <v>330</v>
      </c>
      <c r="B332" s="13" t="inlineStr">
        <is>
          <t>2 · N1 Hoxton</t>
        </is>
      </c>
      <c r="C332" s="13" t="inlineStr">
        <is>
          <t>Hospitality</t>
        </is>
      </c>
      <c r="D332" s="13" t="inlineStr">
        <is>
          <t>Local businesses</t>
        </is>
      </c>
      <c r="E332" s="13" t="inlineStr">
        <is>
          <t>Myddleton Arms</t>
        </is>
      </c>
      <c r="F332" s="13" t="inlineStr">
        <is>
          <t>amenity: pub</t>
        </is>
      </c>
      <c r="G332" s="13" t="inlineStr">
        <is>
          <t>info@myddletonarms.com</t>
        </is>
      </c>
      <c r="H332" s="13" t="inlineStr">
        <is>
          <t>openstreetmap_tag</t>
        </is>
      </c>
      <c r="I332" s="13" t="inlineStr">
        <is>
          <t>+44 20 7226 4595</t>
        </is>
      </c>
      <c r="J332" s="14" t="inlineStr">
        <is>
          <t>https://myddletonarms.com/</t>
        </is>
      </c>
      <c r="K332" s="13" t="inlineStr">
        <is>
          <t>Canonbury Road 52, London</t>
        </is>
      </c>
      <c r="L332" s="13" t="inlineStr">
        <is>
          <t>N1 2HS</t>
        </is>
      </c>
      <c r="M332" s="13" t="inlineStr">
        <is>
          <t>Rosemary Gardens 3G - Islington</t>
        </is>
      </c>
      <c r="N332" s="13" t="n">
        <v>12</v>
      </c>
      <c r="O332" s="15">
        <f>IFERROR(INDEX(Venues!$C$2:$C$10,MATCH(M332,Venues!$A$2:$A$10,0)),"Not checked")</f>
        <v/>
      </c>
      <c r="P332" s="15">
        <f>IFERROR(INDEX(Venues!$D$2:$D$10,MATCH(M332,Venues!$A$2:$A$10,0)),0)</f>
        <v/>
      </c>
      <c r="Q332" s="42">
        <f>IFERROR(INDEX(Venues!$E$2:$E$10,MATCH(M332,Venues!$A$2:$A$10,0)),"")</f>
        <v/>
      </c>
      <c r="R332" s="15">
        <f>IF(P332&gt;0,"Yes","No")</f>
        <v/>
      </c>
      <c r="S332" s="13" t="inlineStr">
        <is>
          <t>COLA Shoreditch Park</t>
        </is>
      </c>
      <c r="T332" s="42">
        <f>IFERROR(INDEX(Venues!$E$2:$E$10,MATCH(S332,Venues!$A$2:$A$10,0)),"")</f>
        <v/>
      </c>
      <c r="U332" s="15">
        <f>IFERROR(INDEX(Venues!$F$2:$F$10,MATCH(S332,Venues!$A$2:$A$10,0)),"")</f>
        <v/>
      </c>
      <c r="V332" s="43">
        <f>IFERROR(INDEX(Venues!$H$2:$H$10,MATCH(S332,Venues!$A$2:$A$10,0)),"")</f>
        <v/>
      </c>
      <c r="W332" s="15">
        <f>IF('Pilot offer'!$C$24="Yes",'Pilot offer'!$C$3,S332)</f>
        <v/>
      </c>
      <c r="X332" s="42">
        <f>IF('Pilot offer'!$C$24="Yes",'Pilot offer'!$C$5+'Pilot offer'!$C$6,T332)</f>
        <v/>
      </c>
      <c r="Y332" s="15">
        <f>IF('Pilot offer'!$C$24="Yes",'Pilot offer'!$C$8,U332)</f>
        <v/>
      </c>
      <c r="Z332" s="43">
        <f>IF('Pilot offer'!$C$24="Yes",'Pilot offer'!$C$11,"")</f>
        <v/>
      </c>
      <c r="AA332" s="15">
        <f>IF(X332="","",W332&amp;" · "&amp;TEXT(X332,"ddd d mmm, hh:mm")&amp;" · "&amp;Y332&amp;IF(Z332&lt;&gt;""," · £"&amp;TEXT(Z332,"0.00")&amp;" per player"," · price TBC (cost £"&amp;TEXT(V332,"0.00")&amp;" pp)"))</f>
        <v/>
      </c>
      <c r="AD332" s="44" t="n"/>
    </row>
    <row r="333">
      <c r="A333" s="13" t="n">
        <v>331</v>
      </c>
      <c r="B333" s="13" t="inlineStr">
        <is>
          <t>2 · N1 Hoxton</t>
        </is>
      </c>
      <c r="C333" s="13" t="inlineStr">
        <is>
          <t>Hospitality</t>
        </is>
      </c>
      <c r="D333" s="13" t="inlineStr">
        <is>
          <t>Local businesses</t>
        </is>
      </c>
      <c r="E333" s="13" t="inlineStr">
        <is>
          <t>Sawyer &amp; Gray</t>
        </is>
      </c>
      <c r="F333" s="13" t="inlineStr">
        <is>
          <t>amenity: cafe</t>
        </is>
      </c>
      <c r="G333" s="13" t="inlineStr">
        <is>
          <t>info@sawyerandgray.co.uk</t>
        </is>
      </c>
      <c r="H333" s="13" t="inlineStr">
        <is>
          <t>openstreetmap_tag</t>
        </is>
      </c>
      <c r="I333" s="13" t="n"/>
      <c r="J333" s="14" t="inlineStr">
        <is>
          <t>https://www.sawyerandgray.co.uk/</t>
        </is>
      </c>
      <c r="K333" s="13" t="inlineStr">
        <is>
          <t>St Paul's Road 290, London</t>
        </is>
      </c>
      <c r="L333" s="13" t="inlineStr">
        <is>
          <t>N1 2LH</t>
        </is>
      </c>
      <c r="M333" s="13" t="inlineStr">
        <is>
          <t>Rosemary Gardens 3G - Islington</t>
        </is>
      </c>
      <c r="N333" s="13" t="n">
        <v>20</v>
      </c>
      <c r="O333" s="15">
        <f>IFERROR(INDEX(Venues!$C$2:$C$10,MATCH(M333,Venues!$A$2:$A$10,0)),"Not checked")</f>
        <v/>
      </c>
      <c r="P333" s="15">
        <f>IFERROR(INDEX(Venues!$D$2:$D$10,MATCH(M333,Venues!$A$2:$A$10,0)),0)</f>
        <v/>
      </c>
      <c r="Q333" s="42">
        <f>IFERROR(INDEX(Venues!$E$2:$E$10,MATCH(M333,Venues!$A$2:$A$10,0)),"")</f>
        <v/>
      </c>
      <c r="R333" s="15">
        <f>IF(P333&gt;0,"Yes","No")</f>
        <v/>
      </c>
      <c r="S333" s="13" t="inlineStr">
        <is>
          <t>COLA Shoreditch Park</t>
        </is>
      </c>
      <c r="T333" s="42">
        <f>IFERROR(INDEX(Venues!$E$2:$E$10,MATCH(S333,Venues!$A$2:$A$10,0)),"")</f>
        <v/>
      </c>
      <c r="U333" s="15">
        <f>IFERROR(INDEX(Venues!$F$2:$F$10,MATCH(S333,Venues!$A$2:$A$10,0)),"")</f>
        <v/>
      </c>
      <c r="V333" s="43">
        <f>IFERROR(INDEX(Venues!$H$2:$H$10,MATCH(S333,Venues!$A$2:$A$10,0)),"")</f>
        <v/>
      </c>
      <c r="W333" s="15">
        <f>IF('Pilot offer'!$C$24="Yes",'Pilot offer'!$C$3,S333)</f>
        <v/>
      </c>
      <c r="X333" s="42">
        <f>IF('Pilot offer'!$C$24="Yes",'Pilot offer'!$C$5+'Pilot offer'!$C$6,T333)</f>
        <v/>
      </c>
      <c r="Y333" s="15">
        <f>IF('Pilot offer'!$C$24="Yes",'Pilot offer'!$C$8,U333)</f>
        <v/>
      </c>
      <c r="Z333" s="43">
        <f>IF('Pilot offer'!$C$24="Yes",'Pilot offer'!$C$11,"")</f>
        <v/>
      </c>
      <c r="AA333" s="15">
        <f>IF(X333="","",W333&amp;" · "&amp;TEXT(X333,"ddd d mmm, hh:mm")&amp;" · "&amp;Y333&amp;IF(Z333&lt;&gt;""," · £"&amp;TEXT(Z333,"0.00")&amp;" per player"," · price TBC (cost £"&amp;TEXT(V333,"0.00")&amp;" pp)"))</f>
        <v/>
      </c>
      <c r="AD333" s="44" t="n"/>
    </row>
    <row r="334">
      <c r="A334" s="13" t="n">
        <v>332</v>
      </c>
      <c r="B334" s="13" t="inlineStr">
        <is>
          <t>2 · N1 Hoxton</t>
        </is>
      </c>
      <c r="C334" s="13" t="inlineStr">
        <is>
          <t>Hospitality</t>
        </is>
      </c>
      <c r="D334" s="13" t="inlineStr">
        <is>
          <t>Local businesses</t>
        </is>
      </c>
      <c r="E334" s="13" t="inlineStr">
        <is>
          <t>Tootoomoo</t>
        </is>
      </c>
      <c r="F334" s="13" t="inlineStr">
        <is>
          <t>amenity: restaurant</t>
        </is>
      </c>
      <c r="G334" s="13" t="inlineStr">
        <is>
          <t>info@tootoomoo.co.uk</t>
        </is>
      </c>
      <c r="H334" s="13" t="inlineStr">
        <is>
          <t>general</t>
        </is>
      </c>
      <c r="I334" s="13" t="n"/>
      <c r="J334" s="14" t="inlineStr">
        <is>
          <t>https://www.tootoomoo.co.uk/islington</t>
        </is>
      </c>
      <c r="K334" s="13" t="inlineStr">
        <is>
          <t>St. Paul's Road 278, London</t>
        </is>
      </c>
      <c r="L334" s="13" t="inlineStr">
        <is>
          <t>N1 2LH</t>
        </is>
      </c>
      <c r="M334" s="13" t="inlineStr">
        <is>
          <t>Rosemary Gardens 3G - Islington</t>
        </is>
      </c>
      <c r="N334" s="13" t="n">
        <v>19</v>
      </c>
      <c r="O334" s="15">
        <f>IFERROR(INDEX(Venues!$C$2:$C$10,MATCH(M334,Venues!$A$2:$A$10,0)),"Not checked")</f>
        <v/>
      </c>
      <c r="P334" s="15">
        <f>IFERROR(INDEX(Venues!$D$2:$D$10,MATCH(M334,Venues!$A$2:$A$10,0)),0)</f>
        <v/>
      </c>
      <c r="Q334" s="42">
        <f>IFERROR(INDEX(Venues!$E$2:$E$10,MATCH(M334,Venues!$A$2:$A$10,0)),"")</f>
        <v/>
      </c>
      <c r="R334" s="15">
        <f>IF(P334&gt;0,"Yes","No")</f>
        <v/>
      </c>
      <c r="S334" s="13" t="inlineStr">
        <is>
          <t>COLA Shoreditch Park</t>
        </is>
      </c>
      <c r="T334" s="42">
        <f>IFERROR(INDEX(Venues!$E$2:$E$10,MATCH(S334,Venues!$A$2:$A$10,0)),"")</f>
        <v/>
      </c>
      <c r="U334" s="15">
        <f>IFERROR(INDEX(Venues!$F$2:$F$10,MATCH(S334,Venues!$A$2:$A$10,0)),"")</f>
        <v/>
      </c>
      <c r="V334" s="43">
        <f>IFERROR(INDEX(Venues!$H$2:$H$10,MATCH(S334,Venues!$A$2:$A$10,0)),"")</f>
        <v/>
      </c>
      <c r="W334" s="15">
        <f>IF('Pilot offer'!$C$24="Yes",'Pilot offer'!$C$3,S334)</f>
        <v/>
      </c>
      <c r="X334" s="42">
        <f>IF('Pilot offer'!$C$24="Yes",'Pilot offer'!$C$5+'Pilot offer'!$C$6,T334)</f>
        <v/>
      </c>
      <c r="Y334" s="15">
        <f>IF('Pilot offer'!$C$24="Yes",'Pilot offer'!$C$8,U334)</f>
        <v/>
      </c>
      <c r="Z334" s="43">
        <f>IF('Pilot offer'!$C$24="Yes",'Pilot offer'!$C$11,"")</f>
        <v/>
      </c>
      <c r="AA334" s="15">
        <f>IF(X334="","",W334&amp;" · "&amp;TEXT(X334,"ddd d mmm, hh:mm")&amp;" · "&amp;Y334&amp;IF(Z334&lt;&gt;""," · £"&amp;TEXT(Z334,"0.00")&amp;" per player"," · price TBC (cost £"&amp;TEXT(V334,"0.00")&amp;" pp)"))</f>
        <v/>
      </c>
      <c r="AD334" s="44" t="n"/>
    </row>
    <row r="335">
      <c r="A335" s="13" t="n">
        <v>333</v>
      </c>
      <c r="B335" s="13" t="inlineStr">
        <is>
          <t>2 · N1 Hoxton</t>
        </is>
      </c>
      <c r="C335" s="13" t="inlineStr">
        <is>
          <t>Office &amp; professional</t>
        </is>
      </c>
      <c r="D335" s="13" t="inlineStr">
        <is>
          <t>Corporate</t>
        </is>
      </c>
      <c r="E335" s="13" t="inlineStr">
        <is>
          <t>Tony Alan</t>
        </is>
      </c>
      <c r="F335" s="13" t="inlineStr">
        <is>
          <t>estate_agent</t>
        </is>
      </c>
      <c r="G335" s="13" t="inlineStr">
        <is>
          <t>info@tonyalan.co.uk</t>
        </is>
      </c>
      <c r="H335" s="13" t="inlineStr">
        <is>
          <t>general</t>
        </is>
      </c>
      <c r="I335" s="13" t="inlineStr">
        <is>
          <t>+44 20 7388 9977</t>
        </is>
      </c>
      <c r="J335" s="14" t="inlineStr">
        <is>
          <t>https://tonyalan.co.uk/</t>
        </is>
      </c>
      <c r="K335" s="13" t="inlineStr">
        <is>
          <t>230 St. Paul's Road, London</t>
        </is>
      </c>
      <c r="L335" s="13" t="inlineStr">
        <is>
          <t>N1 2LJ</t>
        </is>
      </c>
      <c r="M335" s="13" t="inlineStr">
        <is>
          <t>Rosemary Gardens 3G - Islington</t>
        </is>
      </c>
      <c r="N335" s="13" t="n">
        <v>19</v>
      </c>
      <c r="O335" s="15">
        <f>IFERROR(INDEX(Venues!$C$2:$C$10,MATCH(M335,Venues!$A$2:$A$10,0)),"Not checked")</f>
        <v/>
      </c>
      <c r="P335" s="15">
        <f>IFERROR(INDEX(Venues!$D$2:$D$10,MATCH(M335,Venues!$A$2:$A$10,0)),0)</f>
        <v/>
      </c>
      <c r="Q335" s="42">
        <f>IFERROR(INDEX(Venues!$E$2:$E$10,MATCH(M335,Venues!$A$2:$A$10,0)),"")</f>
        <v/>
      </c>
      <c r="R335" s="15">
        <f>IF(P335&gt;0,"Yes","No")</f>
        <v/>
      </c>
      <c r="S335" s="13" t="inlineStr">
        <is>
          <t>COLA Shoreditch Park</t>
        </is>
      </c>
      <c r="T335" s="42">
        <f>IFERROR(INDEX(Venues!$E$2:$E$10,MATCH(S335,Venues!$A$2:$A$10,0)),"")</f>
        <v/>
      </c>
      <c r="U335" s="15">
        <f>IFERROR(INDEX(Venues!$F$2:$F$10,MATCH(S335,Venues!$A$2:$A$10,0)),"")</f>
        <v/>
      </c>
      <c r="V335" s="43">
        <f>IFERROR(INDEX(Venues!$H$2:$H$10,MATCH(S335,Venues!$A$2:$A$10,0)),"")</f>
        <v/>
      </c>
      <c r="W335" s="15">
        <f>IF('Pilot offer'!$C$24="Yes",'Pilot offer'!$C$3,S335)</f>
        <v/>
      </c>
      <c r="X335" s="42">
        <f>IF('Pilot offer'!$C$24="Yes",'Pilot offer'!$C$5+'Pilot offer'!$C$6,T335)</f>
        <v/>
      </c>
      <c r="Y335" s="15">
        <f>IF('Pilot offer'!$C$24="Yes",'Pilot offer'!$C$8,U335)</f>
        <v/>
      </c>
      <c r="Z335" s="43">
        <f>IF('Pilot offer'!$C$24="Yes",'Pilot offer'!$C$11,"")</f>
        <v/>
      </c>
      <c r="AA335" s="15">
        <f>IF(X335="","",W335&amp;" · "&amp;TEXT(X335,"ddd d mmm, hh:mm")&amp;" · "&amp;Y335&amp;IF(Z335&lt;&gt;""," · £"&amp;TEXT(Z335,"0.00")&amp;" per player"," · price TBC (cost £"&amp;TEXT(V335,"0.00")&amp;" pp)"))</f>
        <v/>
      </c>
      <c r="AD335" s="44" t="n"/>
    </row>
    <row r="336">
      <c r="A336" s="13" t="n">
        <v>334</v>
      </c>
      <c r="B336" s="13" t="inlineStr">
        <is>
          <t>2 · N1 Hoxton</t>
        </is>
      </c>
      <c r="C336" s="13" t="inlineStr">
        <is>
          <t>Retail</t>
        </is>
      </c>
      <c r="D336" s="13" t="inlineStr">
        <is>
          <t>Local businesses</t>
        </is>
      </c>
      <c r="E336" s="13" t="inlineStr">
        <is>
          <t>Yield N1</t>
        </is>
      </c>
      <c r="F336" s="13" t="inlineStr">
        <is>
          <t>shop: wine</t>
        </is>
      </c>
      <c r="G336" s="13" t="inlineStr">
        <is>
          <t>hello@yieldn16.com</t>
        </is>
      </c>
      <c r="H336" s="13" t="inlineStr">
        <is>
          <t>general</t>
        </is>
      </c>
      <c r="I336" s="13" t="n"/>
      <c r="J336" s="14" t="inlineStr">
        <is>
          <t>https://www.yieldn1.com/</t>
        </is>
      </c>
      <c r="K336" s="13" t="inlineStr">
        <is>
          <t>St. Paul's Road 97, London</t>
        </is>
      </c>
      <c r="L336" s="13" t="inlineStr">
        <is>
          <t>N1 2NA</t>
        </is>
      </c>
      <c r="M336" s="13" t="inlineStr">
        <is>
          <t>Rosemary Gardens 3G - Islington</t>
        </is>
      </c>
      <c r="N336" s="13" t="n">
        <v>20</v>
      </c>
      <c r="O336" s="15">
        <f>IFERROR(INDEX(Venues!$C$2:$C$10,MATCH(M336,Venues!$A$2:$A$10,0)),"Not checked")</f>
        <v/>
      </c>
      <c r="P336" s="15">
        <f>IFERROR(INDEX(Venues!$D$2:$D$10,MATCH(M336,Venues!$A$2:$A$10,0)),0)</f>
        <v/>
      </c>
      <c r="Q336" s="42">
        <f>IFERROR(INDEX(Venues!$E$2:$E$10,MATCH(M336,Venues!$A$2:$A$10,0)),"")</f>
        <v/>
      </c>
      <c r="R336" s="15">
        <f>IF(P336&gt;0,"Yes","No")</f>
        <v/>
      </c>
      <c r="S336" s="13" t="inlineStr">
        <is>
          <t>COLA Shoreditch Park</t>
        </is>
      </c>
      <c r="T336" s="42">
        <f>IFERROR(INDEX(Venues!$E$2:$E$10,MATCH(S336,Venues!$A$2:$A$10,0)),"")</f>
        <v/>
      </c>
      <c r="U336" s="15">
        <f>IFERROR(INDEX(Venues!$F$2:$F$10,MATCH(S336,Venues!$A$2:$A$10,0)),"")</f>
        <v/>
      </c>
      <c r="V336" s="43">
        <f>IFERROR(INDEX(Venues!$H$2:$H$10,MATCH(S336,Venues!$A$2:$A$10,0)),"")</f>
        <v/>
      </c>
      <c r="W336" s="15">
        <f>IF('Pilot offer'!$C$24="Yes",'Pilot offer'!$C$3,S336)</f>
        <v/>
      </c>
      <c r="X336" s="42">
        <f>IF('Pilot offer'!$C$24="Yes",'Pilot offer'!$C$5+'Pilot offer'!$C$6,T336)</f>
        <v/>
      </c>
      <c r="Y336" s="15">
        <f>IF('Pilot offer'!$C$24="Yes",'Pilot offer'!$C$8,U336)</f>
        <v/>
      </c>
      <c r="Z336" s="43">
        <f>IF('Pilot offer'!$C$24="Yes",'Pilot offer'!$C$11,"")</f>
        <v/>
      </c>
      <c r="AA336" s="15">
        <f>IF(X336="","",W336&amp;" · "&amp;TEXT(X336,"ddd d mmm, hh:mm")&amp;" · "&amp;Y336&amp;IF(Z336&lt;&gt;""," · £"&amp;TEXT(Z336,"0.00")&amp;" per player"," · price TBC (cost £"&amp;TEXT(V336,"0.00")&amp;" pp)"))</f>
        <v/>
      </c>
      <c r="AD336" s="44" t="n"/>
    </row>
    <row r="337">
      <c r="A337" s="13" t="n">
        <v>335</v>
      </c>
      <c r="B337" s="13" t="inlineStr">
        <is>
          <t>2 · N1 Hoxton</t>
        </is>
      </c>
      <c r="C337" s="13" t="inlineStr">
        <is>
          <t>Education</t>
        </is>
      </c>
      <c r="D337" s="13" t="inlineStr">
        <is>
          <t>Local businesses</t>
        </is>
      </c>
      <c r="E337" s="13" t="inlineStr">
        <is>
          <t>North Bridge House Senior Canonbury School</t>
        </is>
      </c>
      <c r="F337" s="13" t="inlineStr">
        <is>
          <t>amenity: school</t>
        </is>
      </c>
      <c r="G337" s="13" t="inlineStr">
        <is>
          <t>nursery@northbridgehouse.com</t>
        </is>
      </c>
      <c r="H337" s="13" t="inlineStr">
        <is>
          <t>person_or_other</t>
        </is>
      </c>
      <c r="I337" s="13" t="inlineStr">
        <is>
          <t>+44 20 7267 6266</t>
        </is>
      </c>
      <c r="J337" s="14" t="inlineStr">
        <is>
          <t>https://www.northbridgehouse.com/</t>
        </is>
      </c>
      <c r="K337" s="13" t="inlineStr">
        <is>
          <t>Canonbury Place 6-9, London</t>
        </is>
      </c>
      <c r="L337" s="13" t="inlineStr">
        <is>
          <t>N1 2NQ</t>
        </is>
      </c>
      <c r="M337" s="13" t="inlineStr">
        <is>
          <t>Rosemary Gardens 3G - Islington</t>
        </is>
      </c>
      <c r="N337" s="13" t="n">
        <v>15</v>
      </c>
      <c r="O337" s="15">
        <f>IFERROR(INDEX(Venues!$C$2:$C$10,MATCH(M337,Venues!$A$2:$A$10,0)),"Not checked")</f>
        <v/>
      </c>
      <c r="P337" s="15">
        <f>IFERROR(INDEX(Venues!$D$2:$D$10,MATCH(M337,Venues!$A$2:$A$10,0)),0)</f>
        <v/>
      </c>
      <c r="Q337" s="42">
        <f>IFERROR(INDEX(Venues!$E$2:$E$10,MATCH(M337,Venues!$A$2:$A$10,0)),"")</f>
        <v/>
      </c>
      <c r="R337" s="15">
        <f>IF(P337&gt;0,"Yes","No")</f>
        <v/>
      </c>
      <c r="S337" s="13" t="inlineStr">
        <is>
          <t>COLA Shoreditch Park</t>
        </is>
      </c>
      <c r="T337" s="42">
        <f>IFERROR(INDEX(Venues!$E$2:$E$10,MATCH(S337,Venues!$A$2:$A$10,0)),"")</f>
        <v/>
      </c>
      <c r="U337" s="15">
        <f>IFERROR(INDEX(Venues!$F$2:$F$10,MATCH(S337,Venues!$A$2:$A$10,0)),"")</f>
        <v/>
      </c>
      <c r="V337" s="43">
        <f>IFERROR(INDEX(Venues!$H$2:$H$10,MATCH(S337,Venues!$A$2:$A$10,0)),"")</f>
        <v/>
      </c>
      <c r="W337" s="15">
        <f>IF('Pilot offer'!$C$24="Yes",'Pilot offer'!$C$3,S337)</f>
        <v/>
      </c>
      <c r="X337" s="42">
        <f>IF('Pilot offer'!$C$24="Yes",'Pilot offer'!$C$5+'Pilot offer'!$C$6,T337)</f>
        <v/>
      </c>
      <c r="Y337" s="15">
        <f>IF('Pilot offer'!$C$24="Yes",'Pilot offer'!$C$8,U337)</f>
        <v/>
      </c>
      <c r="Z337" s="43">
        <f>IF('Pilot offer'!$C$24="Yes",'Pilot offer'!$C$11,"")</f>
        <v/>
      </c>
      <c r="AA337" s="15">
        <f>IF(X337="","",W337&amp;" · "&amp;TEXT(X337,"ddd d mmm, hh:mm")&amp;" · "&amp;Y337&amp;IF(Z337&lt;&gt;""," · £"&amp;TEXT(Z337,"0.00")&amp;" per player"," · price TBC (cost £"&amp;TEXT(V337,"0.00")&amp;" pp)"))</f>
        <v/>
      </c>
      <c r="AD337" s="44" t="n"/>
    </row>
    <row r="338">
      <c r="A338" s="13" t="n">
        <v>336</v>
      </c>
      <c r="B338" s="13" t="inlineStr">
        <is>
          <t>2 · N1 Hoxton</t>
        </is>
      </c>
      <c r="C338" s="13" t="inlineStr">
        <is>
          <t>Education</t>
        </is>
      </c>
      <c r="D338" s="13" t="inlineStr">
        <is>
          <t>Local businesses</t>
        </is>
      </c>
      <c r="E338" s="13" t="inlineStr">
        <is>
          <t>St Paul's Waldorf School</t>
        </is>
      </c>
      <c r="F338" s="13" t="inlineStr">
        <is>
          <t>amenity: school</t>
        </is>
      </c>
      <c r="G338" s="13" t="inlineStr">
        <is>
          <t>schooloffice@stpaulswaldorfschool.org</t>
        </is>
      </c>
      <c r="H338" s="13" t="inlineStr">
        <is>
          <t>person_or_other</t>
        </is>
      </c>
      <c r="I338" s="13" t="inlineStr">
        <is>
          <t>+44 20 7226 4454</t>
        </is>
      </c>
      <c r="J338" s="14" t="inlineStr">
        <is>
          <t>https://www.stpaulswaldorfschool.org/</t>
        </is>
      </c>
      <c r="K338" s="13" t="inlineStr">
        <is>
          <t>St. Paul's Road 1, London</t>
        </is>
      </c>
      <c r="L338" s="13" t="inlineStr">
        <is>
          <t>N1 2QH</t>
        </is>
      </c>
      <c r="M338" s="13" t="inlineStr">
        <is>
          <t>Rosemary Gardens 3G - Islington</t>
        </is>
      </c>
      <c r="N338" s="13" t="n">
        <v>13</v>
      </c>
      <c r="O338" s="15">
        <f>IFERROR(INDEX(Venues!$C$2:$C$10,MATCH(M338,Venues!$A$2:$A$10,0)),"Not checked")</f>
        <v/>
      </c>
      <c r="P338" s="15">
        <f>IFERROR(INDEX(Venues!$D$2:$D$10,MATCH(M338,Venues!$A$2:$A$10,0)),0)</f>
        <v/>
      </c>
      <c r="Q338" s="42">
        <f>IFERROR(INDEX(Venues!$E$2:$E$10,MATCH(M338,Venues!$A$2:$A$10,0)),"")</f>
        <v/>
      </c>
      <c r="R338" s="15">
        <f>IF(P338&gt;0,"Yes","No")</f>
        <v/>
      </c>
      <c r="S338" s="13" t="inlineStr">
        <is>
          <t>COLA Shoreditch Park</t>
        </is>
      </c>
      <c r="T338" s="42">
        <f>IFERROR(INDEX(Venues!$E$2:$E$10,MATCH(S338,Venues!$A$2:$A$10,0)),"")</f>
        <v/>
      </c>
      <c r="U338" s="15">
        <f>IFERROR(INDEX(Venues!$F$2:$F$10,MATCH(S338,Venues!$A$2:$A$10,0)),"")</f>
        <v/>
      </c>
      <c r="V338" s="43">
        <f>IFERROR(INDEX(Venues!$H$2:$H$10,MATCH(S338,Venues!$A$2:$A$10,0)),"")</f>
        <v/>
      </c>
      <c r="W338" s="15">
        <f>IF('Pilot offer'!$C$24="Yes",'Pilot offer'!$C$3,S338)</f>
        <v/>
      </c>
      <c r="X338" s="42">
        <f>IF('Pilot offer'!$C$24="Yes",'Pilot offer'!$C$5+'Pilot offer'!$C$6,T338)</f>
        <v/>
      </c>
      <c r="Y338" s="15">
        <f>IF('Pilot offer'!$C$24="Yes",'Pilot offer'!$C$8,U338)</f>
        <v/>
      </c>
      <c r="Z338" s="43">
        <f>IF('Pilot offer'!$C$24="Yes",'Pilot offer'!$C$11,"")</f>
        <v/>
      </c>
      <c r="AA338" s="15">
        <f>IF(X338="","",W338&amp;" · "&amp;TEXT(X338,"ddd d mmm, hh:mm")&amp;" · "&amp;Y338&amp;IF(Z338&lt;&gt;""," · £"&amp;TEXT(Z338,"0.00")&amp;" per player"," · price TBC (cost £"&amp;TEXT(V338,"0.00")&amp;" pp)"))</f>
        <v/>
      </c>
      <c r="AD338" s="44" t="n"/>
    </row>
    <row r="339">
      <c r="A339" s="13" t="n">
        <v>337</v>
      </c>
      <c r="B339" s="13" t="inlineStr">
        <is>
          <t>2 · N1 Hoxton</t>
        </is>
      </c>
      <c r="C339" s="13" t="inlineStr">
        <is>
          <t>Retail</t>
        </is>
      </c>
      <c r="D339" s="13" t="inlineStr">
        <is>
          <t>Local businesses</t>
        </is>
      </c>
      <c r="E339" s="13" t="inlineStr">
        <is>
          <t>Balfe's Bikes</t>
        </is>
      </c>
      <c r="F339" s="13" t="inlineStr">
        <is>
          <t>shop: bicycle</t>
        </is>
      </c>
      <c r="G339" s="13" t="inlineStr">
        <is>
          <t>islington@balfesbikes.co.uk</t>
        </is>
      </c>
      <c r="H339" s="13" t="inlineStr">
        <is>
          <t>openstreetmap_tag</t>
        </is>
      </c>
      <c r="I339" s="13" t="n"/>
      <c r="J339" s="14" t="inlineStr">
        <is>
          <t>https://www.balfesbikes.co.uk/islington/</t>
        </is>
      </c>
      <c r="K339" s="13" t="inlineStr">
        <is>
          <t>Essex Road 33, London</t>
        </is>
      </c>
      <c r="L339" s="13" t="inlineStr">
        <is>
          <t>N1 2SA</t>
        </is>
      </c>
      <c r="M339" s="13" t="inlineStr">
        <is>
          <t>Rosemary Gardens 3G - Islington</t>
        </is>
      </c>
      <c r="N339" s="13" t="n">
        <v>15</v>
      </c>
      <c r="O339" s="15">
        <f>IFERROR(INDEX(Venues!$C$2:$C$10,MATCH(M339,Venues!$A$2:$A$10,0)),"Not checked")</f>
        <v/>
      </c>
      <c r="P339" s="15">
        <f>IFERROR(INDEX(Venues!$D$2:$D$10,MATCH(M339,Venues!$A$2:$A$10,0)),0)</f>
        <v/>
      </c>
      <c r="Q339" s="42">
        <f>IFERROR(INDEX(Venues!$E$2:$E$10,MATCH(M339,Venues!$A$2:$A$10,0)),"")</f>
        <v/>
      </c>
      <c r="R339" s="15">
        <f>IF(P339&gt;0,"Yes","No")</f>
        <v/>
      </c>
      <c r="S339" s="13" t="inlineStr">
        <is>
          <t>COLA Shoreditch Park</t>
        </is>
      </c>
      <c r="T339" s="42">
        <f>IFERROR(INDEX(Venues!$E$2:$E$10,MATCH(S339,Venues!$A$2:$A$10,0)),"")</f>
        <v/>
      </c>
      <c r="U339" s="15">
        <f>IFERROR(INDEX(Venues!$F$2:$F$10,MATCH(S339,Venues!$A$2:$A$10,0)),"")</f>
        <v/>
      </c>
      <c r="V339" s="43">
        <f>IFERROR(INDEX(Venues!$H$2:$H$10,MATCH(S339,Venues!$A$2:$A$10,0)),"")</f>
        <v/>
      </c>
      <c r="W339" s="15">
        <f>IF('Pilot offer'!$C$24="Yes",'Pilot offer'!$C$3,S339)</f>
        <v/>
      </c>
      <c r="X339" s="42">
        <f>IF('Pilot offer'!$C$24="Yes",'Pilot offer'!$C$5+'Pilot offer'!$C$6,T339)</f>
        <v/>
      </c>
      <c r="Y339" s="15">
        <f>IF('Pilot offer'!$C$24="Yes",'Pilot offer'!$C$8,U339)</f>
        <v/>
      </c>
      <c r="Z339" s="43">
        <f>IF('Pilot offer'!$C$24="Yes",'Pilot offer'!$C$11,"")</f>
        <v/>
      </c>
      <c r="AA339" s="15">
        <f>IF(X339="","",W339&amp;" · "&amp;TEXT(X339,"ddd d mmm, hh:mm")&amp;" · "&amp;Y339&amp;IF(Z339&lt;&gt;""," · £"&amp;TEXT(Z339,"0.00")&amp;" per player"," · price TBC (cost £"&amp;TEXT(V339,"0.00")&amp;" pp)"))</f>
        <v/>
      </c>
      <c r="AD339" s="44" t="n"/>
    </row>
    <row r="340">
      <c r="A340" s="13" t="n">
        <v>338</v>
      </c>
      <c r="B340" s="13" t="inlineStr">
        <is>
          <t>2 · N1 Hoxton</t>
        </is>
      </c>
      <c r="C340" s="13" t="inlineStr">
        <is>
          <t>Retail</t>
        </is>
      </c>
      <c r="D340" s="13" t="inlineStr">
        <is>
          <t>Local businesses</t>
        </is>
      </c>
      <c r="E340" s="13" t="inlineStr">
        <is>
          <t>Mac Ansys Limited</t>
        </is>
      </c>
      <c r="F340" s="13" t="inlineStr">
        <is>
          <t>shop: computer</t>
        </is>
      </c>
      <c r="G340" s="13" t="inlineStr">
        <is>
          <t>info@macansys.co.uk</t>
        </is>
      </c>
      <c r="H340" s="13" t="inlineStr">
        <is>
          <t>general</t>
        </is>
      </c>
      <c r="I340" s="13" t="inlineStr">
        <is>
          <t>+44 20 7359 4126</t>
        </is>
      </c>
      <c r="J340" s="14" t="inlineStr">
        <is>
          <t>https://www.macansys.co.uk/</t>
        </is>
      </c>
      <c r="K340" s="13" t="inlineStr">
        <is>
          <t>Essex Road 121, London</t>
        </is>
      </c>
      <c r="L340" s="13" t="inlineStr">
        <is>
          <t>N1 2SN</t>
        </is>
      </c>
      <c r="M340" s="13" t="inlineStr">
        <is>
          <t>Rosemary Gardens 3G - Islington</t>
        </is>
      </c>
      <c r="N340" s="13" t="n">
        <v>12</v>
      </c>
      <c r="O340" s="15">
        <f>IFERROR(INDEX(Venues!$C$2:$C$10,MATCH(M340,Venues!$A$2:$A$10,0)),"Not checked")</f>
        <v/>
      </c>
      <c r="P340" s="15">
        <f>IFERROR(INDEX(Venues!$D$2:$D$10,MATCH(M340,Venues!$A$2:$A$10,0)),0)</f>
        <v/>
      </c>
      <c r="Q340" s="42">
        <f>IFERROR(INDEX(Venues!$E$2:$E$10,MATCH(M340,Venues!$A$2:$A$10,0)),"")</f>
        <v/>
      </c>
      <c r="R340" s="15">
        <f>IF(P340&gt;0,"Yes","No")</f>
        <v/>
      </c>
      <c r="S340" s="13" t="inlineStr">
        <is>
          <t>COLA Shoreditch Park</t>
        </is>
      </c>
      <c r="T340" s="42">
        <f>IFERROR(INDEX(Venues!$E$2:$E$10,MATCH(S340,Venues!$A$2:$A$10,0)),"")</f>
        <v/>
      </c>
      <c r="U340" s="15">
        <f>IFERROR(INDEX(Venues!$F$2:$F$10,MATCH(S340,Venues!$A$2:$A$10,0)),"")</f>
        <v/>
      </c>
      <c r="V340" s="43">
        <f>IFERROR(INDEX(Venues!$H$2:$H$10,MATCH(S340,Venues!$A$2:$A$10,0)),"")</f>
        <v/>
      </c>
      <c r="W340" s="15">
        <f>IF('Pilot offer'!$C$24="Yes",'Pilot offer'!$C$3,S340)</f>
        <v/>
      </c>
      <c r="X340" s="42">
        <f>IF('Pilot offer'!$C$24="Yes",'Pilot offer'!$C$5+'Pilot offer'!$C$6,T340)</f>
        <v/>
      </c>
      <c r="Y340" s="15">
        <f>IF('Pilot offer'!$C$24="Yes",'Pilot offer'!$C$8,U340)</f>
        <v/>
      </c>
      <c r="Z340" s="43">
        <f>IF('Pilot offer'!$C$24="Yes",'Pilot offer'!$C$11,"")</f>
        <v/>
      </c>
      <c r="AA340" s="15">
        <f>IF(X340="","",W340&amp;" · "&amp;TEXT(X340,"ddd d mmm, hh:mm")&amp;" · "&amp;Y340&amp;IF(Z340&lt;&gt;""," · £"&amp;TEXT(Z340,"0.00")&amp;" per player"," · price TBC (cost £"&amp;TEXT(V340,"0.00")&amp;" pp)"))</f>
        <v/>
      </c>
      <c r="AD340" s="44" t="n"/>
    </row>
    <row r="341">
      <c r="A341" s="13" t="n">
        <v>339</v>
      </c>
      <c r="B341" s="13" t="inlineStr">
        <is>
          <t>2 · N1 Hoxton</t>
        </is>
      </c>
      <c r="C341" s="13" t="inlineStr">
        <is>
          <t>Retail</t>
        </is>
      </c>
      <c r="D341" s="13" t="inlineStr">
        <is>
          <t>Local businesses</t>
        </is>
      </c>
      <c r="E341" s="13" t="inlineStr">
        <is>
          <t>Sourdough Sophia</t>
        </is>
      </c>
      <c r="F341" s="13" t="inlineStr">
        <is>
          <t>shop: bakery</t>
        </is>
      </c>
      <c r="G341" s="13" t="inlineStr">
        <is>
          <t>hello@sourdoughsophia.co.uk</t>
        </is>
      </c>
      <c r="H341" s="13" t="inlineStr">
        <is>
          <t>general</t>
        </is>
      </c>
      <c r="I341" s="13" t="n"/>
      <c r="J341" s="14" t="inlineStr">
        <is>
          <t>https://sourdoughsophia.co.uk/</t>
        </is>
      </c>
      <c r="K341" s="13" t="inlineStr">
        <is>
          <t>Essex road 119, London</t>
        </is>
      </c>
      <c r="L341" s="13" t="inlineStr">
        <is>
          <t>N1 2SN</t>
        </is>
      </c>
      <c r="M341" s="13" t="inlineStr">
        <is>
          <t>Rosemary Gardens 3G - Islington</t>
        </is>
      </c>
      <c r="N341" s="13" t="n">
        <v>12</v>
      </c>
      <c r="O341" s="15">
        <f>IFERROR(INDEX(Venues!$C$2:$C$10,MATCH(M341,Venues!$A$2:$A$10,0)),"Not checked")</f>
        <v/>
      </c>
      <c r="P341" s="15">
        <f>IFERROR(INDEX(Venues!$D$2:$D$10,MATCH(M341,Venues!$A$2:$A$10,0)),0)</f>
        <v/>
      </c>
      <c r="Q341" s="42">
        <f>IFERROR(INDEX(Venues!$E$2:$E$10,MATCH(M341,Venues!$A$2:$A$10,0)),"")</f>
        <v/>
      </c>
      <c r="R341" s="15">
        <f>IF(P341&gt;0,"Yes","No")</f>
        <v/>
      </c>
      <c r="S341" s="13" t="inlineStr">
        <is>
          <t>COLA Shoreditch Park</t>
        </is>
      </c>
      <c r="T341" s="42">
        <f>IFERROR(INDEX(Venues!$E$2:$E$10,MATCH(S341,Venues!$A$2:$A$10,0)),"")</f>
        <v/>
      </c>
      <c r="U341" s="15">
        <f>IFERROR(INDEX(Venues!$F$2:$F$10,MATCH(S341,Venues!$A$2:$A$10,0)),"")</f>
        <v/>
      </c>
      <c r="V341" s="43">
        <f>IFERROR(INDEX(Venues!$H$2:$H$10,MATCH(S341,Venues!$A$2:$A$10,0)),"")</f>
        <v/>
      </c>
      <c r="W341" s="15">
        <f>IF('Pilot offer'!$C$24="Yes",'Pilot offer'!$C$3,S341)</f>
        <v/>
      </c>
      <c r="X341" s="42">
        <f>IF('Pilot offer'!$C$24="Yes",'Pilot offer'!$C$5+'Pilot offer'!$C$6,T341)</f>
        <v/>
      </c>
      <c r="Y341" s="15">
        <f>IF('Pilot offer'!$C$24="Yes",'Pilot offer'!$C$8,U341)</f>
        <v/>
      </c>
      <c r="Z341" s="43">
        <f>IF('Pilot offer'!$C$24="Yes",'Pilot offer'!$C$11,"")</f>
        <v/>
      </c>
      <c r="AA341" s="15">
        <f>IF(X341="","",W341&amp;" · "&amp;TEXT(X341,"ddd d mmm, hh:mm")&amp;" · "&amp;Y341&amp;IF(Z341&lt;&gt;""," · £"&amp;TEXT(Z341,"0.00")&amp;" per player"," · price TBC (cost £"&amp;TEXT(V341,"0.00")&amp;" pp)"))</f>
        <v/>
      </c>
      <c r="AD341" s="44" t="n"/>
    </row>
    <row r="342">
      <c r="A342" s="13" t="n">
        <v>340</v>
      </c>
      <c r="B342" s="13" t="inlineStr">
        <is>
          <t>2 · N1 Hoxton</t>
        </is>
      </c>
      <c r="C342" s="13" t="inlineStr">
        <is>
          <t>Retail</t>
        </is>
      </c>
      <c r="D342" s="13" t="inlineStr">
        <is>
          <t>Local businesses</t>
        </is>
      </c>
      <c r="E342" s="13" t="inlineStr">
        <is>
          <t>Coexistence</t>
        </is>
      </c>
      <c r="F342" s="13" t="inlineStr">
        <is>
          <t>shop: furniture</t>
        </is>
      </c>
      <c r="G342" s="13" t="inlineStr">
        <is>
          <t>enquiries@coexistence.co.uk</t>
        </is>
      </c>
      <c r="H342" s="13" t="inlineStr">
        <is>
          <t>general</t>
        </is>
      </c>
      <c r="I342" s="13" t="inlineStr">
        <is>
          <t>+44 20 8075 1890</t>
        </is>
      </c>
      <c r="J342" s="14" t="inlineStr">
        <is>
          <t>https://www.coexistence.co.uk/</t>
        </is>
      </c>
      <c r="K342" s="13" t="inlineStr">
        <is>
          <t>Upper Street 288, London</t>
        </is>
      </c>
      <c r="L342" s="13" t="inlineStr">
        <is>
          <t>N1 2TZ</t>
        </is>
      </c>
      <c r="M342" s="13" t="inlineStr">
        <is>
          <t>Rosemary Gardens 3G - Islington</t>
        </is>
      </c>
      <c r="N342" s="13" t="n">
        <v>16</v>
      </c>
      <c r="O342" s="15">
        <f>IFERROR(INDEX(Venues!$C$2:$C$10,MATCH(M342,Venues!$A$2:$A$10,0)),"Not checked")</f>
        <v/>
      </c>
      <c r="P342" s="15">
        <f>IFERROR(INDEX(Venues!$D$2:$D$10,MATCH(M342,Venues!$A$2:$A$10,0)),0)</f>
        <v/>
      </c>
      <c r="Q342" s="42">
        <f>IFERROR(INDEX(Venues!$E$2:$E$10,MATCH(M342,Venues!$A$2:$A$10,0)),"")</f>
        <v/>
      </c>
      <c r="R342" s="15">
        <f>IF(P342&gt;0,"Yes","No")</f>
        <v/>
      </c>
      <c r="S342" s="13" t="inlineStr">
        <is>
          <t>COLA Shoreditch Park</t>
        </is>
      </c>
      <c r="T342" s="42">
        <f>IFERROR(INDEX(Venues!$E$2:$E$10,MATCH(S342,Venues!$A$2:$A$10,0)),"")</f>
        <v/>
      </c>
      <c r="U342" s="15">
        <f>IFERROR(INDEX(Venues!$F$2:$F$10,MATCH(S342,Venues!$A$2:$A$10,0)),"")</f>
        <v/>
      </c>
      <c r="V342" s="43">
        <f>IFERROR(INDEX(Venues!$H$2:$H$10,MATCH(S342,Venues!$A$2:$A$10,0)),"")</f>
        <v/>
      </c>
      <c r="W342" s="15">
        <f>IF('Pilot offer'!$C$24="Yes",'Pilot offer'!$C$3,S342)</f>
        <v/>
      </c>
      <c r="X342" s="42">
        <f>IF('Pilot offer'!$C$24="Yes",'Pilot offer'!$C$5+'Pilot offer'!$C$6,T342)</f>
        <v/>
      </c>
      <c r="Y342" s="15">
        <f>IF('Pilot offer'!$C$24="Yes",'Pilot offer'!$C$8,U342)</f>
        <v/>
      </c>
      <c r="Z342" s="43">
        <f>IF('Pilot offer'!$C$24="Yes",'Pilot offer'!$C$11,"")</f>
        <v/>
      </c>
      <c r="AA342" s="15">
        <f>IF(X342="","",W342&amp;" · "&amp;TEXT(X342,"ddd d mmm, hh:mm")&amp;" · "&amp;Y342&amp;IF(Z342&lt;&gt;""," · £"&amp;TEXT(Z342,"0.00")&amp;" per player"," · price TBC (cost £"&amp;TEXT(V342,"0.00")&amp;" pp)"))</f>
        <v/>
      </c>
      <c r="AD342" s="44" t="n"/>
    </row>
    <row r="343">
      <c r="A343" s="13" t="n">
        <v>341</v>
      </c>
      <c r="B343" s="13" t="inlineStr">
        <is>
          <t>2 · N1 Hoxton</t>
        </is>
      </c>
      <c r="C343" s="13" t="inlineStr">
        <is>
          <t>Retail</t>
        </is>
      </c>
      <c r="D343" s="13" t="inlineStr">
        <is>
          <t>Local businesses</t>
        </is>
      </c>
      <c r="E343" s="13" t="inlineStr">
        <is>
          <t>David Scotcher Interiors</t>
        </is>
      </c>
      <c r="F343" s="13" t="inlineStr">
        <is>
          <t>shop: interior decoration</t>
        </is>
      </c>
      <c r="G343" s="13" t="inlineStr">
        <is>
          <t>info@davidscotcher.co.uk</t>
        </is>
      </c>
      <c r="H343" s="13" t="inlineStr">
        <is>
          <t>openstreetmap_tag</t>
        </is>
      </c>
      <c r="I343" s="13" t="inlineStr">
        <is>
          <t>+44 20 7354 4111</t>
        </is>
      </c>
      <c r="J343" s="14" t="inlineStr">
        <is>
          <t>https://www.davidscotcher.co.uk/</t>
        </is>
      </c>
      <c r="K343" s="13" t="inlineStr">
        <is>
          <t>Upper Street 285, London</t>
        </is>
      </c>
      <c r="L343" s="13" t="inlineStr">
        <is>
          <t>N1 2TZ</t>
        </is>
      </c>
      <c r="M343" s="13" t="inlineStr">
        <is>
          <t>Rosemary Gardens 3G - Islington</t>
        </is>
      </c>
      <c r="N343" s="13" t="n">
        <v>16</v>
      </c>
      <c r="O343" s="15">
        <f>IFERROR(INDEX(Venues!$C$2:$C$10,MATCH(M343,Venues!$A$2:$A$10,0)),"Not checked")</f>
        <v/>
      </c>
      <c r="P343" s="15">
        <f>IFERROR(INDEX(Venues!$D$2:$D$10,MATCH(M343,Venues!$A$2:$A$10,0)),0)</f>
        <v/>
      </c>
      <c r="Q343" s="42">
        <f>IFERROR(INDEX(Venues!$E$2:$E$10,MATCH(M343,Venues!$A$2:$A$10,0)),"")</f>
        <v/>
      </c>
      <c r="R343" s="15">
        <f>IF(P343&gt;0,"Yes","No")</f>
        <v/>
      </c>
      <c r="S343" s="13" t="inlineStr">
        <is>
          <t>COLA Shoreditch Park</t>
        </is>
      </c>
      <c r="T343" s="42">
        <f>IFERROR(INDEX(Venues!$E$2:$E$10,MATCH(S343,Venues!$A$2:$A$10,0)),"")</f>
        <v/>
      </c>
      <c r="U343" s="15">
        <f>IFERROR(INDEX(Venues!$F$2:$F$10,MATCH(S343,Venues!$A$2:$A$10,0)),"")</f>
        <v/>
      </c>
      <c r="V343" s="43">
        <f>IFERROR(INDEX(Venues!$H$2:$H$10,MATCH(S343,Venues!$A$2:$A$10,0)),"")</f>
        <v/>
      </c>
      <c r="W343" s="15">
        <f>IF('Pilot offer'!$C$24="Yes",'Pilot offer'!$C$3,S343)</f>
        <v/>
      </c>
      <c r="X343" s="42">
        <f>IF('Pilot offer'!$C$24="Yes",'Pilot offer'!$C$5+'Pilot offer'!$C$6,T343)</f>
        <v/>
      </c>
      <c r="Y343" s="15">
        <f>IF('Pilot offer'!$C$24="Yes",'Pilot offer'!$C$8,U343)</f>
        <v/>
      </c>
      <c r="Z343" s="43">
        <f>IF('Pilot offer'!$C$24="Yes",'Pilot offer'!$C$11,"")</f>
        <v/>
      </c>
      <c r="AA343" s="15">
        <f>IF(X343="","",W343&amp;" · "&amp;TEXT(X343,"ddd d mmm, hh:mm")&amp;" · "&amp;Y343&amp;IF(Z343&lt;&gt;""," · £"&amp;TEXT(Z343,"0.00")&amp;" per player"," · price TBC (cost £"&amp;TEXT(V343,"0.00")&amp;" pp)"))</f>
        <v/>
      </c>
      <c r="AD343" s="44" t="n"/>
    </row>
    <row r="344">
      <c r="A344" s="13" t="n">
        <v>342</v>
      </c>
      <c r="B344" s="13" t="inlineStr">
        <is>
          <t>2 · N1 Hoxton</t>
        </is>
      </c>
      <c r="C344" s="13" t="inlineStr">
        <is>
          <t>Leisure &amp; culture</t>
        </is>
      </c>
      <c r="D344" s="13" t="inlineStr">
        <is>
          <t>Local businesses</t>
        </is>
      </c>
      <c r="E344" s="13" t="inlineStr">
        <is>
          <t>New Unity @Upper Street</t>
        </is>
      </c>
      <c r="F344" s="13" t="inlineStr">
        <is>
          <t>amenity: community centre</t>
        </is>
      </c>
      <c r="G344" s="13" t="inlineStr">
        <is>
          <t>info@new-unity.org</t>
        </is>
      </c>
      <c r="H344" s="13" t="inlineStr">
        <is>
          <t>general</t>
        </is>
      </c>
      <c r="I344" s="13" t="n"/>
      <c r="J344" s="14" t="inlineStr">
        <is>
          <t>https://www.new-unity.org/</t>
        </is>
      </c>
      <c r="K344" s="13" t="inlineStr">
        <is>
          <t>Upper Street 277A, London</t>
        </is>
      </c>
      <c r="L344" s="13" t="inlineStr">
        <is>
          <t>N1 2TZ</t>
        </is>
      </c>
      <c r="M344" s="13" t="inlineStr">
        <is>
          <t>Rosemary Gardens 3G - Islington</t>
        </is>
      </c>
      <c r="N344" s="13" t="n">
        <v>16</v>
      </c>
      <c r="O344" s="15">
        <f>IFERROR(INDEX(Venues!$C$2:$C$10,MATCH(M344,Venues!$A$2:$A$10,0)),"Not checked")</f>
        <v/>
      </c>
      <c r="P344" s="15">
        <f>IFERROR(INDEX(Venues!$D$2:$D$10,MATCH(M344,Venues!$A$2:$A$10,0)),0)</f>
        <v/>
      </c>
      <c r="Q344" s="42">
        <f>IFERROR(INDEX(Venues!$E$2:$E$10,MATCH(M344,Venues!$A$2:$A$10,0)),"")</f>
        <v/>
      </c>
      <c r="R344" s="15">
        <f>IF(P344&gt;0,"Yes","No")</f>
        <v/>
      </c>
      <c r="S344" s="13" t="inlineStr">
        <is>
          <t>COLA Shoreditch Park</t>
        </is>
      </c>
      <c r="T344" s="42">
        <f>IFERROR(INDEX(Venues!$E$2:$E$10,MATCH(S344,Venues!$A$2:$A$10,0)),"")</f>
        <v/>
      </c>
      <c r="U344" s="15">
        <f>IFERROR(INDEX(Venues!$F$2:$F$10,MATCH(S344,Venues!$A$2:$A$10,0)),"")</f>
        <v/>
      </c>
      <c r="V344" s="43">
        <f>IFERROR(INDEX(Venues!$H$2:$H$10,MATCH(S344,Venues!$A$2:$A$10,0)),"")</f>
        <v/>
      </c>
      <c r="W344" s="15">
        <f>IF('Pilot offer'!$C$24="Yes",'Pilot offer'!$C$3,S344)</f>
        <v/>
      </c>
      <c r="X344" s="42">
        <f>IF('Pilot offer'!$C$24="Yes",'Pilot offer'!$C$5+'Pilot offer'!$C$6,T344)</f>
        <v/>
      </c>
      <c r="Y344" s="15">
        <f>IF('Pilot offer'!$C$24="Yes",'Pilot offer'!$C$8,U344)</f>
        <v/>
      </c>
      <c r="Z344" s="43">
        <f>IF('Pilot offer'!$C$24="Yes",'Pilot offer'!$C$11,"")</f>
        <v/>
      </c>
      <c r="AA344" s="15">
        <f>IF(X344="","",W344&amp;" · "&amp;TEXT(X344,"ddd d mmm, hh:mm")&amp;" · "&amp;Y344&amp;IF(Z344&lt;&gt;""," · £"&amp;TEXT(Z344,"0.00")&amp;" per player"," · price TBC (cost £"&amp;TEXT(V344,"0.00")&amp;" pp)"))</f>
        <v/>
      </c>
      <c r="AD344" s="44" t="n"/>
    </row>
    <row r="345">
      <c r="A345" s="13" t="n">
        <v>343</v>
      </c>
      <c r="B345" s="13" t="inlineStr">
        <is>
          <t>2 · N1 Hoxton</t>
        </is>
      </c>
      <c r="C345" s="13" t="inlineStr">
        <is>
          <t>Retail</t>
        </is>
      </c>
      <c r="D345" s="13" t="inlineStr">
        <is>
          <t>Local businesses</t>
        </is>
      </c>
      <c r="E345" s="13" t="inlineStr">
        <is>
          <t>The Sampler</t>
        </is>
      </c>
      <c r="F345" s="13" t="inlineStr">
        <is>
          <t>shop: alcohol</t>
        </is>
      </c>
      <c r="G345" s="13" t="inlineStr">
        <is>
          <t>websales@thesampler.co.uk</t>
        </is>
      </c>
      <c r="H345" s="13" t="inlineStr">
        <is>
          <t>person_or_other</t>
        </is>
      </c>
      <c r="I345" s="13" t="n"/>
      <c r="J345" s="14" t="inlineStr">
        <is>
          <t>https://thesampler.co.uk/</t>
        </is>
      </c>
      <c r="K345" s="13" t="inlineStr">
        <is>
          <t>Upper Street 266, London</t>
        </is>
      </c>
      <c r="L345" s="13" t="inlineStr">
        <is>
          <t>N1 2UQ</t>
        </is>
      </c>
      <c r="M345" s="13" t="inlineStr">
        <is>
          <t>Rosemary Gardens 3G - Islington</t>
        </is>
      </c>
      <c r="N345" s="13" t="n">
        <v>18</v>
      </c>
      <c r="O345" s="15">
        <f>IFERROR(INDEX(Venues!$C$2:$C$10,MATCH(M345,Venues!$A$2:$A$10,0)),"Not checked")</f>
        <v/>
      </c>
      <c r="P345" s="15">
        <f>IFERROR(INDEX(Venues!$D$2:$D$10,MATCH(M345,Venues!$A$2:$A$10,0)),0)</f>
        <v/>
      </c>
      <c r="Q345" s="42">
        <f>IFERROR(INDEX(Venues!$E$2:$E$10,MATCH(M345,Venues!$A$2:$A$10,0)),"")</f>
        <v/>
      </c>
      <c r="R345" s="15">
        <f>IF(P345&gt;0,"Yes","No")</f>
        <v/>
      </c>
      <c r="S345" s="13" t="inlineStr">
        <is>
          <t>COLA Shoreditch Park</t>
        </is>
      </c>
      <c r="T345" s="42">
        <f>IFERROR(INDEX(Venues!$E$2:$E$10,MATCH(S345,Venues!$A$2:$A$10,0)),"")</f>
        <v/>
      </c>
      <c r="U345" s="15">
        <f>IFERROR(INDEX(Venues!$F$2:$F$10,MATCH(S345,Venues!$A$2:$A$10,0)),"")</f>
        <v/>
      </c>
      <c r="V345" s="43">
        <f>IFERROR(INDEX(Venues!$H$2:$H$10,MATCH(S345,Venues!$A$2:$A$10,0)),"")</f>
        <v/>
      </c>
      <c r="W345" s="15">
        <f>IF('Pilot offer'!$C$24="Yes",'Pilot offer'!$C$3,S345)</f>
        <v/>
      </c>
      <c r="X345" s="42">
        <f>IF('Pilot offer'!$C$24="Yes",'Pilot offer'!$C$5+'Pilot offer'!$C$6,T345)</f>
        <v/>
      </c>
      <c r="Y345" s="15">
        <f>IF('Pilot offer'!$C$24="Yes",'Pilot offer'!$C$8,U345)</f>
        <v/>
      </c>
      <c r="Z345" s="43">
        <f>IF('Pilot offer'!$C$24="Yes",'Pilot offer'!$C$11,"")</f>
        <v/>
      </c>
      <c r="AA345" s="15">
        <f>IF(X345="","",W345&amp;" · "&amp;TEXT(X345,"ddd d mmm, hh:mm")&amp;" · "&amp;Y345&amp;IF(Z345&lt;&gt;""," · £"&amp;TEXT(Z345,"0.00")&amp;" per player"," · price TBC (cost £"&amp;TEXT(V345,"0.00")&amp;" pp)"))</f>
        <v/>
      </c>
      <c r="AD345" s="44" t="n"/>
    </row>
    <row r="346">
      <c r="A346" s="13" t="n">
        <v>344</v>
      </c>
      <c r="B346" s="13" t="inlineStr">
        <is>
          <t>2 · N1 Hoxton</t>
        </is>
      </c>
      <c r="C346" s="13" t="inlineStr">
        <is>
          <t>Hospitality</t>
        </is>
      </c>
      <c r="D346" s="13" t="inlineStr">
        <is>
          <t>Local businesses</t>
        </is>
      </c>
      <c r="E346" s="13" t="inlineStr">
        <is>
          <t>Noci</t>
        </is>
      </c>
      <c r="F346" s="13" t="inlineStr">
        <is>
          <t>amenity: restaurant</t>
        </is>
      </c>
      <c r="G346" s="13" t="inlineStr">
        <is>
          <t>info@nocirestaurant.co.uk</t>
        </is>
      </c>
      <c r="H346" s="13" t="inlineStr">
        <is>
          <t>general</t>
        </is>
      </c>
      <c r="I346" s="13" t="inlineStr">
        <is>
          <t>+44 20 3540 8252</t>
        </is>
      </c>
      <c r="J346" s="14" t="inlineStr">
        <is>
          <t>https://nocirestaurant.co.uk</t>
        </is>
      </c>
      <c r="K346" s="13" t="inlineStr">
        <is>
          <t>Islington Green 4-6, London</t>
        </is>
      </c>
      <c r="L346" s="13" t="inlineStr">
        <is>
          <t>N1 2XA</t>
        </is>
      </c>
      <c r="M346" s="13" t="inlineStr">
        <is>
          <t>Rosemary Gardens 3G - Islington</t>
        </is>
      </c>
      <c r="N346" s="13" t="n">
        <v>17</v>
      </c>
      <c r="O346" s="15">
        <f>IFERROR(INDEX(Venues!$C$2:$C$10,MATCH(M346,Venues!$A$2:$A$10,0)),"Not checked")</f>
        <v/>
      </c>
      <c r="P346" s="15">
        <f>IFERROR(INDEX(Venues!$D$2:$D$10,MATCH(M346,Venues!$A$2:$A$10,0)),0)</f>
        <v/>
      </c>
      <c r="Q346" s="42">
        <f>IFERROR(INDEX(Venues!$E$2:$E$10,MATCH(M346,Venues!$A$2:$A$10,0)),"")</f>
        <v/>
      </c>
      <c r="R346" s="15">
        <f>IF(P346&gt;0,"Yes","No")</f>
        <v/>
      </c>
      <c r="S346" s="13" t="inlineStr">
        <is>
          <t>COLA Shoreditch Park</t>
        </is>
      </c>
      <c r="T346" s="42">
        <f>IFERROR(INDEX(Venues!$E$2:$E$10,MATCH(S346,Venues!$A$2:$A$10,0)),"")</f>
        <v/>
      </c>
      <c r="U346" s="15">
        <f>IFERROR(INDEX(Venues!$F$2:$F$10,MATCH(S346,Venues!$A$2:$A$10,0)),"")</f>
        <v/>
      </c>
      <c r="V346" s="43">
        <f>IFERROR(INDEX(Venues!$H$2:$H$10,MATCH(S346,Venues!$A$2:$A$10,0)),"")</f>
        <v/>
      </c>
      <c r="W346" s="15">
        <f>IF('Pilot offer'!$C$24="Yes",'Pilot offer'!$C$3,S346)</f>
        <v/>
      </c>
      <c r="X346" s="42">
        <f>IF('Pilot offer'!$C$24="Yes",'Pilot offer'!$C$5+'Pilot offer'!$C$6,T346)</f>
        <v/>
      </c>
      <c r="Y346" s="15">
        <f>IF('Pilot offer'!$C$24="Yes",'Pilot offer'!$C$8,U346)</f>
        <v/>
      </c>
      <c r="Z346" s="43">
        <f>IF('Pilot offer'!$C$24="Yes",'Pilot offer'!$C$11,"")</f>
        <v/>
      </c>
      <c r="AA346" s="15">
        <f>IF(X346="","",W346&amp;" · "&amp;TEXT(X346,"ddd d mmm, hh:mm")&amp;" · "&amp;Y346&amp;IF(Z346&lt;&gt;""," · £"&amp;TEXT(Z346,"0.00")&amp;" per player"," · price TBC (cost £"&amp;TEXT(V346,"0.00")&amp;" pp)"))</f>
        <v/>
      </c>
      <c r="AD346" s="44" t="n"/>
    </row>
    <row r="347">
      <c r="A347" s="13" t="n">
        <v>345</v>
      </c>
      <c r="B347" s="13" t="inlineStr">
        <is>
          <t>2 · N1 Hoxton</t>
        </is>
      </c>
      <c r="C347" s="13" t="inlineStr">
        <is>
          <t>Hospitality</t>
        </is>
      </c>
      <c r="D347" s="13" t="inlineStr">
        <is>
          <t>Local businesses</t>
        </is>
      </c>
      <c r="E347" s="13" t="inlineStr">
        <is>
          <t>Goodbye Horses</t>
        </is>
      </c>
      <c r="F347" s="13" t="inlineStr">
        <is>
          <t>amenity: restaurant</t>
        </is>
      </c>
      <c r="G347" s="13" t="inlineStr">
        <is>
          <t>hello@goodbyehorses.london</t>
        </is>
      </c>
      <c r="H347" s="13" t="inlineStr">
        <is>
          <t>general</t>
        </is>
      </c>
      <c r="I347" s="13" t="n"/>
      <c r="J347" s="14" t="inlineStr">
        <is>
          <t>http://goodbyehorses.london</t>
        </is>
      </c>
      <c r="K347" s="13" t="inlineStr">
        <is>
          <t>Halliford Street 21, London</t>
        </is>
      </c>
      <c r="L347" s="13" t="inlineStr">
        <is>
          <t>N1 3HB</t>
        </is>
      </c>
      <c r="M347" s="13" t="inlineStr">
        <is>
          <t>Rosemary Gardens 3G - Islington</t>
        </is>
      </c>
      <c r="N347" s="13" t="n">
        <v>4</v>
      </c>
      <c r="O347" s="15">
        <f>IFERROR(INDEX(Venues!$C$2:$C$10,MATCH(M347,Venues!$A$2:$A$10,0)),"Not checked")</f>
        <v/>
      </c>
      <c r="P347" s="15">
        <f>IFERROR(INDEX(Venues!$D$2:$D$10,MATCH(M347,Venues!$A$2:$A$10,0)),0)</f>
        <v/>
      </c>
      <c r="Q347" s="42">
        <f>IFERROR(INDEX(Venues!$E$2:$E$10,MATCH(M347,Venues!$A$2:$A$10,0)),"")</f>
        <v/>
      </c>
      <c r="R347" s="15">
        <f>IF(P347&gt;0,"Yes","No")</f>
        <v/>
      </c>
      <c r="S347" s="13" t="inlineStr">
        <is>
          <t>COLA Shoreditch Park</t>
        </is>
      </c>
      <c r="T347" s="42">
        <f>IFERROR(INDEX(Venues!$E$2:$E$10,MATCH(S347,Venues!$A$2:$A$10,0)),"")</f>
        <v/>
      </c>
      <c r="U347" s="15">
        <f>IFERROR(INDEX(Venues!$F$2:$F$10,MATCH(S347,Venues!$A$2:$A$10,0)),"")</f>
        <v/>
      </c>
      <c r="V347" s="43">
        <f>IFERROR(INDEX(Venues!$H$2:$H$10,MATCH(S347,Venues!$A$2:$A$10,0)),"")</f>
        <v/>
      </c>
      <c r="W347" s="15">
        <f>IF('Pilot offer'!$C$24="Yes",'Pilot offer'!$C$3,S347)</f>
        <v/>
      </c>
      <c r="X347" s="42">
        <f>IF('Pilot offer'!$C$24="Yes",'Pilot offer'!$C$5+'Pilot offer'!$C$6,T347)</f>
        <v/>
      </c>
      <c r="Y347" s="15">
        <f>IF('Pilot offer'!$C$24="Yes",'Pilot offer'!$C$8,U347)</f>
        <v/>
      </c>
      <c r="Z347" s="43">
        <f>IF('Pilot offer'!$C$24="Yes",'Pilot offer'!$C$11,"")</f>
        <v/>
      </c>
      <c r="AA347" s="15">
        <f>IF(X347="","",W347&amp;" · "&amp;TEXT(X347,"ddd d mmm, hh:mm")&amp;" · "&amp;Y347&amp;IF(Z347&lt;&gt;""," · £"&amp;TEXT(Z347,"0.00")&amp;" per player"," · price TBC (cost £"&amp;TEXT(V347,"0.00")&amp;" pp)"))</f>
        <v/>
      </c>
      <c r="AD347" s="44" t="n"/>
    </row>
    <row r="348">
      <c r="A348" s="13" t="n">
        <v>346</v>
      </c>
      <c r="B348" s="13" t="inlineStr">
        <is>
          <t>2 · N1 Hoxton</t>
        </is>
      </c>
      <c r="C348" s="13" t="inlineStr">
        <is>
          <t>Retail</t>
        </is>
      </c>
      <c r="D348" s="13" t="inlineStr">
        <is>
          <t>Local businesses</t>
        </is>
      </c>
      <c r="E348" s="13" t="inlineStr">
        <is>
          <t>The De Beauvoir Deli</t>
        </is>
      </c>
      <c r="F348" s="13" t="inlineStr">
        <is>
          <t>shop: deli</t>
        </is>
      </c>
      <c r="G348" s="13" t="inlineStr">
        <is>
          <t>info@thedebeauvoirdeli.co.uk</t>
        </is>
      </c>
      <c r="H348" s="13" t="inlineStr">
        <is>
          <t>general</t>
        </is>
      </c>
      <c r="I348" s="13" t="inlineStr">
        <is>
          <t>+44 20 7249 4321</t>
        </is>
      </c>
      <c r="J348" s="14" t="inlineStr">
        <is>
          <t>https://thedebeauvoirdeli.co.uk/</t>
        </is>
      </c>
      <c r="K348" s="13" t="inlineStr">
        <is>
          <t>Southgate Road 98, London</t>
        </is>
      </c>
      <c r="L348" s="13" t="inlineStr">
        <is>
          <t>N1 3JD</t>
        </is>
      </c>
      <c r="M348" s="13" t="inlineStr">
        <is>
          <t>Rosemary Gardens 3G - Islington</t>
        </is>
      </c>
      <c r="N348" s="13" t="n">
        <v>6</v>
      </c>
      <c r="O348" s="15">
        <f>IFERROR(INDEX(Venues!$C$2:$C$10,MATCH(M348,Venues!$A$2:$A$10,0)),"Not checked")</f>
        <v/>
      </c>
      <c r="P348" s="15">
        <f>IFERROR(INDEX(Venues!$D$2:$D$10,MATCH(M348,Venues!$A$2:$A$10,0)),0)</f>
        <v/>
      </c>
      <c r="Q348" s="42">
        <f>IFERROR(INDEX(Venues!$E$2:$E$10,MATCH(M348,Venues!$A$2:$A$10,0)),"")</f>
        <v/>
      </c>
      <c r="R348" s="15">
        <f>IF(P348&gt;0,"Yes","No")</f>
        <v/>
      </c>
      <c r="S348" s="13" t="inlineStr">
        <is>
          <t>COLA Shoreditch Park</t>
        </is>
      </c>
      <c r="T348" s="42">
        <f>IFERROR(INDEX(Venues!$E$2:$E$10,MATCH(S348,Venues!$A$2:$A$10,0)),"")</f>
        <v/>
      </c>
      <c r="U348" s="15">
        <f>IFERROR(INDEX(Venues!$F$2:$F$10,MATCH(S348,Venues!$A$2:$A$10,0)),"")</f>
        <v/>
      </c>
      <c r="V348" s="43">
        <f>IFERROR(INDEX(Venues!$H$2:$H$10,MATCH(S348,Venues!$A$2:$A$10,0)),"")</f>
        <v/>
      </c>
      <c r="W348" s="15">
        <f>IF('Pilot offer'!$C$24="Yes",'Pilot offer'!$C$3,S348)</f>
        <v/>
      </c>
      <c r="X348" s="42">
        <f>IF('Pilot offer'!$C$24="Yes",'Pilot offer'!$C$5+'Pilot offer'!$C$6,T348)</f>
        <v/>
      </c>
      <c r="Y348" s="15">
        <f>IF('Pilot offer'!$C$24="Yes",'Pilot offer'!$C$8,U348)</f>
        <v/>
      </c>
      <c r="Z348" s="43">
        <f>IF('Pilot offer'!$C$24="Yes",'Pilot offer'!$C$11,"")</f>
        <v/>
      </c>
      <c r="AA348" s="15">
        <f>IF(X348="","",W348&amp;" · "&amp;TEXT(X348,"ddd d mmm, hh:mm")&amp;" · "&amp;Y348&amp;IF(Z348&lt;&gt;""," · £"&amp;TEXT(Z348,"0.00")&amp;" per player"," · price TBC (cost £"&amp;TEXT(V348,"0.00")&amp;" pp)"))</f>
        <v/>
      </c>
      <c r="AD348" s="44" t="n"/>
    </row>
    <row r="349">
      <c r="A349" s="13" t="n">
        <v>347</v>
      </c>
      <c r="B349" s="13" t="inlineStr">
        <is>
          <t>2 · N1 Hoxton</t>
        </is>
      </c>
      <c r="C349" s="13" t="inlineStr">
        <is>
          <t>Hospitality</t>
        </is>
      </c>
      <c r="D349" s="13" t="inlineStr">
        <is>
          <t>Local businesses</t>
        </is>
      </c>
      <c r="E349" s="13" t="inlineStr">
        <is>
          <t>The De Beauvoir Arms</t>
        </is>
      </c>
      <c r="F349" s="13" t="inlineStr">
        <is>
          <t>amenity: pub</t>
        </is>
      </c>
      <c r="G349" s="13" t="inlineStr">
        <is>
          <t>info@debeauvoirarms.com</t>
        </is>
      </c>
      <c r="H349" s="13" t="inlineStr">
        <is>
          <t>general</t>
        </is>
      </c>
      <c r="I349" s="13" t="inlineStr">
        <is>
          <t>+44 20 7359 7392</t>
        </is>
      </c>
      <c r="J349" s="14" t="inlineStr">
        <is>
          <t>https://www.debeauvoirarms.com/</t>
        </is>
      </c>
      <c r="K349" s="13" t="inlineStr">
        <is>
          <t>Southgate Road 113, London</t>
        </is>
      </c>
      <c r="L349" s="13" t="inlineStr">
        <is>
          <t>N1 3JS</t>
        </is>
      </c>
      <c r="M349" s="13" t="inlineStr">
        <is>
          <t>Rosemary Gardens 3G - Islington</t>
        </is>
      </c>
      <c r="N349" s="13" t="n">
        <v>6</v>
      </c>
      <c r="O349" s="15">
        <f>IFERROR(INDEX(Venues!$C$2:$C$10,MATCH(M349,Venues!$A$2:$A$10,0)),"Not checked")</f>
        <v/>
      </c>
      <c r="P349" s="15">
        <f>IFERROR(INDEX(Venues!$D$2:$D$10,MATCH(M349,Venues!$A$2:$A$10,0)),0)</f>
        <v/>
      </c>
      <c r="Q349" s="42">
        <f>IFERROR(INDEX(Venues!$E$2:$E$10,MATCH(M349,Venues!$A$2:$A$10,0)),"")</f>
        <v/>
      </c>
      <c r="R349" s="15">
        <f>IF(P349&gt;0,"Yes","No")</f>
        <v/>
      </c>
      <c r="S349" s="13" t="inlineStr">
        <is>
          <t>COLA Shoreditch Park</t>
        </is>
      </c>
      <c r="T349" s="42">
        <f>IFERROR(INDEX(Venues!$E$2:$E$10,MATCH(S349,Venues!$A$2:$A$10,0)),"")</f>
        <v/>
      </c>
      <c r="U349" s="15">
        <f>IFERROR(INDEX(Venues!$F$2:$F$10,MATCH(S349,Venues!$A$2:$A$10,0)),"")</f>
        <v/>
      </c>
      <c r="V349" s="43">
        <f>IFERROR(INDEX(Venues!$H$2:$H$10,MATCH(S349,Venues!$A$2:$A$10,0)),"")</f>
        <v/>
      </c>
      <c r="W349" s="15">
        <f>IF('Pilot offer'!$C$24="Yes",'Pilot offer'!$C$3,S349)</f>
        <v/>
      </c>
      <c r="X349" s="42">
        <f>IF('Pilot offer'!$C$24="Yes",'Pilot offer'!$C$5+'Pilot offer'!$C$6,T349)</f>
        <v/>
      </c>
      <c r="Y349" s="15">
        <f>IF('Pilot offer'!$C$24="Yes",'Pilot offer'!$C$8,U349)</f>
        <v/>
      </c>
      <c r="Z349" s="43">
        <f>IF('Pilot offer'!$C$24="Yes",'Pilot offer'!$C$11,"")</f>
        <v/>
      </c>
      <c r="AA349" s="15">
        <f>IF(X349="","",W349&amp;" · "&amp;TEXT(X349,"ddd d mmm, hh:mm")&amp;" · "&amp;Y349&amp;IF(Z349&lt;&gt;""," · £"&amp;TEXT(Z349,"0.00")&amp;" per player"," · price TBC (cost £"&amp;TEXT(V349,"0.00")&amp;" pp)"))</f>
        <v/>
      </c>
      <c r="AD349" s="44" t="n"/>
    </row>
    <row r="350">
      <c r="A350" s="13" t="n">
        <v>348</v>
      </c>
      <c r="B350" s="13" t="inlineStr">
        <is>
          <t>2 · N1 Hoxton</t>
        </is>
      </c>
      <c r="C350" s="13" t="inlineStr">
        <is>
          <t>Hospitality</t>
        </is>
      </c>
      <c r="D350" s="13" t="inlineStr">
        <is>
          <t>Local businesses</t>
        </is>
      </c>
      <c r="E350" s="13" t="inlineStr">
        <is>
          <t>The Brave</t>
        </is>
      </c>
      <c r="F350" s="13" t="inlineStr">
        <is>
          <t>amenity: pub</t>
        </is>
      </c>
      <c r="G350" s="13" t="inlineStr">
        <is>
          <t>info@thebravelondon.co.uk</t>
        </is>
      </c>
      <c r="H350" s="13" t="inlineStr">
        <is>
          <t>general</t>
        </is>
      </c>
      <c r="I350" s="13" t="n"/>
      <c r="J350" s="14" t="inlineStr">
        <is>
          <t>https://www.thebravelondon.co.uk/</t>
        </is>
      </c>
      <c r="K350" s="13" t="inlineStr">
        <is>
          <t>Essex Road 340-342, London</t>
        </is>
      </c>
      <c r="L350" s="13" t="inlineStr">
        <is>
          <t>N1 3PB</t>
        </is>
      </c>
      <c r="M350" s="13" t="inlineStr">
        <is>
          <t>Rosemary Gardens 3G - Islington</t>
        </is>
      </c>
      <c r="N350" s="13" t="n">
        <v>9</v>
      </c>
      <c r="O350" s="15">
        <f>IFERROR(INDEX(Venues!$C$2:$C$10,MATCH(M350,Venues!$A$2:$A$10,0)),"Not checked")</f>
        <v/>
      </c>
      <c r="P350" s="15">
        <f>IFERROR(INDEX(Venues!$D$2:$D$10,MATCH(M350,Venues!$A$2:$A$10,0)),0)</f>
        <v/>
      </c>
      <c r="Q350" s="42">
        <f>IFERROR(INDEX(Venues!$E$2:$E$10,MATCH(M350,Venues!$A$2:$A$10,0)),"")</f>
        <v/>
      </c>
      <c r="R350" s="15">
        <f>IF(P350&gt;0,"Yes","No")</f>
        <v/>
      </c>
      <c r="S350" s="13" t="inlineStr">
        <is>
          <t>COLA Shoreditch Park</t>
        </is>
      </c>
      <c r="T350" s="42">
        <f>IFERROR(INDEX(Venues!$E$2:$E$10,MATCH(S350,Venues!$A$2:$A$10,0)),"")</f>
        <v/>
      </c>
      <c r="U350" s="15">
        <f>IFERROR(INDEX(Venues!$F$2:$F$10,MATCH(S350,Venues!$A$2:$A$10,0)),"")</f>
        <v/>
      </c>
      <c r="V350" s="43">
        <f>IFERROR(INDEX(Venues!$H$2:$H$10,MATCH(S350,Venues!$A$2:$A$10,0)),"")</f>
        <v/>
      </c>
      <c r="W350" s="15">
        <f>IF('Pilot offer'!$C$24="Yes",'Pilot offer'!$C$3,S350)</f>
        <v/>
      </c>
      <c r="X350" s="42">
        <f>IF('Pilot offer'!$C$24="Yes",'Pilot offer'!$C$5+'Pilot offer'!$C$6,T350)</f>
        <v/>
      </c>
      <c r="Y350" s="15">
        <f>IF('Pilot offer'!$C$24="Yes",'Pilot offer'!$C$8,U350)</f>
        <v/>
      </c>
      <c r="Z350" s="43">
        <f>IF('Pilot offer'!$C$24="Yes",'Pilot offer'!$C$11,"")</f>
        <v/>
      </c>
      <c r="AA350" s="15">
        <f>IF(X350="","",W350&amp;" · "&amp;TEXT(X350,"ddd d mmm, hh:mm")&amp;" · "&amp;Y350&amp;IF(Z350&lt;&gt;""," · £"&amp;TEXT(Z350,"0.00")&amp;" per player"," · price TBC (cost £"&amp;TEXT(V350,"0.00")&amp;" pp)"))</f>
        <v/>
      </c>
      <c r="AD350" s="44" t="n"/>
    </row>
    <row r="351">
      <c r="A351" s="13" t="n">
        <v>349</v>
      </c>
      <c r="B351" s="13" t="inlineStr">
        <is>
          <t>2 · N1 Hoxton</t>
        </is>
      </c>
      <c r="C351" s="13" t="inlineStr">
        <is>
          <t>Hospitality</t>
        </is>
      </c>
      <c r="D351" s="13" t="inlineStr">
        <is>
          <t>Local businesses</t>
        </is>
      </c>
      <c r="E351" s="13" t="inlineStr">
        <is>
          <t>Trade</t>
        </is>
      </c>
      <c r="F351" s="13" t="inlineStr">
        <is>
          <t>amenity: cafe</t>
        </is>
      </c>
      <c r="G351" s="13" t="inlineStr">
        <is>
          <t>essexroad@trade-made.co.uk</t>
        </is>
      </c>
      <c r="H351" s="13" t="inlineStr">
        <is>
          <t>openstreetmap_tag</t>
        </is>
      </c>
      <c r="I351" s="13" t="inlineStr">
        <is>
          <t>+44 20 3490 1880</t>
        </is>
      </c>
      <c r="J351" s="14" t="inlineStr">
        <is>
          <t>https://www.trade-made.co.uk</t>
        </is>
      </c>
      <c r="K351" s="13" t="inlineStr">
        <is>
          <t>Essex Road 330, London</t>
        </is>
      </c>
      <c r="L351" s="13" t="inlineStr">
        <is>
          <t>N1 3PB</t>
        </is>
      </c>
      <c r="M351" s="13" t="inlineStr">
        <is>
          <t>Rosemary Gardens 3G - Islington</t>
        </is>
      </c>
      <c r="N351" s="13" t="n">
        <v>9</v>
      </c>
      <c r="O351" s="15">
        <f>IFERROR(INDEX(Venues!$C$2:$C$10,MATCH(M351,Venues!$A$2:$A$10,0)),"Not checked")</f>
        <v/>
      </c>
      <c r="P351" s="15">
        <f>IFERROR(INDEX(Venues!$D$2:$D$10,MATCH(M351,Venues!$A$2:$A$10,0)),0)</f>
        <v/>
      </c>
      <c r="Q351" s="42">
        <f>IFERROR(INDEX(Venues!$E$2:$E$10,MATCH(M351,Venues!$A$2:$A$10,0)),"")</f>
        <v/>
      </c>
      <c r="R351" s="15">
        <f>IF(P351&gt;0,"Yes","No")</f>
        <v/>
      </c>
      <c r="S351" s="13" t="inlineStr">
        <is>
          <t>COLA Shoreditch Park</t>
        </is>
      </c>
      <c r="T351" s="42">
        <f>IFERROR(INDEX(Venues!$E$2:$E$10,MATCH(S351,Venues!$A$2:$A$10,0)),"")</f>
        <v/>
      </c>
      <c r="U351" s="15">
        <f>IFERROR(INDEX(Venues!$F$2:$F$10,MATCH(S351,Venues!$A$2:$A$10,0)),"")</f>
        <v/>
      </c>
      <c r="V351" s="43">
        <f>IFERROR(INDEX(Venues!$H$2:$H$10,MATCH(S351,Venues!$A$2:$A$10,0)),"")</f>
        <v/>
      </c>
      <c r="W351" s="15">
        <f>IF('Pilot offer'!$C$24="Yes",'Pilot offer'!$C$3,S351)</f>
        <v/>
      </c>
      <c r="X351" s="42">
        <f>IF('Pilot offer'!$C$24="Yes",'Pilot offer'!$C$5+'Pilot offer'!$C$6,T351)</f>
        <v/>
      </c>
      <c r="Y351" s="15">
        <f>IF('Pilot offer'!$C$24="Yes",'Pilot offer'!$C$8,U351)</f>
        <v/>
      </c>
      <c r="Z351" s="43">
        <f>IF('Pilot offer'!$C$24="Yes",'Pilot offer'!$C$11,"")</f>
        <v/>
      </c>
      <c r="AA351" s="15">
        <f>IF(X351="","",W351&amp;" · "&amp;TEXT(X351,"ddd d mmm, hh:mm")&amp;" · "&amp;Y351&amp;IF(Z351&lt;&gt;""," · £"&amp;TEXT(Z351,"0.00")&amp;" per player"," · price TBC (cost £"&amp;TEXT(V351,"0.00")&amp;" pp)"))</f>
        <v/>
      </c>
      <c r="AD351" s="44" t="n"/>
    </row>
    <row r="352">
      <c r="A352" s="13" t="n">
        <v>350</v>
      </c>
      <c r="B352" s="13" t="inlineStr">
        <is>
          <t>2 · N1 Hoxton</t>
        </is>
      </c>
      <c r="C352" s="13" t="inlineStr">
        <is>
          <t>Hospitality</t>
        </is>
      </c>
      <c r="D352" s="13" t="inlineStr">
        <is>
          <t>Local businesses</t>
        </is>
      </c>
      <c r="E352" s="13" t="inlineStr">
        <is>
          <t>Sutton and Sons</t>
        </is>
      </c>
      <c r="F352" s="13" t="inlineStr">
        <is>
          <t>amenity: fast food</t>
        </is>
      </c>
      <c r="G352" s="13" t="inlineStr">
        <is>
          <t>islington@suttonandsons.co.uk</t>
        </is>
      </c>
      <c r="H352" s="13" t="inlineStr">
        <is>
          <t>openstreetmap_tag</t>
        </is>
      </c>
      <c r="I352" s="13" t="inlineStr">
        <is>
          <t>+44 20 7359 1210</t>
        </is>
      </c>
      <c r="J352" s="14" t="inlineStr">
        <is>
          <t>http://www.suttonandsons.co.uk/</t>
        </is>
      </c>
      <c r="K352" s="13" t="inlineStr">
        <is>
          <t>Essex Road 356, London</t>
        </is>
      </c>
      <c r="L352" s="13" t="inlineStr">
        <is>
          <t>N1 3PD</t>
        </is>
      </c>
      <c r="M352" s="13" t="inlineStr">
        <is>
          <t>Rosemary Gardens 3G - Islington</t>
        </is>
      </c>
      <c r="N352" s="13" t="n">
        <v>10</v>
      </c>
      <c r="O352" s="15">
        <f>IFERROR(INDEX(Venues!$C$2:$C$10,MATCH(M352,Venues!$A$2:$A$10,0)),"Not checked")</f>
        <v/>
      </c>
      <c r="P352" s="15">
        <f>IFERROR(INDEX(Venues!$D$2:$D$10,MATCH(M352,Venues!$A$2:$A$10,0)),0)</f>
        <v/>
      </c>
      <c r="Q352" s="42">
        <f>IFERROR(INDEX(Venues!$E$2:$E$10,MATCH(M352,Venues!$A$2:$A$10,0)),"")</f>
        <v/>
      </c>
      <c r="R352" s="15">
        <f>IF(P352&gt;0,"Yes","No")</f>
        <v/>
      </c>
      <c r="S352" s="13" t="inlineStr">
        <is>
          <t>COLA Shoreditch Park</t>
        </is>
      </c>
      <c r="T352" s="42">
        <f>IFERROR(INDEX(Venues!$E$2:$E$10,MATCH(S352,Venues!$A$2:$A$10,0)),"")</f>
        <v/>
      </c>
      <c r="U352" s="15">
        <f>IFERROR(INDEX(Venues!$F$2:$F$10,MATCH(S352,Venues!$A$2:$A$10,0)),"")</f>
        <v/>
      </c>
      <c r="V352" s="43">
        <f>IFERROR(INDEX(Venues!$H$2:$H$10,MATCH(S352,Venues!$A$2:$A$10,0)),"")</f>
        <v/>
      </c>
      <c r="W352" s="15">
        <f>IF('Pilot offer'!$C$24="Yes",'Pilot offer'!$C$3,S352)</f>
        <v/>
      </c>
      <c r="X352" s="42">
        <f>IF('Pilot offer'!$C$24="Yes",'Pilot offer'!$C$5+'Pilot offer'!$C$6,T352)</f>
        <v/>
      </c>
      <c r="Y352" s="15">
        <f>IF('Pilot offer'!$C$24="Yes",'Pilot offer'!$C$8,U352)</f>
        <v/>
      </c>
      <c r="Z352" s="43">
        <f>IF('Pilot offer'!$C$24="Yes",'Pilot offer'!$C$11,"")</f>
        <v/>
      </c>
      <c r="AA352" s="15">
        <f>IF(X352="","",W352&amp;" · "&amp;TEXT(X352,"ddd d mmm, hh:mm")&amp;" · "&amp;Y352&amp;IF(Z352&lt;&gt;""," · £"&amp;TEXT(Z352,"0.00")&amp;" per player"," · price TBC (cost £"&amp;TEXT(V352,"0.00")&amp;" pp)"))</f>
        <v/>
      </c>
      <c r="AD352" s="44" t="n"/>
    </row>
    <row r="353">
      <c r="A353" s="13" t="n">
        <v>351</v>
      </c>
      <c r="B353" s="13" t="inlineStr">
        <is>
          <t>2 · N1 Hoxton</t>
        </is>
      </c>
      <c r="C353" s="13" t="inlineStr">
        <is>
          <t>Retail</t>
        </is>
      </c>
      <c r="D353" s="13" t="inlineStr">
        <is>
          <t>Local businesses</t>
        </is>
      </c>
      <c r="E353" s="13" t="inlineStr">
        <is>
          <t>Lestro Cycles</t>
        </is>
      </c>
      <c r="F353" s="13" t="inlineStr">
        <is>
          <t>shop: bicycle</t>
        </is>
      </c>
      <c r="G353" s="13" t="inlineStr">
        <is>
          <t>info@lestrocycles.co.uk</t>
        </is>
      </c>
      <c r="H353" s="13" t="inlineStr">
        <is>
          <t>general</t>
        </is>
      </c>
      <c r="I353" s="13" t="n"/>
      <c r="J353" s="14" t="inlineStr">
        <is>
          <t>https://www.lestrocycles.co.uk</t>
        </is>
      </c>
      <c r="K353" s="13" t="inlineStr">
        <is>
          <t>Balls Pond Road 144, London</t>
        </is>
      </c>
      <c r="L353" s="13" t="inlineStr">
        <is>
          <t>N1 4AD</t>
        </is>
      </c>
      <c r="M353" s="13" t="inlineStr">
        <is>
          <t>Rosemary Gardens 3G - Islington</t>
        </is>
      </c>
      <c r="N353" s="13" t="n">
        <v>14</v>
      </c>
      <c r="O353" s="15">
        <f>IFERROR(INDEX(Venues!$C$2:$C$10,MATCH(M353,Venues!$A$2:$A$10,0)),"Not checked")</f>
        <v/>
      </c>
      <c r="P353" s="15">
        <f>IFERROR(INDEX(Venues!$D$2:$D$10,MATCH(M353,Venues!$A$2:$A$10,0)),0)</f>
        <v/>
      </c>
      <c r="Q353" s="42">
        <f>IFERROR(INDEX(Venues!$E$2:$E$10,MATCH(M353,Venues!$A$2:$A$10,0)),"")</f>
        <v/>
      </c>
      <c r="R353" s="15">
        <f>IF(P353&gt;0,"Yes","No")</f>
        <v/>
      </c>
      <c r="S353" s="13" t="inlineStr">
        <is>
          <t>COLA Shoreditch Park</t>
        </is>
      </c>
      <c r="T353" s="42">
        <f>IFERROR(INDEX(Venues!$E$2:$E$10,MATCH(S353,Venues!$A$2:$A$10,0)),"")</f>
        <v/>
      </c>
      <c r="U353" s="15">
        <f>IFERROR(INDEX(Venues!$F$2:$F$10,MATCH(S353,Venues!$A$2:$A$10,0)),"")</f>
        <v/>
      </c>
      <c r="V353" s="43">
        <f>IFERROR(INDEX(Venues!$H$2:$H$10,MATCH(S353,Venues!$A$2:$A$10,0)),"")</f>
        <v/>
      </c>
      <c r="W353" s="15">
        <f>IF('Pilot offer'!$C$24="Yes",'Pilot offer'!$C$3,S353)</f>
        <v/>
      </c>
      <c r="X353" s="42">
        <f>IF('Pilot offer'!$C$24="Yes",'Pilot offer'!$C$5+'Pilot offer'!$C$6,T353)</f>
        <v/>
      </c>
      <c r="Y353" s="15">
        <f>IF('Pilot offer'!$C$24="Yes",'Pilot offer'!$C$8,U353)</f>
        <v/>
      </c>
      <c r="Z353" s="43">
        <f>IF('Pilot offer'!$C$24="Yes",'Pilot offer'!$C$11,"")</f>
        <v/>
      </c>
      <c r="AA353" s="15">
        <f>IF(X353="","",W353&amp;" · "&amp;TEXT(X353,"ddd d mmm, hh:mm")&amp;" · "&amp;Y353&amp;IF(Z353&lt;&gt;""," · £"&amp;TEXT(Z353,"0.00")&amp;" per player"," · price TBC (cost £"&amp;TEXT(V353,"0.00")&amp;" pp)"))</f>
        <v/>
      </c>
      <c r="AD353" s="44" t="n"/>
    </row>
    <row r="354">
      <c r="A354" s="13" t="n">
        <v>352</v>
      </c>
      <c r="B354" s="13" t="inlineStr">
        <is>
          <t>2 · N1 Hoxton</t>
        </is>
      </c>
      <c r="C354" s="13" t="inlineStr">
        <is>
          <t>Hospitality</t>
        </is>
      </c>
      <c r="D354" s="13" t="inlineStr">
        <is>
          <t>Local businesses</t>
        </is>
      </c>
      <c r="E354" s="13" t="inlineStr">
        <is>
          <t>Ed's Shed</t>
        </is>
      </c>
      <c r="F354" s="13" t="inlineStr">
        <is>
          <t>tourism: guest house</t>
        </is>
      </c>
      <c r="G354" s="13" t="inlineStr">
        <is>
          <t>info@adormo.com</t>
        </is>
      </c>
      <c r="H354" s="13" t="inlineStr">
        <is>
          <t>general</t>
        </is>
      </c>
      <c r="I354" s="13" t="n"/>
      <c r="J354" s="14" t="inlineStr">
        <is>
          <t>http://www.adormo.com/en/Designer-Family-Home-in-Central-London/3781</t>
        </is>
      </c>
      <c r="K354" s="13" t="inlineStr">
        <is>
          <t>De Beauvoir Road 75A, London</t>
        </is>
      </c>
      <c r="L354" s="13" t="inlineStr">
        <is>
          <t>N1 4EL</t>
        </is>
      </c>
      <c r="M354" s="13" t="inlineStr">
        <is>
          <t>Rosemary Gardens 3G - Islington</t>
        </is>
      </c>
      <c r="N354" s="13" t="n">
        <v>9</v>
      </c>
      <c r="O354" s="15">
        <f>IFERROR(INDEX(Venues!$C$2:$C$10,MATCH(M354,Venues!$A$2:$A$10,0)),"Not checked")</f>
        <v/>
      </c>
      <c r="P354" s="15">
        <f>IFERROR(INDEX(Venues!$D$2:$D$10,MATCH(M354,Venues!$A$2:$A$10,0)),0)</f>
        <v/>
      </c>
      <c r="Q354" s="42">
        <f>IFERROR(INDEX(Venues!$E$2:$E$10,MATCH(M354,Venues!$A$2:$A$10,0)),"")</f>
        <v/>
      </c>
      <c r="R354" s="15">
        <f>IF(P354&gt;0,"Yes","No")</f>
        <v/>
      </c>
      <c r="S354" s="13" t="inlineStr">
        <is>
          <t>COLA Shoreditch Park</t>
        </is>
      </c>
      <c r="T354" s="42">
        <f>IFERROR(INDEX(Venues!$E$2:$E$10,MATCH(S354,Venues!$A$2:$A$10,0)),"")</f>
        <v/>
      </c>
      <c r="U354" s="15">
        <f>IFERROR(INDEX(Venues!$F$2:$F$10,MATCH(S354,Venues!$A$2:$A$10,0)),"")</f>
        <v/>
      </c>
      <c r="V354" s="43">
        <f>IFERROR(INDEX(Venues!$H$2:$H$10,MATCH(S354,Venues!$A$2:$A$10,0)),"")</f>
        <v/>
      </c>
      <c r="W354" s="15">
        <f>IF('Pilot offer'!$C$24="Yes",'Pilot offer'!$C$3,S354)</f>
        <v/>
      </c>
      <c r="X354" s="42">
        <f>IF('Pilot offer'!$C$24="Yes",'Pilot offer'!$C$5+'Pilot offer'!$C$6,T354)</f>
        <v/>
      </c>
      <c r="Y354" s="15">
        <f>IF('Pilot offer'!$C$24="Yes",'Pilot offer'!$C$8,U354)</f>
        <v/>
      </c>
      <c r="Z354" s="43">
        <f>IF('Pilot offer'!$C$24="Yes",'Pilot offer'!$C$11,"")</f>
        <v/>
      </c>
      <c r="AA354" s="15">
        <f>IF(X354="","",W354&amp;" · "&amp;TEXT(X354,"ddd d mmm, hh:mm")&amp;" · "&amp;Y354&amp;IF(Z354&lt;&gt;""," · £"&amp;TEXT(Z354,"0.00")&amp;" per player"," · price TBC (cost £"&amp;TEXT(V354,"0.00")&amp;" pp)"))</f>
        <v/>
      </c>
      <c r="AD354" s="44" t="n"/>
    </row>
    <row r="355">
      <c r="A355" s="13" t="n">
        <v>353</v>
      </c>
      <c r="B355" s="13" t="inlineStr">
        <is>
          <t>2 · N1 Hoxton</t>
        </is>
      </c>
      <c r="C355" s="13" t="inlineStr">
        <is>
          <t>Coworking / shared office</t>
        </is>
      </c>
      <c r="D355" s="13" t="inlineStr">
        <is>
          <t>Corporate</t>
        </is>
      </c>
      <c r="E355" s="13" t="inlineStr">
        <is>
          <t>De Beauvoir Block</t>
        </is>
      </c>
      <c r="F355" s="13" t="inlineStr">
        <is>
          <t>coworking</t>
        </is>
      </c>
      <c r="G355" s="13" t="inlineStr">
        <is>
          <t>info@debeauvoirblock.com</t>
        </is>
      </c>
      <c r="H355" s="13" t="inlineStr">
        <is>
          <t>general</t>
        </is>
      </c>
      <c r="I355" s="13" t="n"/>
      <c r="J355" s="14" t="inlineStr">
        <is>
          <t>https://www.debeauvoirblock.com</t>
        </is>
      </c>
      <c r="K355" s="13" t="inlineStr">
        <is>
          <t>92-96 De Beauvoir Road, London</t>
        </is>
      </c>
      <c r="L355" s="13" t="inlineStr">
        <is>
          <t>N1 4EN</t>
        </is>
      </c>
      <c r="M355" s="13" t="inlineStr">
        <is>
          <t>Rosemary Gardens 3G - Islington</t>
        </is>
      </c>
      <c r="N355" s="13" t="n">
        <v>10</v>
      </c>
      <c r="O355" s="15">
        <f>IFERROR(INDEX(Venues!$C$2:$C$10,MATCH(M355,Venues!$A$2:$A$10,0)),"Not checked")</f>
        <v/>
      </c>
      <c r="P355" s="15">
        <f>IFERROR(INDEX(Venues!$D$2:$D$10,MATCH(M355,Venues!$A$2:$A$10,0)),0)</f>
        <v/>
      </c>
      <c r="Q355" s="42">
        <f>IFERROR(INDEX(Venues!$E$2:$E$10,MATCH(M355,Venues!$A$2:$A$10,0)),"")</f>
        <v/>
      </c>
      <c r="R355" s="15">
        <f>IF(P355&gt;0,"Yes","No")</f>
        <v/>
      </c>
      <c r="S355" s="13" t="inlineStr">
        <is>
          <t>COLA Shoreditch Park</t>
        </is>
      </c>
      <c r="T355" s="42">
        <f>IFERROR(INDEX(Venues!$E$2:$E$10,MATCH(S355,Venues!$A$2:$A$10,0)),"")</f>
        <v/>
      </c>
      <c r="U355" s="15">
        <f>IFERROR(INDEX(Venues!$F$2:$F$10,MATCH(S355,Venues!$A$2:$A$10,0)),"")</f>
        <v/>
      </c>
      <c r="V355" s="43">
        <f>IFERROR(INDEX(Venues!$H$2:$H$10,MATCH(S355,Venues!$A$2:$A$10,0)),"")</f>
        <v/>
      </c>
      <c r="W355" s="15">
        <f>IF('Pilot offer'!$C$24="Yes",'Pilot offer'!$C$3,S355)</f>
        <v/>
      </c>
      <c r="X355" s="42">
        <f>IF('Pilot offer'!$C$24="Yes",'Pilot offer'!$C$5+'Pilot offer'!$C$6,T355)</f>
        <v/>
      </c>
      <c r="Y355" s="15">
        <f>IF('Pilot offer'!$C$24="Yes",'Pilot offer'!$C$8,U355)</f>
        <v/>
      </c>
      <c r="Z355" s="43">
        <f>IF('Pilot offer'!$C$24="Yes",'Pilot offer'!$C$11,"")</f>
        <v/>
      </c>
      <c r="AA355" s="15">
        <f>IF(X355="","",W355&amp;" · "&amp;TEXT(X355,"ddd d mmm, hh:mm")&amp;" · "&amp;Y355&amp;IF(Z355&lt;&gt;""," · £"&amp;TEXT(Z355,"0.00")&amp;" per player"," · price TBC (cost £"&amp;TEXT(V355,"0.00")&amp;" pp)"))</f>
        <v/>
      </c>
      <c r="AD355" s="44" t="n"/>
    </row>
    <row r="356">
      <c r="A356" s="13" t="n">
        <v>354</v>
      </c>
      <c r="B356" s="13" t="inlineStr">
        <is>
          <t>2 · N1 Hoxton</t>
        </is>
      </c>
      <c r="C356" s="13" t="inlineStr">
        <is>
          <t>Retail</t>
        </is>
      </c>
      <c r="D356" s="13" t="inlineStr">
        <is>
          <t>Local businesses</t>
        </is>
      </c>
      <c r="E356" s="13" t="inlineStr">
        <is>
          <t>Hector's</t>
        </is>
      </c>
      <c r="F356" s="13" t="inlineStr">
        <is>
          <t>shop: wine</t>
        </is>
      </c>
      <c r="G356" s="13" t="inlineStr">
        <is>
          <t>hello@hectorslondon.co.uk</t>
        </is>
      </c>
      <c r="H356" s="13" t="inlineStr">
        <is>
          <t>general</t>
        </is>
      </c>
      <c r="I356" s="13" t="n"/>
      <c r="J356" s="14" t="inlineStr">
        <is>
          <t>https://hectorslondon.co.uk</t>
        </is>
      </c>
      <c r="K356" s="13" t="inlineStr">
        <is>
          <t>Ardleigh Road 49A, London</t>
        </is>
      </c>
      <c r="L356" s="13" t="inlineStr">
        <is>
          <t>N1 4HS</t>
        </is>
      </c>
      <c r="M356" s="13" t="inlineStr">
        <is>
          <t>Rosemary Gardens 3G - Islington</t>
        </is>
      </c>
      <c r="N356" s="13" t="n">
        <v>12</v>
      </c>
      <c r="O356" s="15">
        <f>IFERROR(INDEX(Venues!$C$2:$C$10,MATCH(M356,Venues!$A$2:$A$10,0)),"Not checked")</f>
        <v/>
      </c>
      <c r="P356" s="15">
        <f>IFERROR(INDEX(Venues!$D$2:$D$10,MATCH(M356,Venues!$A$2:$A$10,0)),0)</f>
        <v/>
      </c>
      <c r="Q356" s="42">
        <f>IFERROR(INDEX(Venues!$E$2:$E$10,MATCH(M356,Venues!$A$2:$A$10,0)),"")</f>
        <v/>
      </c>
      <c r="R356" s="15">
        <f>IF(P356&gt;0,"Yes","No")</f>
        <v/>
      </c>
      <c r="S356" s="13" t="inlineStr">
        <is>
          <t>COLA Shoreditch Park</t>
        </is>
      </c>
      <c r="T356" s="42">
        <f>IFERROR(INDEX(Venues!$E$2:$E$10,MATCH(S356,Venues!$A$2:$A$10,0)),"")</f>
        <v/>
      </c>
      <c r="U356" s="15">
        <f>IFERROR(INDEX(Venues!$F$2:$F$10,MATCH(S356,Venues!$A$2:$A$10,0)),"")</f>
        <v/>
      </c>
      <c r="V356" s="43">
        <f>IFERROR(INDEX(Venues!$H$2:$H$10,MATCH(S356,Venues!$A$2:$A$10,0)),"")</f>
        <v/>
      </c>
      <c r="W356" s="15">
        <f>IF('Pilot offer'!$C$24="Yes",'Pilot offer'!$C$3,S356)</f>
        <v/>
      </c>
      <c r="X356" s="42">
        <f>IF('Pilot offer'!$C$24="Yes",'Pilot offer'!$C$5+'Pilot offer'!$C$6,T356)</f>
        <v/>
      </c>
      <c r="Y356" s="15">
        <f>IF('Pilot offer'!$C$24="Yes",'Pilot offer'!$C$8,U356)</f>
        <v/>
      </c>
      <c r="Z356" s="43">
        <f>IF('Pilot offer'!$C$24="Yes",'Pilot offer'!$C$11,"")</f>
        <v/>
      </c>
      <c r="AA356" s="15">
        <f>IF(X356="","",W356&amp;" · "&amp;TEXT(X356,"ddd d mmm, hh:mm")&amp;" · "&amp;Y356&amp;IF(Z356&lt;&gt;""," · £"&amp;TEXT(Z356,"0.00")&amp;" per player"," · price TBC (cost £"&amp;TEXT(V356,"0.00")&amp;" pp)"))</f>
        <v/>
      </c>
      <c r="AD356" s="44" t="n"/>
    </row>
    <row r="357">
      <c r="A357" s="13" t="n">
        <v>355</v>
      </c>
      <c r="B357" s="13" t="inlineStr">
        <is>
          <t>2 · N1 Hoxton</t>
        </is>
      </c>
      <c r="C357" s="13" t="inlineStr">
        <is>
          <t>Hospitality</t>
        </is>
      </c>
      <c r="D357" s="13" t="inlineStr">
        <is>
          <t>Local businesses</t>
        </is>
      </c>
      <c r="E357" s="13" t="inlineStr">
        <is>
          <t>The Scolt Head</t>
        </is>
      </c>
      <c r="F357" s="13" t="inlineStr">
        <is>
          <t>amenity: pub</t>
        </is>
      </c>
      <c r="G357" s="13" t="inlineStr">
        <is>
          <t>bookings@thescolthead.co.uk</t>
        </is>
      </c>
      <c r="H357" s="13" t="inlineStr">
        <is>
          <t>commercial</t>
        </is>
      </c>
      <c r="I357" s="13" t="inlineStr">
        <is>
          <t>+44 20 7254 3965</t>
        </is>
      </c>
      <c r="J357" s="14" t="inlineStr">
        <is>
          <t>http://www.thescolthead.co.uk/</t>
        </is>
      </c>
      <c r="K357" s="13" t="inlineStr">
        <is>
          <t>Culford Road 107A, London</t>
        </is>
      </c>
      <c r="L357" s="13" t="inlineStr">
        <is>
          <t>N1 4HT</t>
        </is>
      </c>
      <c r="M357" s="13" t="inlineStr">
        <is>
          <t>Rosemary Gardens 3G - Islington</t>
        </is>
      </c>
      <c r="N357" s="13" t="n">
        <v>10</v>
      </c>
      <c r="O357" s="15">
        <f>IFERROR(INDEX(Venues!$C$2:$C$10,MATCH(M357,Venues!$A$2:$A$10,0)),"Not checked")</f>
        <v/>
      </c>
      <c r="P357" s="15">
        <f>IFERROR(INDEX(Venues!$D$2:$D$10,MATCH(M357,Venues!$A$2:$A$10,0)),0)</f>
        <v/>
      </c>
      <c r="Q357" s="42">
        <f>IFERROR(INDEX(Venues!$E$2:$E$10,MATCH(M357,Venues!$A$2:$A$10,0)),"")</f>
        <v/>
      </c>
      <c r="R357" s="15">
        <f>IF(P357&gt;0,"Yes","No")</f>
        <v/>
      </c>
      <c r="S357" s="13" t="inlineStr">
        <is>
          <t>COLA Shoreditch Park</t>
        </is>
      </c>
      <c r="T357" s="42">
        <f>IFERROR(INDEX(Venues!$E$2:$E$10,MATCH(S357,Venues!$A$2:$A$10,0)),"")</f>
        <v/>
      </c>
      <c r="U357" s="15">
        <f>IFERROR(INDEX(Venues!$F$2:$F$10,MATCH(S357,Venues!$A$2:$A$10,0)),"")</f>
        <v/>
      </c>
      <c r="V357" s="43">
        <f>IFERROR(INDEX(Venues!$H$2:$H$10,MATCH(S357,Venues!$A$2:$A$10,0)),"")</f>
        <v/>
      </c>
      <c r="W357" s="15">
        <f>IF('Pilot offer'!$C$24="Yes",'Pilot offer'!$C$3,S357)</f>
        <v/>
      </c>
      <c r="X357" s="42">
        <f>IF('Pilot offer'!$C$24="Yes",'Pilot offer'!$C$5+'Pilot offer'!$C$6,T357)</f>
        <v/>
      </c>
      <c r="Y357" s="15">
        <f>IF('Pilot offer'!$C$24="Yes",'Pilot offer'!$C$8,U357)</f>
        <v/>
      </c>
      <c r="Z357" s="43">
        <f>IF('Pilot offer'!$C$24="Yes",'Pilot offer'!$C$11,"")</f>
        <v/>
      </c>
      <c r="AA357" s="15">
        <f>IF(X357="","",W357&amp;" · "&amp;TEXT(X357,"ddd d mmm, hh:mm")&amp;" · "&amp;Y357&amp;IF(Z357&lt;&gt;""," · £"&amp;TEXT(Z357,"0.00")&amp;" per player"," · price TBC (cost £"&amp;TEXT(V357,"0.00")&amp;" pp)"))</f>
        <v/>
      </c>
      <c r="AD357" s="44" t="n"/>
    </row>
    <row r="358">
      <c r="A358" s="13" t="n">
        <v>356</v>
      </c>
      <c r="B358" s="13" t="inlineStr">
        <is>
          <t>2 · N1 Hoxton</t>
        </is>
      </c>
      <c r="C358" s="13" t="inlineStr">
        <is>
          <t>Education</t>
        </is>
      </c>
      <c r="D358" s="13" t="inlineStr">
        <is>
          <t>Local businesses</t>
        </is>
      </c>
      <c r="E358" s="13" t="inlineStr">
        <is>
          <t>The Children's House Upper School</t>
        </is>
      </c>
      <c r="F358" s="13" t="inlineStr">
        <is>
          <t>amenity: school</t>
        </is>
      </c>
      <c r="G358" s="13" t="inlineStr">
        <is>
          <t>earlyyears@childrenshouseschool.co.uk</t>
        </is>
      </c>
      <c r="H358" s="13" t="inlineStr">
        <is>
          <t>person_or_other</t>
        </is>
      </c>
      <c r="I358" s="13" t="inlineStr">
        <is>
          <t>+44 20 7249 6273</t>
        </is>
      </c>
      <c r="J358" s="14" t="inlineStr">
        <is>
          <t>https://www.childrenshouseschool.co.uk/</t>
        </is>
      </c>
      <c r="K358" s="13" t="inlineStr">
        <is>
          <t>King Henry's Walk, London</t>
        </is>
      </c>
      <c r="L358" s="13" t="inlineStr">
        <is>
          <t>N1 4PB</t>
        </is>
      </c>
      <c r="M358" s="13" t="inlineStr">
        <is>
          <t>Rosemary Gardens 3G - Islington</t>
        </is>
      </c>
      <c r="N358" s="13" t="n">
        <v>20</v>
      </c>
      <c r="O358" s="15">
        <f>IFERROR(INDEX(Venues!$C$2:$C$10,MATCH(M358,Venues!$A$2:$A$10,0)),"Not checked")</f>
        <v/>
      </c>
      <c r="P358" s="15">
        <f>IFERROR(INDEX(Venues!$D$2:$D$10,MATCH(M358,Venues!$A$2:$A$10,0)),0)</f>
        <v/>
      </c>
      <c r="Q358" s="42">
        <f>IFERROR(INDEX(Venues!$E$2:$E$10,MATCH(M358,Venues!$A$2:$A$10,0)),"")</f>
        <v/>
      </c>
      <c r="R358" s="15">
        <f>IF(P358&gt;0,"Yes","No")</f>
        <v/>
      </c>
      <c r="S358" s="13" t="inlineStr">
        <is>
          <t>COLA Shoreditch Park</t>
        </is>
      </c>
      <c r="T358" s="42">
        <f>IFERROR(INDEX(Venues!$E$2:$E$10,MATCH(S358,Venues!$A$2:$A$10,0)),"")</f>
        <v/>
      </c>
      <c r="U358" s="15">
        <f>IFERROR(INDEX(Venues!$F$2:$F$10,MATCH(S358,Venues!$A$2:$A$10,0)),"")</f>
        <v/>
      </c>
      <c r="V358" s="43">
        <f>IFERROR(INDEX(Venues!$H$2:$H$10,MATCH(S358,Venues!$A$2:$A$10,0)),"")</f>
        <v/>
      </c>
      <c r="W358" s="15">
        <f>IF('Pilot offer'!$C$24="Yes",'Pilot offer'!$C$3,S358)</f>
        <v/>
      </c>
      <c r="X358" s="42">
        <f>IF('Pilot offer'!$C$24="Yes",'Pilot offer'!$C$5+'Pilot offer'!$C$6,T358)</f>
        <v/>
      </c>
      <c r="Y358" s="15">
        <f>IF('Pilot offer'!$C$24="Yes",'Pilot offer'!$C$8,U358)</f>
        <v/>
      </c>
      <c r="Z358" s="43">
        <f>IF('Pilot offer'!$C$24="Yes",'Pilot offer'!$C$11,"")</f>
        <v/>
      </c>
      <c r="AA358" s="15">
        <f>IF(X358="","",W358&amp;" · "&amp;TEXT(X358,"ddd d mmm, hh:mm")&amp;" · "&amp;Y358&amp;IF(Z358&lt;&gt;""," · £"&amp;TEXT(Z358,"0.00")&amp;" per player"," · price TBC (cost £"&amp;TEXT(V358,"0.00")&amp;" pp)"))</f>
        <v/>
      </c>
      <c r="AD358" s="44" t="n"/>
    </row>
    <row r="359">
      <c r="A359" s="13" t="n">
        <v>357</v>
      </c>
      <c r="B359" s="13" t="inlineStr">
        <is>
          <t>2 · N1 Hoxton</t>
        </is>
      </c>
      <c r="C359" s="13" t="inlineStr">
        <is>
          <t>Hospitality</t>
        </is>
      </c>
      <c r="D359" s="13" t="inlineStr">
        <is>
          <t>Local businesses</t>
        </is>
      </c>
      <c r="E359" s="13" t="inlineStr">
        <is>
          <t>Oi Vita Pizzeria</t>
        </is>
      </c>
      <c r="F359" s="13" t="inlineStr">
        <is>
          <t>amenity: restaurant</t>
        </is>
      </c>
      <c r="G359" s="13" t="inlineStr">
        <is>
          <t>oivitapizzeria@gmail.com</t>
        </is>
      </c>
      <c r="H359" s="13" t="inlineStr">
        <is>
          <t>openstreetmap_tag</t>
        </is>
      </c>
      <c r="I359" s="13" t="inlineStr">
        <is>
          <t>+44 20 3302 8700</t>
        </is>
      </c>
      <c r="J359" s="14" t="inlineStr">
        <is>
          <t>https://oivita.london</t>
        </is>
      </c>
      <c r="K359" s="13" t="inlineStr">
        <is>
          <t>Newington Green Road 67, London</t>
        </is>
      </c>
      <c r="L359" s="13" t="inlineStr">
        <is>
          <t>N1 4QU</t>
        </is>
      </c>
      <c r="M359" s="13" t="inlineStr">
        <is>
          <t>Rosemary Gardens 3G - Islington</t>
        </is>
      </c>
      <c r="N359" s="13" t="n">
        <v>17</v>
      </c>
      <c r="O359" s="15">
        <f>IFERROR(INDEX(Venues!$C$2:$C$10,MATCH(M359,Venues!$A$2:$A$10,0)),"Not checked")</f>
        <v/>
      </c>
      <c r="P359" s="15">
        <f>IFERROR(INDEX(Venues!$D$2:$D$10,MATCH(M359,Venues!$A$2:$A$10,0)),0)</f>
        <v/>
      </c>
      <c r="Q359" s="42">
        <f>IFERROR(INDEX(Venues!$E$2:$E$10,MATCH(M359,Venues!$A$2:$A$10,0)),"")</f>
        <v/>
      </c>
      <c r="R359" s="15">
        <f>IF(P359&gt;0,"Yes","No")</f>
        <v/>
      </c>
      <c r="S359" s="13" t="inlineStr">
        <is>
          <t>COLA Shoreditch Park</t>
        </is>
      </c>
      <c r="T359" s="42">
        <f>IFERROR(INDEX(Venues!$E$2:$E$10,MATCH(S359,Venues!$A$2:$A$10,0)),"")</f>
        <v/>
      </c>
      <c r="U359" s="15">
        <f>IFERROR(INDEX(Venues!$F$2:$F$10,MATCH(S359,Venues!$A$2:$A$10,0)),"")</f>
        <v/>
      </c>
      <c r="V359" s="43">
        <f>IFERROR(INDEX(Venues!$H$2:$H$10,MATCH(S359,Venues!$A$2:$A$10,0)),"")</f>
        <v/>
      </c>
      <c r="W359" s="15">
        <f>IF('Pilot offer'!$C$24="Yes",'Pilot offer'!$C$3,S359)</f>
        <v/>
      </c>
      <c r="X359" s="42">
        <f>IF('Pilot offer'!$C$24="Yes",'Pilot offer'!$C$5+'Pilot offer'!$C$6,T359)</f>
        <v/>
      </c>
      <c r="Y359" s="15">
        <f>IF('Pilot offer'!$C$24="Yes",'Pilot offer'!$C$8,U359)</f>
        <v/>
      </c>
      <c r="Z359" s="43">
        <f>IF('Pilot offer'!$C$24="Yes",'Pilot offer'!$C$11,"")</f>
        <v/>
      </c>
      <c r="AA359" s="15">
        <f>IF(X359="","",W359&amp;" · "&amp;TEXT(X359,"ddd d mmm, hh:mm")&amp;" · "&amp;Y359&amp;IF(Z359&lt;&gt;""," · £"&amp;TEXT(Z359,"0.00")&amp;" per player"," · price TBC (cost £"&amp;TEXT(V359,"0.00")&amp;" pp)"))</f>
        <v/>
      </c>
      <c r="AD359" s="44" t="n"/>
    </row>
    <row r="360">
      <c r="A360" s="13" t="n">
        <v>358</v>
      </c>
      <c r="B360" s="13" t="inlineStr">
        <is>
          <t>2 · N1 Hoxton</t>
        </is>
      </c>
      <c r="C360" s="13" t="inlineStr">
        <is>
          <t>Hospitality</t>
        </is>
      </c>
      <c r="D360" s="13" t="inlineStr">
        <is>
          <t>Local businesses</t>
        </is>
      </c>
      <c r="E360" s="13" t="inlineStr">
        <is>
          <t>The Alma</t>
        </is>
      </c>
      <c r="F360" s="13" t="inlineStr">
        <is>
          <t>amenity: pub</t>
        </is>
      </c>
      <c r="G360" s="13" t="inlineStr">
        <is>
          <t>book@thealmaislington.com</t>
        </is>
      </c>
      <c r="H360" s="13" t="inlineStr">
        <is>
          <t>person_or_other</t>
        </is>
      </c>
      <c r="I360" s="13" t="inlineStr">
        <is>
          <t>+44 20 7226 3531</t>
        </is>
      </c>
      <c r="J360" s="14" t="inlineStr">
        <is>
          <t>https://thealmaislington.com</t>
        </is>
      </c>
      <c r="K360" s="13" t="inlineStr">
        <is>
          <t>Newington Green Road 59, London</t>
        </is>
      </c>
      <c r="L360" s="13" t="inlineStr">
        <is>
          <t>N1 4QU</t>
        </is>
      </c>
      <c r="M360" s="13" t="inlineStr">
        <is>
          <t>Rosemary Gardens 3G - Islington</t>
        </is>
      </c>
      <c r="N360" s="13" t="n">
        <v>17</v>
      </c>
      <c r="O360" s="15">
        <f>IFERROR(INDEX(Venues!$C$2:$C$10,MATCH(M360,Venues!$A$2:$A$10,0)),"Not checked")</f>
        <v/>
      </c>
      <c r="P360" s="15">
        <f>IFERROR(INDEX(Venues!$D$2:$D$10,MATCH(M360,Venues!$A$2:$A$10,0)),0)</f>
        <v/>
      </c>
      <c r="Q360" s="42">
        <f>IFERROR(INDEX(Venues!$E$2:$E$10,MATCH(M360,Venues!$A$2:$A$10,0)),"")</f>
        <v/>
      </c>
      <c r="R360" s="15">
        <f>IF(P360&gt;0,"Yes","No")</f>
        <v/>
      </c>
      <c r="S360" s="13" t="inlineStr">
        <is>
          <t>COLA Shoreditch Park</t>
        </is>
      </c>
      <c r="T360" s="42">
        <f>IFERROR(INDEX(Venues!$E$2:$E$10,MATCH(S360,Venues!$A$2:$A$10,0)),"")</f>
        <v/>
      </c>
      <c r="U360" s="15">
        <f>IFERROR(INDEX(Venues!$F$2:$F$10,MATCH(S360,Venues!$A$2:$A$10,0)),"")</f>
        <v/>
      </c>
      <c r="V360" s="43">
        <f>IFERROR(INDEX(Venues!$H$2:$H$10,MATCH(S360,Venues!$A$2:$A$10,0)),"")</f>
        <v/>
      </c>
      <c r="W360" s="15">
        <f>IF('Pilot offer'!$C$24="Yes",'Pilot offer'!$C$3,S360)</f>
        <v/>
      </c>
      <c r="X360" s="42">
        <f>IF('Pilot offer'!$C$24="Yes",'Pilot offer'!$C$5+'Pilot offer'!$C$6,T360)</f>
        <v/>
      </c>
      <c r="Y360" s="15">
        <f>IF('Pilot offer'!$C$24="Yes",'Pilot offer'!$C$8,U360)</f>
        <v/>
      </c>
      <c r="Z360" s="43">
        <f>IF('Pilot offer'!$C$24="Yes",'Pilot offer'!$C$11,"")</f>
        <v/>
      </c>
      <c r="AA360" s="15">
        <f>IF(X360="","",W360&amp;" · "&amp;TEXT(X360,"ddd d mmm, hh:mm")&amp;" · "&amp;Y360&amp;IF(Z360&lt;&gt;""," · £"&amp;TEXT(Z360,"0.00")&amp;" per player"," · price TBC (cost £"&amp;TEXT(V360,"0.00")&amp;" pp)"))</f>
        <v/>
      </c>
      <c r="AD360" s="44" t="n"/>
    </row>
    <row r="361">
      <c r="A361" s="13" t="n">
        <v>359</v>
      </c>
      <c r="B361" s="13" t="inlineStr">
        <is>
          <t>2 · N1 Hoxton</t>
        </is>
      </c>
      <c r="C361" s="13" t="inlineStr">
        <is>
          <t>Office &amp; professional</t>
        </is>
      </c>
      <c r="D361" s="13" t="inlineStr">
        <is>
          <t>Local businesses</t>
        </is>
      </c>
      <c r="E361" s="13" t="inlineStr">
        <is>
          <t>Maxwells</t>
        </is>
      </c>
      <c r="F361" s="13" t="inlineStr">
        <is>
          <t>shop: estate agent</t>
        </is>
      </c>
      <c r="G361" s="13" t="inlineStr">
        <is>
          <t>info@maxwellsestates.com</t>
        </is>
      </c>
      <c r="H361" s="13" t="inlineStr">
        <is>
          <t>general</t>
        </is>
      </c>
      <c r="I361" s="13" t="n"/>
      <c r="J361" s="14" t="inlineStr">
        <is>
          <t>http://www.maxwellsestates.com/</t>
        </is>
      </c>
      <c r="K361" s="13" t="inlineStr">
        <is>
          <t>Newington Green Road 85, London</t>
        </is>
      </c>
      <c r="L361" s="13" t="inlineStr">
        <is>
          <t>N1 4QX</t>
        </is>
      </c>
      <c r="M361" s="13" t="inlineStr">
        <is>
          <t>Rosemary Gardens 3G - Islington</t>
        </is>
      </c>
      <c r="N361" s="13" t="n">
        <v>19</v>
      </c>
      <c r="O361" s="15">
        <f>IFERROR(INDEX(Venues!$C$2:$C$10,MATCH(M361,Venues!$A$2:$A$10,0)),"Not checked")</f>
        <v/>
      </c>
      <c r="P361" s="15">
        <f>IFERROR(INDEX(Venues!$D$2:$D$10,MATCH(M361,Venues!$A$2:$A$10,0)),0)</f>
        <v/>
      </c>
      <c r="Q361" s="42">
        <f>IFERROR(INDEX(Venues!$E$2:$E$10,MATCH(M361,Venues!$A$2:$A$10,0)),"")</f>
        <v/>
      </c>
      <c r="R361" s="15">
        <f>IF(P361&gt;0,"Yes","No")</f>
        <v/>
      </c>
      <c r="S361" s="13" t="inlineStr">
        <is>
          <t>COLA Shoreditch Park</t>
        </is>
      </c>
      <c r="T361" s="42">
        <f>IFERROR(INDEX(Venues!$E$2:$E$10,MATCH(S361,Venues!$A$2:$A$10,0)),"")</f>
        <v/>
      </c>
      <c r="U361" s="15">
        <f>IFERROR(INDEX(Venues!$F$2:$F$10,MATCH(S361,Venues!$A$2:$A$10,0)),"")</f>
        <v/>
      </c>
      <c r="V361" s="43">
        <f>IFERROR(INDEX(Venues!$H$2:$H$10,MATCH(S361,Venues!$A$2:$A$10,0)),"")</f>
        <v/>
      </c>
      <c r="W361" s="15">
        <f>IF('Pilot offer'!$C$24="Yes",'Pilot offer'!$C$3,S361)</f>
        <v/>
      </c>
      <c r="X361" s="42">
        <f>IF('Pilot offer'!$C$24="Yes",'Pilot offer'!$C$5+'Pilot offer'!$C$6,T361)</f>
        <v/>
      </c>
      <c r="Y361" s="15">
        <f>IF('Pilot offer'!$C$24="Yes",'Pilot offer'!$C$8,U361)</f>
        <v/>
      </c>
      <c r="Z361" s="43">
        <f>IF('Pilot offer'!$C$24="Yes",'Pilot offer'!$C$11,"")</f>
        <v/>
      </c>
      <c r="AA361" s="15">
        <f>IF(X361="","",W361&amp;" · "&amp;TEXT(X361,"ddd d mmm, hh:mm")&amp;" · "&amp;Y361&amp;IF(Z361&lt;&gt;""," · £"&amp;TEXT(Z361,"0.00")&amp;" per player"," · price TBC (cost £"&amp;TEXT(V361,"0.00")&amp;" pp)"))</f>
        <v/>
      </c>
      <c r="AD361" s="44" t="n"/>
    </row>
    <row r="362">
      <c r="A362" s="13" t="n">
        <v>360</v>
      </c>
      <c r="B362" s="13" t="inlineStr">
        <is>
          <t>2 · N1 Hoxton</t>
        </is>
      </c>
      <c r="C362" s="13" t="inlineStr">
        <is>
          <t>Health</t>
        </is>
      </c>
      <c r="D362" s="13" t="inlineStr">
        <is>
          <t>Local businesses</t>
        </is>
      </c>
      <c r="E362" s="13" t="inlineStr">
        <is>
          <t>Kindandental</t>
        </is>
      </c>
      <c r="F362" s="13" t="inlineStr">
        <is>
          <t>amenity: dentist</t>
        </is>
      </c>
      <c r="G362" s="13" t="inlineStr">
        <is>
          <t>info@kindandental.com</t>
        </is>
      </c>
      <c r="H362" s="13" t="inlineStr">
        <is>
          <t>general</t>
        </is>
      </c>
      <c r="I362" s="13" t="inlineStr">
        <is>
          <t>+44 20 7226 3897</t>
        </is>
      </c>
      <c r="J362" s="14" t="inlineStr">
        <is>
          <t>http://www.kindandental.com/</t>
        </is>
      </c>
      <c r="K362" s="13" t="inlineStr">
        <is>
          <t>Newington Green Road 99, London</t>
        </is>
      </c>
      <c r="L362" s="13" t="inlineStr">
        <is>
          <t>N1 4QY</t>
        </is>
      </c>
      <c r="M362" s="13" t="inlineStr">
        <is>
          <t>Rosemary Gardens 3G - Islington</t>
        </is>
      </c>
      <c r="N362" s="13" t="n">
        <v>20</v>
      </c>
      <c r="O362" s="15">
        <f>IFERROR(INDEX(Venues!$C$2:$C$10,MATCH(M362,Venues!$A$2:$A$10,0)),"Not checked")</f>
        <v/>
      </c>
      <c r="P362" s="15">
        <f>IFERROR(INDEX(Venues!$D$2:$D$10,MATCH(M362,Venues!$A$2:$A$10,0)),0)</f>
        <v/>
      </c>
      <c r="Q362" s="42">
        <f>IFERROR(INDEX(Venues!$E$2:$E$10,MATCH(M362,Venues!$A$2:$A$10,0)),"")</f>
        <v/>
      </c>
      <c r="R362" s="15">
        <f>IF(P362&gt;0,"Yes","No")</f>
        <v/>
      </c>
      <c r="S362" s="13" t="inlineStr">
        <is>
          <t>COLA Shoreditch Park</t>
        </is>
      </c>
      <c r="T362" s="42">
        <f>IFERROR(INDEX(Venues!$E$2:$E$10,MATCH(S362,Venues!$A$2:$A$10,0)),"")</f>
        <v/>
      </c>
      <c r="U362" s="15">
        <f>IFERROR(INDEX(Venues!$F$2:$F$10,MATCH(S362,Venues!$A$2:$A$10,0)),"")</f>
        <v/>
      </c>
      <c r="V362" s="43">
        <f>IFERROR(INDEX(Venues!$H$2:$H$10,MATCH(S362,Venues!$A$2:$A$10,0)),"")</f>
        <v/>
      </c>
      <c r="W362" s="15">
        <f>IF('Pilot offer'!$C$24="Yes",'Pilot offer'!$C$3,S362)</f>
        <v/>
      </c>
      <c r="X362" s="42">
        <f>IF('Pilot offer'!$C$24="Yes",'Pilot offer'!$C$5+'Pilot offer'!$C$6,T362)</f>
        <v/>
      </c>
      <c r="Y362" s="15">
        <f>IF('Pilot offer'!$C$24="Yes",'Pilot offer'!$C$8,U362)</f>
        <v/>
      </c>
      <c r="Z362" s="43">
        <f>IF('Pilot offer'!$C$24="Yes",'Pilot offer'!$C$11,"")</f>
        <v/>
      </c>
      <c r="AA362" s="15">
        <f>IF(X362="","",W362&amp;" · "&amp;TEXT(X362,"ddd d mmm, hh:mm")&amp;" · "&amp;Y362&amp;IF(Z362&lt;&gt;""," · £"&amp;TEXT(Z362,"0.00")&amp;" per player"," · price TBC (cost £"&amp;TEXT(V362,"0.00")&amp;" pp)"))</f>
        <v/>
      </c>
      <c r="AD362" s="44" t="n"/>
    </row>
    <row r="363">
      <c r="A363" s="13" t="n">
        <v>361</v>
      </c>
      <c r="B363" s="13" t="inlineStr">
        <is>
          <t>2 · N1 Hoxton</t>
        </is>
      </c>
      <c r="C363" s="13" t="inlineStr">
        <is>
          <t>Coworking / shared office</t>
        </is>
      </c>
      <c r="D363" s="13" t="inlineStr">
        <is>
          <t>Corporate</t>
        </is>
      </c>
      <c r="E363" s="13" t="inlineStr">
        <is>
          <t>The Halley</t>
        </is>
      </c>
      <c r="F363" s="13" t="inlineStr">
        <is>
          <t>coworking</t>
        </is>
      </c>
      <c r="G363" s="13" t="inlineStr">
        <is>
          <t>hello@thehalley.co.uk</t>
        </is>
      </c>
      <c r="H363" s="13" t="inlineStr">
        <is>
          <t>openstreetmap_tag</t>
        </is>
      </c>
      <c r="I363" s="13" t="inlineStr">
        <is>
          <t>+44 20 3971 5665</t>
        </is>
      </c>
      <c r="J363" s="14" t="inlineStr">
        <is>
          <t>https://thehalley.co.uk/</t>
        </is>
      </c>
      <c r="K363" s="13" t="inlineStr">
        <is>
          <t>Unit V, W, X, Y, Reliance Wharf, 2-10 Hertford Rd, London N1 5ET, UK</t>
        </is>
      </c>
      <c r="L363" s="13" t="inlineStr">
        <is>
          <t>N1 5ET</t>
        </is>
      </c>
      <c r="M363" s="13" t="inlineStr">
        <is>
          <t>COLA Shoreditch Park</t>
        </is>
      </c>
      <c r="N363" s="13" t="n">
        <v>6</v>
      </c>
      <c r="O363" s="15">
        <f>IFERROR(INDEX(Venues!$C$2:$C$10,MATCH(M363,Venues!$A$2:$A$10,0)),"Not checked")</f>
        <v/>
      </c>
      <c r="P363" s="15">
        <f>IFERROR(INDEX(Venues!$D$2:$D$10,MATCH(M363,Venues!$A$2:$A$10,0)),0)</f>
        <v/>
      </c>
      <c r="Q363" s="42">
        <f>IFERROR(INDEX(Venues!$E$2:$E$10,MATCH(M363,Venues!$A$2:$A$10,0)),"")</f>
        <v/>
      </c>
      <c r="R363" s="15">
        <f>IF(P363&gt;0,"Yes","No")</f>
        <v/>
      </c>
      <c r="S363" s="13" t="inlineStr">
        <is>
          <t>COLA Shoreditch Park</t>
        </is>
      </c>
      <c r="T363" s="42">
        <f>IFERROR(INDEX(Venues!$E$2:$E$10,MATCH(S363,Venues!$A$2:$A$10,0)),"")</f>
        <v/>
      </c>
      <c r="U363" s="15">
        <f>IFERROR(INDEX(Venues!$F$2:$F$10,MATCH(S363,Venues!$A$2:$A$10,0)),"")</f>
        <v/>
      </c>
      <c r="V363" s="43">
        <f>IFERROR(INDEX(Venues!$H$2:$H$10,MATCH(S363,Venues!$A$2:$A$10,0)),"")</f>
        <v/>
      </c>
      <c r="W363" s="15">
        <f>IF('Pilot offer'!$C$24="Yes",'Pilot offer'!$C$3,S363)</f>
        <v/>
      </c>
      <c r="X363" s="42">
        <f>IF('Pilot offer'!$C$24="Yes",'Pilot offer'!$C$5+'Pilot offer'!$C$6,T363)</f>
        <v/>
      </c>
      <c r="Y363" s="15">
        <f>IF('Pilot offer'!$C$24="Yes",'Pilot offer'!$C$8,U363)</f>
        <v/>
      </c>
      <c r="Z363" s="43">
        <f>IF('Pilot offer'!$C$24="Yes",'Pilot offer'!$C$11,"")</f>
        <v/>
      </c>
      <c r="AA363" s="15">
        <f>IF(X363="","",W363&amp;" · "&amp;TEXT(X363,"ddd d mmm, hh:mm")&amp;" · "&amp;Y363&amp;IF(Z363&lt;&gt;""," · £"&amp;TEXT(Z363,"0.00")&amp;" per player"," · price TBC (cost £"&amp;TEXT(V363,"0.00")&amp;" pp)"))</f>
        <v/>
      </c>
      <c r="AD363" s="44" t="n"/>
    </row>
    <row r="364">
      <c r="A364" s="13" t="n">
        <v>362</v>
      </c>
      <c r="B364" s="13" t="inlineStr">
        <is>
          <t>2 · N1 Hoxton</t>
        </is>
      </c>
      <c r="C364" s="13" t="inlineStr">
        <is>
          <t>Education</t>
        </is>
      </c>
      <c r="D364" s="13" t="inlineStr">
        <is>
          <t>Local businesses</t>
        </is>
      </c>
      <c r="E364" s="13" t="inlineStr">
        <is>
          <t>Hoxton Garden Primary School</t>
        </is>
      </c>
      <c r="F364" s="13" t="inlineStr">
        <is>
          <t>amenity: school</t>
        </is>
      </c>
      <c r="G364" s="13" t="inlineStr">
        <is>
          <t>adminhg@vs.hackney.sch.uk</t>
        </is>
      </c>
      <c r="H364" s="13" t="inlineStr">
        <is>
          <t>person_or_other</t>
        </is>
      </c>
      <c r="I364" s="13" t="inlineStr">
        <is>
          <t>+44 20 7739 8591</t>
        </is>
      </c>
      <c r="J364" s="14" t="inlineStr">
        <is>
          <t>https://hoxtongarden.hackney.sch.uk/</t>
        </is>
      </c>
      <c r="K364" s="13" t="inlineStr">
        <is>
          <t>Ivy Street, London</t>
        </is>
      </c>
      <c r="L364" s="13" t="inlineStr">
        <is>
          <t>N1 5JD</t>
        </is>
      </c>
      <c r="M364" s="13" t="inlineStr">
        <is>
          <t>Shoreditch Rooftop</t>
        </is>
      </c>
      <c r="N364" s="13" t="n">
        <v>3</v>
      </c>
      <c r="O364" s="15">
        <f>IFERROR(INDEX(Venues!$C$2:$C$10,MATCH(M364,Venues!$A$2:$A$10,0)),"Not checked")</f>
        <v/>
      </c>
      <c r="P364" s="15">
        <f>IFERROR(INDEX(Venues!$D$2:$D$10,MATCH(M364,Venues!$A$2:$A$10,0)),0)</f>
        <v/>
      </c>
      <c r="Q364" s="42">
        <f>IFERROR(INDEX(Venues!$E$2:$E$10,MATCH(M364,Venues!$A$2:$A$10,0)),"")</f>
        <v/>
      </c>
      <c r="R364" s="15">
        <f>IF(P364&gt;0,"Yes","No")</f>
        <v/>
      </c>
      <c r="S364" s="13" t="inlineStr">
        <is>
          <t>Shoreditch Rooftop</t>
        </is>
      </c>
      <c r="T364" s="42">
        <f>IFERROR(INDEX(Venues!$E$2:$E$10,MATCH(S364,Venues!$A$2:$A$10,0)),"")</f>
        <v/>
      </c>
      <c r="U364" s="15">
        <f>IFERROR(INDEX(Venues!$F$2:$F$10,MATCH(S364,Venues!$A$2:$A$10,0)),"")</f>
        <v/>
      </c>
      <c r="V364" s="43">
        <f>IFERROR(INDEX(Venues!$H$2:$H$10,MATCH(S364,Venues!$A$2:$A$10,0)),"")</f>
        <v/>
      </c>
      <c r="W364" s="15">
        <f>IF('Pilot offer'!$C$24="Yes",'Pilot offer'!$C$3,S364)</f>
        <v/>
      </c>
      <c r="X364" s="42">
        <f>IF('Pilot offer'!$C$24="Yes",'Pilot offer'!$C$5+'Pilot offer'!$C$6,T364)</f>
        <v/>
      </c>
      <c r="Y364" s="15">
        <f>IF('Pilot offer'!$C$24="Yes",'Pilot offer'!$C$8,U364)</f>
        <v/>
      </c>
      <c r="Z364" s="43">
        <f>IF('Pilot offer'!$C$24="Yes",'Pilot offer'!$C$11,"")</f>
        <v/>
      </c>
      <c r="AA364" s="15">
        <f>IF(X364="","",W364&amp;" · "&amp;TEXT(X364,"ddd d mmm, hh:mm")&amp;" · "&amp;Y364&amp;IF(Z364&lt;&gt;""," · £"&amp;TEXT(Z364,"0.00")&amp;" per player"," · price TBC (cost £"&amp;TEXT(V364,"0.00")&amp;" pp)"))</f>
        <v/>
      </c>
      <c r="AD364" s="44" t="n"/>
    </row>
    <row r="365">
      <c r="A365" s="13" t="n">
        <v>363</v>
      </c>
      <c r="B365" s="13" t="inlineStr">
        <is>
          <t>2 · N1 Hoxton</t>
        </is>
      </c>
      <c r="C365" s="13" t="inlineStr">
        <is>
          <t>Education</t>
        </is>
      </c>
      <c r="D365" s="13" t="inlineStr">
        <is>
          <t>Local businesses</t>
        </is>
      </c>
      <c r="E365" s="13" t="inlineStr">
        <is>
          <t>Shoreditch Park Primary School</t>
        </is>
      </c>
      <c r="F365" s="13" t="inlineStr">
        <is>
          <t>amenity: school</t>
        </is>
      </c>
      <c r="G365" s="13" t="inlineStr">
        <is>
          <t>admin@shoreditchpark.hackney.sch.uk</t>
        </is>
      </c>
      <c r="H365" s="13" t="inlineStr">
        <is>
          <t>general</t>
        </is>
      </c>
      <c r="I365" s="13" t="inlineStr">
        <is>
          <t>+44 20 7739 7973</t>
        </is>
      </c>
      <c r="J365" s="14" t="inlineStr">
        <is>
          <t>https://www.shoreditchpark.hackney.sch.uk/</t>
        </is>
      </c>
      <c r="K365" s="13" t="inlineStr">
        <is>
          <t>Bridport Place, London</t>
        </is>
      </c>
      <c r="L365" s="13" t="inlineStr">
        <is>
          <t>N1 5JN</t>
        </is>
      </c>
      <c r="M365" s="13" t="inlineStr">
        <is>
          <t>COLA Shoreditch Park</t>
        </is>
      </c>
      <c r="N365" s="13" t="n">
        <v>2</v>
      </c>
      <c r="O365" s="15">
        <f>IFERROR(INDEX(Venues!$C$2:$C$10,MATCH(M365,Venues!$A$2:$A$10,0)),"Not checked")</f>
        <v/>
      </c>
      <c r="P365" s="15">
        <f>IFERROR(INDEX(Venues!$D$2:$D$10,MATCH(M365,Venues!$A$2:$A$10,0)),0)</f>
        <v/>
      </c>
      <c r="Q365" s="42">
        <f>IFERROR(INDEX(Venues!$E$2:$E$10,MATCH(M365,Venues!$A$2:$A$10,0)),"")</f>
        <v/>
      </c>
      <c r="R365" s="15">
        <f>IF(P365&gt;0,"Yes","No")</f>
        <v/>
      </c>
      <c r="S365" s="13" t="inlineStr">
        <is>
          <t>COLA Shoreditch Park</t>
        </is>
      </c>
      <c r="T365" s="42">
        <f>IFERROR(INDEX(Venues!$E$2:$E$10,MATCH(S365,Venues!$A$2:$A$10,0)),"")</f>
        <v/>
      </c>
      <c r="U365" s="15">
        <f>IFERROR(INDEX(Venues!$F$2:$F$10,MATCH(S365,Venues!$A$2:$A$10,0)),"")</f>
        <v/>
      </c>
      <c r="V365" s="43">
        <f>IFERROR(INDEX(Venues!$H$2:$H$10,MATCH(S365,Venues!$A$2:$A$10,0)),"")</f>
        <v/>
      </c>
      <c r="W365" s="15">
        <f>IF('Pilot offer'!$C$24="Yes",'Pilot offer'!$C$3,S365)</f>
        <v/>
      </c>
      <c r="X365" s="42">
        <f>IF('Pilot offer'!$C$24="Yes",'Pilot offer'!$C$5+'Pilot offer'!$C$6,T365)</f>
        <v/>
      </c>
      <c r="Y365" s="15">
        <f>IF('Pilot offer'!$C$24="Yes",'Pilot offer'!$C$8,U365)</f>
        <v/>
      </c>
      <c r="Z365" s="43">
        <f>IF('Pilot offer'!$C$24="Yes",'Pilot offer'!$C$11,"")</f>
        <v/>
      </c>
      <c r="AA365" s="15">
        <f>IF(X365="","",W365&amp;" · "&amp;TEXT(X365,"ddd d mmm, hh:mm")&amp;" · "&amp;Y365&amp;IF(Z365&lt;&gt;""," · £"&amp;TEXT(Z365,"0.00")&amp;" per player"," · price TBC (cost £"&amp;TEXT(V365,"0.00")&amp;" pp)"))</f>
        <v/>
      </c>
      <c r="AD365" s="44" t="n"/>
    </row>
    <row r="366">
      <c r="A366" s="13" t="n">
        <v>364</v>
      </c>
      <c r="B366" s="13" t="inlineStr">
        <is>
          <t>2 · N1 Hoxton</t>
        </is>
      </c>
      <c r="C366" s="13" t="inlineStr">
        <is>
          <t>Education</t>
        </is>
      </c>
      <c r="D366" s="13" t="inlineStr">
        <is>
          <t>Local businesses</t>
        </is>
      </c>
      <c r="E366" s="13" t="inlineStr">
        <is>
          <t>City of London Academy Shoreditch Park</t>
        </is>
      </c>
      <c r="F366" s="13" t="inlineStr">
        <is>
          <t>amenity: school</t>
        </is>
      </c>
      <c r="G366" s="13" t="inlineStr">
        <is>
          <t>enquiries@shoreditch.cola.org.uk</t>
        </is>
      </c>
      <c r="H366" s="13" t="inlineStr">
        <is>
          <t>general</t>
        </is>
      </c>
      <c r="I366" s="13" t="inlineStr">
        <is>
          <t>+44 20 3011 2162</t>
        </is>
      </c>
      <c r="J366" s="14" t="inlineStr">
        <is>
          <t>https://www.shoreditch.cola.org.uk/</t>
        </is>
      </c>
      <c r="K366" s="13" t="inlineStr">
        <is>
          <t>Hyde Road, London</t>
        </is>
      </c>
      <c r="L366" s="13" t="inlineStr">
        <is>
          <t>N1 5JU</t>
        </is>
      </c>
      <c r="M366" s="13" t="inlineStr">
        <is>
          <t>COLA Shoreditch Park</t>
        </is>
      </c>
      <c r="N366" s="13" t="n">
        <v>0</v>
      </c>
      <c r="O366" s="15">
        <f>IFERROR(INDEX(Venues!$C$2:$C$10,MATCH(M366,Venues!$A$2:$A$10,0)),"Not checked")</f>
        <v/>
      </c>
      <c r="P366" s="15">
        <f>IFERROR(INDEX(Venues!$D$2:$D$10,MATCH(M366,Venues!$A$2:$A$10,0)),0)</f>
        <v/>
      </c>
      <c r="Q366" s="42">
        <f>IFERROR(INDEX(Venues!$E$2:$E$10,MATCH(M366,Venues!$A$2:$A$10,0)),"")</f>
        <v/>
      </c>
      <c r="R366" s="15">
        <f>IF(P366&gt;0,"Yes","No")</f>
        <v/>
      </c>
      <c r="S366" s="13" t="inlineStr">
        <is>
          <t>COLA Shoreditch Park</t>
        </is>
      </c>
      <c r="T366" s="42">
        <f>IFERROR(INDEX(Venues!$E$2:$E$10,MATCH(S366,Venues!$A$2:$A$10,0)),"")</f>
        <v/>
      </c>
      <c r="U366" s="15">
        <f>IFERROR(INDEX(Venues!$F$2:$F$10,MATCH(S366,Venues!$A$2:$A$10,0)),"")</f>
        <v/>
      </c>
      <c r="V366" s="43">
        <f>IFERROR(INDEX(Venues!$H$2:$H$10,MATCH(S366,Venues!$A$2:$A$10,0)),"")</f>
        <v/>
      </c>
      <c r="W366" s="15">
        <f>IF('Pilot offer'!$C$24="Yes",'Pilot offer'!$C$3,S366)</f>
        <v/>
      </c>
      <c r="X366" s="42">
        <f>IF('Pilot offer'!$C$24="Yes",'Pilot offer'!$C$5+'Pilot offer'!$C$6,T366)</f>
        <v/>
      </c>
      <c r="Y366" s="15">
        <f>IF('Pilot offer'!$C$24="Yes",'Pilot offer'!$C$8,U366)</f>
        <v/>
      </c>
      <c r="Z366" s="43">
        <f>IF('Pilot offer'!$C$24="Yes",'Pilot offer'!$C$11,"")</f>
        <v/>
      </c>
      <c r="AA366" s="15">
        <f>IF(X366="","",W366&amp;" · "&amp;TEXT(X366,"ddd d mmm, hh:mm")&amp;" · "&amp;Y366&amp;IF(Z366&lt;&gt;""," · £"&amp;TEXT(Z366,"0.00")&amp;" per player"," · price TBC (cost £"&amp;TEXT(V366,"0.00")&amp;" pp)"))</f>
        <v/>
      </c>
      <c r="AD366" s="44" t="n"/>
    </row>
    <row r="367">
      <c r="A367" s="13" t="n">
        <v>365</v>
      </c>
      <c r="B367" s="13" t="inlineStr">
        <is>
          <t>2 · N1 Hoxton</t>
        </is>
      </c>
      <c r="C367" s="13" t="inlineStr">
        <is>
          <t>Other</t>
        </is>
      </c>
      <c r="D367" s="13" t="inlineStr">
        <is>
          <t>Corporate</t>
        </is>
      </c>
      <c r="E367" s="13" t="inlineStr">
        <is>
          <t>Humdingers</t>
        </is>
      </c>
      <c r="F367" s="13" t="inlineStr">
        <is>
          <t>catering</t>
        </is>
      </c>
      <c r="G367" s="13" t="inlineStr">
        <is>
          <t>info@humdingers.org.uk</t>
        </is>
      </c>
      <c r="H367" s="13" t="inlineStr">
        <is>
          <t>general</t>
        </is>
      </c>
      <c r="I367" s="13" t="inlineStr">
        <is>
          <t>+44 20 7729 6644</t>
        </is>
      </c>
      <c r="J367" s="14" t="inlineStr">
        <is>
          <t>https://www.humdingers.org.uk/</t>
        </is>
      </c>
      <c r="K367" s="13" t="inlineStr">
        <is>
          <t>236 Hoxton Street, London</t>
        </is>
      </c>
      <c r="L367" s="13" t="inlineStr">
        <is>
          <t>N1 5LX</t>
        </is>
      </c>
      <c r="M367" s="13" t="inlineStr">
        <is>
          <t>Shoreditch Rooftop</t>
        </is>
      </c>
      <c r="N367" s="13" t="n">
        <v>4</v>
      </c>
      <c r="O367" s="15">
        <f>IFERROR(INDEX(Venues!$C$2:$C$10,MATCH(M367,Venues!$A$2:$A$10,0)),"Not checked")</f>
        <v/>
      </c>
      <c r="P367" s="15">
        <f>IFERROR(INDEX(Venues!$D$2:$D$10,MATCH(M367,Venues!$A$2:$A$10,0)),0)</f>
        <v/>
      </c>
      <c r="Q367" s="42">
        <f>IFERROR(INDEX(Venues!$E$2:$E$10,MATCH(M367,Venues!$A$2:$A$10,0)),"")</f>
        <v/>
      </c>
      <c r="R367" s="15">
        <f>IF(P367&gt;0,"Yes","No")</f>
        <v/>
      </c>
      <c r="S367" s="13" t="inlineStr">
        <is>
          <t>Shoreditch Rooftop</t>
        </is>
      </c>
      <c r="T367" s="42">
        <f>IFERROR(INDEX(Venues!$E$2:$E$10,MATCH(S367,Venues!$A$2:$A$10,0)),"")</f>
        <v/>
      </c>
      <c r="U367" s="15">
        <f>IFERROR(INDEX(Venues!$F$2:$F$10,MATCH(S367,Venues!$A$2:$A$10,0)),"")</f>
        <v/>
      </c>
      <c r="V367" s="43">
        <f>IFERROR(INDEX(Venues!$H$2:$H$10,MATCH(S367,Venues!$A$2:$A$10,0)),"")</f>
        <v/>
      </c>
      <c r="W367" s="15">
        <f>IF('Pilot offer'!$C$24="Yes",'Pilot offer'!$C$3,S367)</f>
        <v/>
      </c>
      <c r="X367" s="42">
        <f>IF('Pilot offer'!$C$24="Yes",'Pilot offer'!$C$5+'Pilot offer'!$C$6,T367)</f>
        <v/>
      </c>
      <c r="Y367" s="15">
        <f>IF('Pilot offer'!$C$24="Yes",'Pilot offer'!$C$8,U367)</f>
        <v/>
      </c>
      <c r="Z367" s="43">
        <f>IF('Pilot offer'!$C$24="Yes",'Pilot offer'!$C$11,"")</f>
        <v/>
      </c>
      <c r="AA367" s="15">
        <f>IF(X367="","",W367&amp;" · "&amp;TEXT(X367,"ddd d mmm, hh:mm")&amp;" · "&amp;Y367&amp;IF(Z367&lt;&gt;""," · £"&amp;TEXT(Z367,"0.00")&amp;" per player"," · price TBC (cost £"&amp;TEXT(V367,"0.00")&amp;" pp)"))</f>
        <v/>
      </c>
      <c r="AD367" s="44" t="n"/>
    </row>
    <row r="368">
      <c r="A368" s="13" t="n">
        <v>366</v>
      </c>
      <c r="B368" s="13" t="inlineStr">
        <is>
          <t>2 · N1 Hoxton</t>
        </is>
      </c>
      <c r="C368" s="13" t="inlineStr">
        <is>
          <t>Education</t>
        </is>
      </c>
      <c r="D368" s="13" t="inlineStr">
        <is>
          <t>Local businesses</t>
        </is>
      </c>
      <c r="E368" s="13" t="inlineStr">
        <is>
          <t>Rosemary Works School</t>
        </is>
      </c>
      <c r="F368" s="13" t="inlineStr">
        <is>
          <t>amenity: school</t>
        </is>
      </c>
      <c r="G368" s="13" t="inlineStr">
        <is>
          <t>learn@rosemaryworks.co.uk</t>
        </is>
      </c>
      <c r="H368" s="13" t="inlineStr">
        <is>
          <t>person_or_other</t>
        </is>
      </c>
      <c r="I368" s="13" t="inlineStr">
        <is>
          <t>+44 20 7739 3950</t>
        </is>
      </c>
      <c r="J368" s="14" t="inlineStr">
        <is>
          <t>https://rosemaryworks.co.uk/</t>
        </is>
      </c>
      <c r="K368" s="13" t="inlineStr">
        <is>
          <t>Branch Place 1, London</t>
        </is>
      </c>
      <c r="L368" s="13" t="inlineStr">
        <is>
          <t>N1 5PH</t>
        </is>
      </c>
      <c r="M368" s="13" t="inlineStr">
        <is>
          <t>COLA Shoreditch Park</t>
        </is>
      </c>
      <c r="N368" s="13" t="n">
        <v>2</v>
      </c>
      <c r="O368" s="15">
        <f>IFERROR(INDEX(Venues!$C$2:$C$10,MATCH(M368,Venues!$A$2:$A$10,0)),"Not checked")</f>
        <v/>
      </c>
      <c r="P368" s="15">
        <f>IFERROR(INDEX(Venues!$D$2:$D$10,MATCH(M368,Venues!$A$2:$A$10,0)),0)</f>
        <v/>
      </c>
      <c r="Q368" s="42">
        <f>IFERROR(INDEX(Venues!$E$2:$E$10,MATCH(M368,Venues!$A$2:$A$10,0)),"")</f>
        <v/>
      </c>
      <c r="R368" s="15">
        <f>IF(P368&gt;0,"Yes","No")</f>
        <v/>
      </c>
      <c r="S368" s="13" t="inlineStr">
        <is>
          <t>COLA Shoreditch Park</t>
        </is>
      </c>
      <c r="T368" s="42">
        <f>IFERROR(INDEX(Venues!$E$2:$E$10,MATCH(S368,Venues!$A$2:$A$10,0)),"")</f>
        <v/>
      </c>
      <c r="U368" s="15">
        <f>IFERROR(INDEX(Venues!$F$2:$F$10,MATCH(S368,Venues!$A$2:$A$10,0)),"")</f>
        <v/>
      </c>
      <c r="V368" s="43">
        <f>IFERROR(INDEX(Venues!$H$2:$H$10,MATCH(S368,Venues!$A$2:$A$10,0)),"")</f>
        <v/>
      </c>
      <c r="W368" s="15">
        <f>IF('Pilot offer'!$C$24="Yes",'Pilot offer'!$C$3,S368)</f>
        <v/>
      </c>
      <c r="X368" s="42">
        <f>IF('Pilot offer'!$C$24="Yes",'Pilot offer'!$C$5+'Pilot offer'!$C$6,T368)</f>
        <v/>
      </c>
      <c r="Y368" s="15">
        <f>IF('Pilot offer'!$C$24="Yes",'Pilot offer'!$C$8,U368)</f>
        <v/>
      </c>
      <c r="Z368" s="43">
        <f>IF('Pilot offer'!$C$24="Yes",'Pilot offer'!$C$11,"")</f>
        <v/>
      </c>
      <c r="AA368" s="15">
        <f>IF(X368="","",W368&amp;" · "&amp;TEXT(X368,"ddd d mmm, hh:mm")&amp;" · "&amp;Y368&amp;IF(Z368&lt;&gt;""," · £"&amp;TEXT(Z368,"0.00")&amp;" per player"," · price TBC (cost £"&amp;TEXT(V368,"0.00")&amp;" pp)"))</f>
        <v/>
      </c>
      <c r="AD368" s="44" t="n"/>
    </row>
    <row r="369">
      <c r="A369" s="13" t="n">
        <v>367</v>
      </c>
      <c r="B369" s="13" t="inlineStr">
        <is>
          <t>2 · N1 Hoxton</t>
        </is>
      </c>
      <c r="C369" s="13" t="inlineStr">
        <is>
          <t>Hospitality</t>
        </is>
      </c>
      <c r="D369" s="13" t="inlineStr">
        <is>
          <t>Local businesses</t>
        </is>
      </c>
      <c r="E369" s="13" t="inlineStr">
        <is>
          <t>Arepa &amp; Co</t>
        </is>
      </c>
      <c r="F369" s="13" t="inlineStr">
        <is>
          <t>amenity: restaurant</t>
        </is>
      </c>
      <c r="G369" s="13" t="inlineStr">
        <is>
          <t>hello@arepaandco.com</t>
        </is>
      </c>
      <c r="H369" s="13" t="inlineStr">
        <is>
          <t>general</t>
        </is>
      </c>
      <c r="I369" s="13" t="inlineStr">
        <is>
          <t>+44 20 7923 3507</t>
        </is>
      </c>
      <c r="J369" s="14" t="inlineStr">
        <is>
          <t>https://www.arepaandco.com/</t>
        </is>
      </c>
      <c r="K369" s="13" t="inlineStr">
        <is>
          <t>De Beauvoir Crescent 58a, London</t>
        </is>
      </c>
      <c r="L369" s="13" t="inlineStr">
        <is>
          <t>N1 5RY</t>
        </is>
      </c>
      <c r="M369" s="13" t="inlineStr">
        <is>
          <t>COLA Shoreditch Park</t>
        </is>
      </c>
      <c r="N369" s="13" t="n">
        <v>5</v>
      </c>
      <c r="O369" s="15">
        <f>IFERROR(INDEX(Venues!$C$2:$C$10,MATCH(M369,Venues!$A$2:$A$10,0)),"Not checked")</f>
        <v/>
      </c>
      <c r="P369" s="15">
        <f>IFERROR(INDEX(Venues!$D$2:$D$10,MATCH(M369,Venues!$A$2:$A$10,0)),0)</f>
        <v/>
      </c>
      <c r="Q369" s="42">
        <f>IFERROR(INDEX(Venues!$E$2:$E$10,MATCH(M369,Venues!$A$2:$A$10,0)),"")</f>
        <v/>
      </c>
      <c r="R369" s="15">
        <f>IF(P369&gt;0,"Yes","No")</f>
        <v/>
      </c>
      <c r="S369" s="13" t="inlineStr">
        <is>
          <t>COLA Shoreditch Park</t>
        </is>
      </c>
      <c r="T369" s="42">
        <f>IFERROR(INDEX(Venues!$E$2:$E$10,MATCH(S369,Venues!$A$2:$A$10,0)),"")</f>
        <v/>
      </c>
      <c r="U369" s="15">
        <f>IFERROR(INDEX(Venues!$F$2:$F$10,MATCH(S369,Venues!$A$2:$A$10,0)),"")</f>
        <v/>
      </c>
      <c r="V369" s="43">
        <f>IFERROR(INDEX(Venues!$H$2:$H$10,MATCH(S369,Venues!$A$2:$A$10,0)),"")</f>
        <v/>
      </c>
      <c r="W369" s="15">
        <f>IF('Pilot offer'!$C$24="Yes",'Pilot offer'!$C$3,S369)</f>
        <v/>
      </c>
      <c r="X369" s="42">
        <f>IF('Pilot offer'!$C$24="Yes",'Pilot offer'!$C$5+'Pilot offer'!$C$6,T369)</f>
        <v/>
      </c>
      <c r="Y369" s="15">
        <f>IF('Pilot offer'!$C$24="Yes",'Pilot offer'!$C$8,U369)</f>
        <v/>
      </c>
      <c r="Z369" s="43">
        <f>IF('Pilot offer'!$C$24="Yes",'Pilot offer'!$C$11,"")</f>
        <v/>
      </c>
      <c r="AA369" s="15">
        <f>IF(X369="","",W369&amp;" · "&amp;TEXT(X369,"ddd d mmm, hh:mm")&amp;" · "&amp;Y369&amp;IF(Z369&lt;&gt;""," · £"&amp;TEXT(Z369,"0.00")&amp;" per player"," · price TBC (cost £"&amp;TEXT(V369,"0.00")&amp;" pp)"))</f>
        <v/>
      </c>
      <c r="AD369" s="44" t="n"/>
    </row>
    <row r="370">
      <c r="A370" s="13" t="n">
        <v>368</v>
      </c>
      <c r="B370" s="13" t="inlineStr">
        <is>
          <t>2 · N1 Hoxton</t>
        </is>
      </c>
      <c r="C370" s="13" t="inlineStr">
        <is>
          <t>Hospitality</t>
        </is>
      </c>
      <c r="D370" s="13" t="inlineStr">
        <is>
          <t>Local businesses</t>
        </is>
      </c>
      <c r="E370" s="13" t="inlineStr">
        <is>
          <t>Batch Baby</t>
        </is>
      </c>
      <c r="F370" s="13" t="inlineStr">
        <is>
          <t>amenity: cafe</t>
        </is>
      </c>
      <c r="G370" s="13" t="inlineStr">
        <is>
          <t>hello@batchbaby.co.uk</t>
        </is>
      </c>
      <c r="H370" s="13" t="inlineStr">
        <is>
          <t>general</t>
        </is>
      </c>
      <c r="I370" s="13" t="n"/>
      <c r="J370" s="14" t="inlineStr">
        <is>
          <t>https://www.batchbaby.co.uk/</t>
        </is>
      </c>
      <c r="K370" s="13" t="inlineStr">
        <is>
          <t>London</t>
        </is>
      </c>
      <c r="L370" s="13" t="inlineStr">
        <is>
          <t>N1 5SF</t>
        </is>
      </c>
      <c r="M370" s="13" t="inlineStr">
        <is>
          <t>COLA Shoreditch Park</t>
        </is>
      </c>
      <c r="N370" s="13" t="n">
        <v>6</v>
      </c>
      <c r="O370" s="15">
        <f>IFERROR(INDEX(Venues!$C$2:$C$10,MATCH(M370,Venues!$A$2:$A$10,0)),"Not checked")</f>
        <v/>
      </c>
      <c r="P370" s="15">
        <f>IFERROR(INDEX(Venues!$D$2:$D$10,MATCH(M370,Venues!$A$2:$A$10,0)),0)</f>
        <v/>
      </c>
      <c r="Q370" s="42">
        <f>IFERROR(INDEX(Venues!$E$2:$E$10,MATCH(M370,Venues!$A$2:$A$10,0)),"")</f>
        <v/>
      </c>
      <c r="R370" s="15">
        <f>IF(P370&gt;0,"Yes","No")</f>
        <v/>
      </c>
      <c r="S370" s="13" t="inlineStr">
        <is>
          <t>COLA Shoreditch Park</t>
        </is>
      </c>
      <c r="T370" s="42">
        <f>IFERROR(INDEX(Venues!$E$2:$E$10,MATCH(S370,Venues!$A$2:$A$10,0)),"")</f>
        <v/>
      </c>
      <c r="U370" s="15">
        <f>IFERROR(INDEX(Venues!$F$2:$F$10,MATCH(S370,Venues!$A$2:$A$10,0)),"")</f>
        <v/>
      </c>
      <c r="V370" s="43">
        <f>IFERROR(INDEX(Venues!$H$2:$H$10,MATCH(S370,Venues!$A$2:$A$10,0)),"")</f>
        <v/>
      </c>
      <c r="W370" s="15">
        <f>IF('Pilot offer'!$C$24="Yes",'Pilot offer'!$C$3,S370)</f>
        <v/>
      </c>
      <c r="X370" s="42">
        <f>IF('Pilot offer'!$C$24="Yes",'Pilot offer'!$C$5+'Pilot offer'!$C$6,T370)</f>
        <v/>
      </c>
      <c r="Y370" s="15">
        <f>IF('Pilot offer'!$C$24="Yes",'Pilot offer'!$C$8,U370)</f>
        <v/>
      </c>
      <c r="Z370" s="43">
        <f>IF('Pilot offer'!$C$24="Yes",'Pilot offer'!$C$11,"")</f>
        <v/>
      </c>
      <c r="AA370" s="15">
        <f>IF(X370="","",W370&amp;" · "&amp;TEXT(X370,"ddd d mmm, hh:mm")&amp;" · "&amp;Y370&amp;IF(Z370&lt;&gt;""," · £"&amp;TEXT(Z370,"0.00")&amp;" per player"," · price TBC (cost £"&amp;TEXT(V370,"0.00")&amp;" pp)"))</f>
        <v/>
      </c>
      <c r="AD370" s="44" t="n"/>
    </row>
    <row r="371">
      <c r="A371" s="13" t="n">
        <v>369</v>
      </c>
      <c r="B371" s="13" t="inlineStr">
        <is>
          <t>2 · N1 Hoxton</t>
        </is>
      </c>
      <c r="C371" s="13" t="inlineStr">
        <is>
          <t>Office &amp; professional</t>
        </is>
      </c>
      <c r="D371" s="13" t="inlineStr">
        <is>
          <t>Corporate</t>
        </is>
      </c>
      <c r="E371" s="13" t="inlineStr">
        <is>
          <t>Invention Technology LLC - ITL</t>
        </is>
      </c>
      <c r="F371" s="13" t="inlineStr">
        <is>
          <t>service</t>
        </is>
      </c>
      <c r="G371" s="13" t="inlineStr">
        <is>
          <t>info@inventiontl.com</t>
        </is>
      </c>
      <c r="H371" s="13" t="inlineStr">
        <is>
          <t>general</t>
        </is>
      </c>
      <c r="I371" s="13" t="inlineStr">
        <is>
          <t>+44 7413 098632</t>
        </is>
      </c>
      <c r="J371" s="14" t="inlineStr">
        <is>
          <t>https://inventiontl.com/</t>
        </is>
      </c>
      <c r="K371" s="13" t="inlineStr">
        <is>
          <t>128 City Rd, London N1 6AD, UK</t>
        </is>
      </c>
      <c r="L371" s="13" t="inlineStr">
        <is>
          <t>N1 6AD</t>
        </is>
      </c>
      <c r="M371" s="13" t="inlineStr">
        <is>
          <t>Old St - Moreland Primary School</t>
        </is>
      </c>
      <c r="N371" s="13" t="n">
        <v>11</v>
      </c>
      <c r="O371" s="15">
        <f>IFERROR(INDEX(Venues!$C$2:$C$10,MATCH(M371,Venues!$A$2:$A$10,0)),"Not checked")</f>
        <v/>
      </c>
      <c r="P371" s="15">
        <f>IFERROR(INDEX(Venues!$D$2:$D$10,MATCH(M371,Venues!$A$2:$A$10,0)),0)</f>
        <v/>
      </c>
      <c r="Q371" s="42">
        <f>IFERROR(INDEX(Venues!$E$2:$E$10,MATCH(M371,Venues!$A$2:$A$10,0)),"")</f>
        <v/>
      </c>
      <c r="R371" s="15">
        <f>IF(P371&gt;0,"Yes","No")</f>
        <v/>
      </c>
      <c r="S371" s="13" t="inlineStr">
        <is>
          <t>Old St - Moreland Primary School</t>
        </is>
      </c>
      <c r="T371" s="42">
        <f>IFERROR(INDEX(Venues!$E$2:$E$10,MATCH(S371,Venues!$A$2:$A$10,0)),"")</f>
        <v/>
      </c>
      <c r="U371" s="15">
        <f>IFERROR(INDEX(Venues!$F$2:$F$10,MATCH(S371,Venues!$A$2:$A$10,0)),"")</f>
        <v/>
      </c>
      <c r="V371" s="43">
        <f>IFERROR(INDEX(Venues!$H$2:$H$10,MATCH(S371,Venues!$A$2:$A$10,0)),"")</f>
        <v/>
      </c>
      <c r="W371" s="15">
        <f>IF('Pilot offer'!$C$24="Yes",'Pilot offer'!$C$3,S371)</f>
        <v/>
      </c>
      <c r="X371" s="42">
        <f>IF('Pilot offer'!$C$24="Yes",'Pilot offer'!$C$5+'Pilot offer'!$C$6,T371)</f>
        <v/>
      </c>
      <c r="Y371" s="15">
        <f>IF('Pilot offer'!$C$24="Yes",'Pilot offer'!$C$8,U371)</f>
        <v/>
      </c>
      <c r="Z371" s="43">
        <f>IF('Pilot offer'!$C$24="Yes",'Pilot offer'!$C$11,"")</f>
        <v/>
      </c>
      <c r="AA371" s="15">
        <f>IF(X371="","",W371&amp;" · "&amp;TEXT(X371,"ddd d mmm, hh:mm")&amp;" · "&amp;Y371&amp;IF(Z371&lt;&gt;""," · £"&amp;TEXT(Z371,"0.00")&amp;" per player"," · price TBC (cost £"&amp;TEXT(V371,"0.00")&amp;" pp)"))</f>
        <v/>
      </c>
      <c r="AD371" s="44" t="n"/>
    </row>
    <row r="372">
      <c r="A372" s="13" t="n">
        <v>370</v>
      </c>
      <c r="B372" s="13" t="inlineStr">
        <is>
          <t>2 · N1 Hoxton</t>
        </is>
      </c>
      <c r="C372" s="13" t="inlineStr">
        <is>
          <t>Office &amp; professional</t>
        </is>
      </c>
      <c r="D372" s="13" t="inlineStr">
        <is>
          <t>Corporate</t>
        </is>
      </c>
      <c r="E372" s="13" t="inlineStr">
        <is>
          <t>Masabi</t>
        </is>
      </c>
      <c r="F372" s="13" t="inlineStr">
        <is>
          <t>it</t>
        </is>
      </c>
      <c r="G372" s="13" t="inlineStr">
        <is>
          <t>contact@masabi.com</t>
        </is>
      </c>
      <c r="H372" s="13" t="inlineStr">
        <is>
          <t>general</t>
        </is>
      </c>
      <c r="I372" s="13" t="n"/>
      <c r="J372" s="14" t="inlineStr">
        <is>
          <t>https://www.masabi.com/</t>
        </is>
      </c>
      <c r="K372" s="13" t="inlineStr">
        <is>
          <t>37 Bevenden Street, London</t>
        </is>
      </c>
      <c r="L372" s="13" t="inlineStr">
        <is>
          <t>N1 6BH</t>
        </is>
      </c>
      <c r="M372" s="13" t="inlineStr">
        <is>
          <t>Shoreditch Rooftop</t>
        </is>
      </c>
      <c r="N372" s="13" t="n">
        <v>9</v>
      </c>
      <c r="O372" s="15">
        <f>IFERROR(INDEX(Venues!$C$2:$C$10,MATCH(M372,Venues!$A$2:$A$10,0)),"Not checked")</f>
        <v/>
      </c>
      <c r="P372" s="15">
        <f>IFERROR(INDEX(Venues!$D$2:$D$10,MATCH(M372,Venues!$A$2:$A$10,0)),0)</f>
        <v/>
      </c>
      <c r="Q372" s="42">
        <f>IFERROR(INDEX(Venues!$E$2:$E$10,MATCH(M372,Venues!$A$2:$A$10,0)),"")</f>
        <v/>
      </c>
      <c r="R372" s="15">
        <f>IF(P372&gt;0,"Yes","No")</f>
        <v/>
      </c>
      <c r="S372" s="13" t="inlineStr">
        <is>
          <t>Shoreditch Rooftop</t>
        </is>
      </c>
      <c r="T372" s="42">
        <f>IFERROR(INDEX(Venues!$E$2:$E$10,MATCH(S372,Venues!$A$2:$A$10,0)),"")</f>
        <v/>
      </c>
      <c r="U372" s="15">
        <f>IFERROR(INDEX(Venues!$F$2:$F$10,MATCH(S372,Venues!$A$2:$A$10,0)),"")</f>
        <v/>
      </c>
      <c r="V372" s="43">
        <f>IFERROR(INDEX(Venues!$H$2:$H$10,MATCH(S372,Venues!$A$2:$A$10,0)),"")</f>
        <v/>
      </c>
      <c r="W372" s="15">
        <f>IF('Pilot offer'!$C$24="Yes",'Pilot offer'!$C$3,S372)</f>
        <v/>
      </c>
      <c r="X372" s="42">
        <f>IF('Pilot offer'!$C$24="Yes",'Pilot offer'!$C$5+'Pilot offer'!$C$6,T372)</f>
        <v/>
      </c>
      <c r="Y372" s="15">
        <f>IF('Pilot offer'!$C$24="Yes",'Pilot offer'!$C$8,U372)</f>
        <v/>
      </c>
      <c r="Z372" s="43">
        <f>IF('Pilot offer'!$C$24="Yes",'Pilot offer'!$C$11,"")</f>
        <v/>
      </c>
      <c r="AA372" s="15">
        <f>IF(X372="","",W372&amp;" · "&amp;TEXT(X372,"ddd d mmm, hh:mm")&amp;" · "&amp;Y372&amp;IF(Z372&lt;&gt;""," · £"&amp;TEXT(Z372,"0.00")&amp;" per player"," · price TBC (cost £"&amp;TEXT(V372,"0.00")&amp;" pp)"))</f>
        <v/>
      </c>
      <c r="AD372" s="44" t="n"/>
    </row>
    <row r="373">
      <c r="A373" s="13" t="n">
        <v>371</v>
      </c>
      <c r="B373" s="13" t="inlineStr">
        <is>
          <t>2 · N1 Hoxton</t>
        </is>
      </c>
      <c r="C373" s="13" t="inlineStr">
        <is>
          <t>Office &amp; professional</t>
        </is>
      </c>
      <c r="D373" s="13" t="inlineStr">
        <is>
          <t>Corporate</t>
        </is>
      </c>
      <c r="E373" s="13" t="inlineStr">
        <is>
          <t>Fathom Financial Consulting</t>
        </is>
      </c>
      <c r="F373" s="13" t="inlineStr">
        <is>
          <t>finance</t>
        </is>
      </c>
      <c r="G373" s="13" t="inlineStr">
        <is>
          <t>enquiries@fathom-consulting.com</t>
        </is>
      </c>
      <c r="H373" s="13" t="inlineStr">
        <is>
          <t>general</t>
        </is>
      </c>
      <c r="I373" s="13" t="inlineStr">
        <is>
          <t>+44 20 7796 9561</t>
        </is>
      </c>
      <c r="J373" s="14" t="inlineStr">
        <is>
          <t>https://www.fathom-consulting.com/</t>
        </is>
      </c>
      <c r="K373" s="13" t="inlineStr">
        <is>
          <t>47 Bevenden St, London N1 6BL, UK</t>
        </is>
      </c>
      <c r="L373" s="13" t="inlineStr">
        <is>
          <t>N1 6BL</t>
        </is>
      </c>
      <c r="M373" s="13" t="inlineStr">
        <is>
          <t>Shoreditch Rooftop</t>
        </is>
      </c>
      <c r="N373" s="13" t="n">
        <v>9</v>
      </c>
      <c r="O373" s="15">
        <f>IFERROR(INDEX(Venues!$C$2:$C$10,MATCH(M373,Venues!$A$2:$A$10,0)),"Not checked")</f>
        <v/>
      </c>
      <c r="P373" s="15">
        <f>IFERROR(INDEX(Venues!$D$2:$D$10,MATCH(M373,Venues!$A$2:$A$10,0)),0)</f>
        <v/>
      </c>
      <c r="Q373" s="42">
        <f>IFERROR(INDEX(Venues!$E$2:$E$10,MATCH(M373,Venues!$A$2:$A$10,0)),"")</f>
        <v/>
      </c>
      <c r="R373" s="15">
        <f>IF(P373&gt;0,"Yes","No")</f>
        <v/>
      </c>
      <c r="S373" s="13" t="inlineStr">
        <is>
          <t>Shoreditch Rooftop</t>
        </is>
      </c>
      <c r="T373" s="42">
        <f>IFERROR(INDEX(Venues!$E$2:$E$10,MATCH(S373,Venues!$A$2:$A$10,0)),"")</f>
        <v/>
      </c>
      <c r="U373" s="15">
        <f>IFERROR(INDEX(Venues!$F$2:$F$10,MATCH(S373,Venues!$A$2:$A$10,0)),"")</f>
        <v/>
      </c>
      <c r="V373" s="43">
        <f>IFERROR(INDEX(Venues!$H$2:$H$10,MATCH(S373,Venues!$A$2:$A$10,0)),"")</f>
        <v/>
      </c>
      <c r="W373" s="15">
        <f>IF('Pilot offer'!$C$24="Yes",'Pilot offer'!$C$3,S373)</f>
        <v/>
      </c>
      <c r="X373" s="42">
        <f>IF('Pilot offer'!$C$24="Yes",'Pilot offer'!$C$5+'Pilot offer'!$C$6,T373)</f>
        <v/>
      </c>
      <c r="Y373" s="15">
        <f>IF('Pilot offer'!$C$24="Yes",'Pilot offer'!$C$8,U373)</f>
        <v/>
      </c>
      <c r="Z373" s="43">
        <f>IF('Pilot offer'!$C$24="Yes",'Pilot offer'!$C$11,"")</f>
        <v/>
      </c>
      <c r="AA373" s="15">
        <f>IF(X373="","",W373&amp;" · "&amp;TEXT(X373,"ddd d mmm, hh:mm")&amp;" · "&amp;Y373&amp;IF(Z373&lt;&gt;""," · £"&amp;TEXT(Z373,"0.00")&amp;" per player"," · price TBC (cost £"&amp;TEXT(V373,"0.00")&amp;" pp)"))</f>
        <v/>
      </c>
      <c r="AD373" s="44" t="n"/>
    </row>
    <row r="374">
      <c r="A374" s="13" t="n">
        <v>372</v>
      </c>
      <c r="B374" s="13" t="inlineStr">
        <is>
          <t>2 · N1 Hoxton</t>
        </is>
      </c>
      <c r="C374" s="13" t="inlineStr">
        <is>
          <t>Office &amp; professional</t>
        </is>
      </c>
      <c r="D374" s="13" t="inlineStr">
        <is>
          <t>Local businesses</t>
        </is>
      </c>
      <c r="E374" s="13" t="inlineStr">
        <is>
          <t>Moving on</t>
        </is>
      </c>
      <c r="F374" s="13" t="inlineStr">
        <is>
          <t>shop: estate agent</t>
        </is>
      </c>
      <c r="G374" s="13" t="inlineStr">
        <is>
          <t>info@movingonlondon.com</t>
        </is>
      </c>
      <c r="H374" s="13" t="inlineStr">
        <is>
          <t>general</t>
        </is>
      </c>
      <c r="I374" s="13" t="n"/>
      <c r="J374" s="14" t="inlineStr">
        <is>
          <t>http://movingonlondon.com</t>
        </is>
      </c>
      <c r="K374" s="13" t="inlineStr">
        <is>
          <t>Pitfield Street 79, London</t>
        </is>
      </c>
      <c r="L374" s="13" t="inlineStr">
        <is>
          <t>N1 6BT</t>
        </is>
      </c>
      <c r="M374" s="13" t="inlineStr">
        <is>
          <t>Shoreditch Rooftop</t>
        </is>
      </c>
      <c r="N374" s="13" t="n">
        <v>9</v>
      </c>
      <c r="O374" s="15">
        <f>IFERROR(INDEX(Venues!$C$2:$C$10,MATCH(M374,Venues!$A$2:$A$10,0)),"Not checked")</f>
        <v/>
      </c>
      <c r="P374" s="15">
        <f>IFERROR(INDEX(Venues!$D$2:$D$10,MATCH(M374,Venues!$A$2:$A$10,0)),0)</f>
        <v/>
      </c>
      <c r="Q374" s="42">
        <f>IFERROR(INDEX(Venues!$E$2:$E$10,MATCH(M374,Venues!$A$2:$A$10,0)),"")</f>
        <v/>
      </c>
      <c r="R374" s="15">
        <f>IF(P374&gt;0,"Yes","No")</f>
        <v/>
      </c>
      <c r="S374" s="13" t="inlineStr">
        <is>
          <t>Shoreditch Rooftop</t>
        </is>
      </c>
      <c r="T374" s="42">
        <f>IFERROR(INDEX(Venues!$E$2:$E$10,MATCH(S374,Venues!$A$2:$A$10,0)),"")</f>
        <v/>
      </c>
      <c r="U374" s="15">
        <f>IFERROR(INDEX(Venues!$F$2:$F$10,MATCH(S374,Venues!$A$2:$A$10,0)),"")</f>
        <v/>
      </c>
      <c r="V374" s="43">
        <f>IFERROR(INDEX(Venues!$H$2:$H$10,MATCH(S374,Venues!$A$2:$A$10,0)),"")</f>
        <v/>
      </c>
      <c r="W374" s="15">
        <f>IF('Pilot offer'!$C$24="Yes",'Pilot offer'!$C$3,S374)</f>
        <v/>
      </c>
      <c r="X374" s="42">
        <f>IF('Pilot offer'!$C$24="Yes",'Pilot offer'!$C$5+'Pilot offer'!$C$6,T374)</f>
        <v/>
      </c>
      <c r="Y374" s="15">
        <f>IF('Pilot offer'!$C$24="Yes",'Pilot offer'!$C$8,U374)</f>
        <v/>
      </c>
      <c r="Z374" s="43">
        <f>IF('Pilot offer'!$C$24="Yes",'Pilot offer'!$C$11,"")</f>
        <v/>
      </c>
      <c r="AA374" s="15">
        <f>IF(X374="","",W374&amp;" · "&amp;TEXT(X374,"ddd d mmm, hh:mm")&amp;" · "&amp;Y374&amp;IF(Z374&lt;&gt;""," · £"&amp;TEXT(Z374,"0.00")&amp;" per player"," · price TBC (cost £"&amp;TEXT(V374,"0.00")&amp;" pp)"))</f>
        <v/>
      </c>
      <c r="AD374" s="44" t="n"/>
    </row>
    <row r="375">
      <c r="A375" s="13" t="n">
        <v>373</v>
      </c>
      <c r="B375" s="13" t="inlineStr">
        <is>
          <t>2 · N1 Hoxton</t>
        </is>
      </c>
      <c r="C375" s="13" t="inlineStr">
        <is>
          <t>Hospitality</t>
        </is>
      </c>
      <c r="D375" s="13" t="inlineStr">
        <is>
          <t>Local businesses</t>
        </is>
      </c>
      <c r="E375" s="13" t="inlineStr">
        <is>
          <t>Schnitzel Heaven</t>
        </is>
      </c>
      <c r="F375" s="13" t="inlineStr">
        <is>
          <t>amenity: restaurant</t>
        </is>
      </c>
      <c r="G375" s="13" t="inlineStr">
        <is>
          <t>info@schnitzelheaven.co.uk</t>
        </is>
      </c>
      <c r="H375" s="13" t="inlineStr">
        <is>
          <t>openstreetmap_tag</t>
        </is>
      </c>
      <c r="I375" s="13" t="n"/>
      <c r="J375" s="14" t="inlineStr">
        <is>
          <t>https://www.schnitzelheaven.co.uk</t>
        </is>
      </c>
      <c r="K375" s="13" t="inlineStr">
        <is>
          <t>Pitfield Street 57, London</t>
        </is>
      </c>
      <c r="L375" s="13" t="inlineStr">
        <is>
          <t>N1 6BU</t>
        </is>
      </c>
      <c r="M375" s="13" t="inlineStr">
        <is>
          <t>Shoreditch Rooftop</t>
        </is>
      </c>
      <c r="N375" s="13" t="n">
        <v>10</v>
      </c>
      <c r="O375" s="15">
        <f>IFERROR(INDEX(Venues!$C$2:$C$10,MATCH(M375,Venues!$A$2:$A$10,0)),"Not checked")</f>
        <v/>
      </c>
      <c r="P375" s="15">
        <f>IFERROR(INDEX(Venues!$D$2:$D$10,MATCH(M375,Venues!$A$2:$A$10,0)),0)</f>
        <v/>
      </c>
      <c r="Q375" s="42">
        <f>IFERROR(INDEX(Venues!$E$2:$E$10,MATCH(M375,Venues!$A$2:$A$10,0)),"")</f>
        <v/>
      </c>
      <c r="R375" s="15">
        <f>IF(P375&gt;0,"Yes","No")</f>
        <v/>
      </c>
      <c r="S375" s="13" t="inlineStr">
        <is>
          <t>Shoreditch Rooftop</t>
        </is>
      </c>
      <c r="T375" s="42">
        <f>IFERROR(INDEX(Venues!$E$2:$E$10,MATCH(S375,Venues!$A$2:$A$10,0)),"")</f>
        <v/>
      </c>
      <c r="U375" s="15">
        <f>IFERROR(INDEX(Venues!$F$2:$F$10,MATCH(S375,Venues!$A$2:$A$10,0)),"")</f>
        <v/>
      </c>
      <c r="V375" s="43">
        <f>IFERROR(INDEX(Venues!$H$2:$H$10,MATCH(S375,Venues!$A$2:$A$10,0)),"")</f>
        <v/>
      </c>
      <c r="W375" s="15">
        <f>IF('Pilot offer'!$C$24="Yes",'Pilot offer'!$C$3,S375)</f>
        <v/>
      </c>
      <c r="X375" s="42">
        <f>IF('Pilot offer'!$C$24="Yes",'Pilot offer'!$C$5+'Pilot offer'!$C$6,T375)</f>
        <v/>
      </c>
      <c r="Y375" s="15">
        <f>IF('Pilot offer'!$C$24="Yes",'Pilot offer'!$C$8,U375)</f>
        <v/>
      </c>
      <c r="Z375" s="43">
        <f>IF('Pilot offer'!$C$24="Yes",'Pilot offer'!$C$11,"")</f>
        <v/>
      </c>
      <c r="AA375" s="15">
        <f>IF(X375="","",W375&amp;" · "&amp;TEXT(X375,"ddd d mmm, hh:mm")&amp;" · "&amp;Y375&amp;IF(Z375&lt;&gt;""," · £"&amp;TEXT(Z375,"0.00")&amp;" per player"," · price TBC (cost £"&amp;TEXT(V375,"0.00")&amp;" pp)"))</f>
        <v/>
      </c>
      <c r="AD375" s="44" t="n"/>
    </row>
    <row r="376">
      <c r="A376" s="13" t="n">
        <v>374</v>
      </c>
      <c r="B376" s="13" t="inlineStr">
        <is>
          <t>2 · N1 Hoxton</t>
        </is>
      </c>
      <c r="C376" s="13" t="inlineStr">
        <is>
          <t>Hospitality</t>
        </is>
      </c>
      <c r="D376" s="13" t="inlineStr">
        <is>
          <t>Local businesses</t>
        </is>
      </c>
      <c r="E376" s="13" t="inlineStr">
        <is>
          <t>Sodo Pizza</t>
        </is>
      </c>
      <c r="F376" s="13" t="inlineStr">
        <is>
          <t>amenity: restaurant</t>
        </is>
      </c>
      <c r="G376" s="13" t="inlineStr">
        <is>
          <t>press@sodopizza.co.uk</t>
        </is>
      </c>
      <c r="H376" s="13" t="inlineStr">
        <is>
          <t>people_team</t>
        </is>
      </c>
      <c r="I376" s="13" t="n"/>
      <c r="J376" s="14" t="inlineStr">
        <is>
          <t>https://www.sodopizza.co.uk/</t>
        </is>
      </c>
      <c r="K376" s="13" t="inlineStr">
        <is>
          <t>Pitfield Street 63, London</t>
        </is>
      </c>
      <c r="L376" s="13" t="inlineStr">
        <is>
          <t>N1 6BU</t>
        </is>
      </c>
      <c r="M376" s="13" t="inlineStr">
        <is>
          <t>Shoreditch Rooftop</t>
        </is>
      </c>
      <c r="N376" s="13" t="n">
        <v>10</v>
      </c>
      <c r="O376" s="15">
        <f>IFERROR(INDEX(Venues!$C$2:$C$10,MATCH(M376,Venues!$A$2:$A$10,0)),"Not checked")</f>
        <v/>
      </c>
      <c r="P376" s="15">
        <f>IFERROR(INDEX(Venues!$D$2:$D$10,MATCH(M376,Venues!$A$2:$A$10,0)),0)</f>
        <v/>
      </c>
      <c r="Q376" s="42">
        <f>IFERROR(INDEX(Venues!$E$2:$E$10,MATCH(M376,Venues!$A$2:$A$10,0)),"")</f>
        <v/>
      </c>
      <c r="R376" s="15">
        <f>IF(P376&gt;0,"Yes","No")</f>
        <v/>
      </c>
      <c r="S376" s="13" t="inlineStr">
        <is>
          <t>Shoreditch Rooftop</t>
        </is>
      </c>
      <c r="T376" s="42">
        <f>IFERROR(INDEX(Venues!$E$2:$E$10,MATCH(S376,Venues!$A$2:$A$10,0)),"")</f>
        <v/>
      </c>
      <c r="U376" s="15">
        <f>IFERROR(INDEX(Venues!$F$2:$F$10,MATCH(S376,Venues!$A$2:$A$10,0)),"")</f>
        <v/>
      </c>
      <c r="V376" s="43">
        <f>IFERROR(INDEX(Venues!$H$2:$H$10,MATCH(S376,Venues!$A$2:$A$10,0)),"")</f>
        <v/>
      </c>
      <c r="W376" s="15">
        <f>IF('Pilot offer'!$C$24="Yes",'Pilot offer'!$C$3,S376)</f>
        <v/>
      </c>
      <c r="X376" s="42">
        <f>IF('Pilot offer'!$C$24="Yes",'Pilot offer'!$C$5+'Pilot offer'!$C$6,T376)</f>
        <v/>
      </c>
      <c r="Y376" s="15">
        <f>IF('Pilot offer'!$C$24="Yes",'Pilot offer'!$C$8,U376)</f>
        <v/>
      </c>
      <c r="Z376" s="43">
        <f>IF('Pilot offer'!$C$24="Yes",'Pilot offer'!$C$11,"")</f>
        <v/>
      </c>
      <c r="AA376" s="15">
        <f>IF(X376="","",W376&amp;" · "&amp;TEXT(X376,"ddd d mmm, hh:mm")&amp;" · "&amp;Y376&amp;IF(Z376&lt;&gt;""," · £"&amp;TEXT(Z376,"0.00")&amp;" per player"," · price TBC (cost £"&amp;TEXT(V376,"0.00")&amp;" pp)"))</f>
        <v/>
      </c>
      <c r="AD376" s="44" t="n"/>
    </row>
    <row r="377">
      <c r="A377" s="13" t="n">
        <v>375</v>
      </c>
      <c r="B377" s="13" t="inlineStr">
        <is>
          <t>2 · N1 Hoxton</t>
        </is>
      </c>
      <c r="C377" s="13" t="inlineStr">
        <is>
          <t>Hospitality</t>
        </is>
      </c>
      <c r="D377" s="13" t="inlineStr">
        <is>
          <t>Local businesses</t>
        </is>
      </c>
      <c r="E377" s="13" t="inlineStr">
        <is>
          <t>The George &amp; Vulture</t>
        </is>
      </c>
      <c r="F377" s="13" t="inlineStr">
        <is>
          <t>amenity: pub</t>
        </is>
      </c>
      <c r="G377" s="13" t="inlineStr">
        <is>
          <t>info@georgeandvulture.com</t>
        </is>
      </c>
      <c r="H377" s="13" t="inlineStr">
        <is>
          <t>general</t>
        </is>
      </c>
      <c r="I377" s="13" t="inlineStr">
        <is>
          <t>+44 20 7253 3988</t>
        </is>
      </c>
      <c r="J377" s="14" t="inlineStr">
        <is>
          <t>https://georgeandvulture.com/</t>
        </is>
      </c>
      <c r="K377" s="13" t="inlineStr">
        <is>
          <t>Pitfield Street 63, London</t>
        </is>
      </c>
      <c r="L377" s="13" t="inlineStr">
        <is>
          <t>N1 6BU</t>
        </is>
      </c>
      <c r="M377" s="13" t="inlineStr">
        <is>
          <t>Shoreditch Rooftop</t>
        </is>
      </c>
      <c r="N377" s="13" t="n">
        <v>10</v>
      </c>
      <c r="O377" s="15">
        <f>IFERROR(INDEX(Venues!$C$2:$C$10,MATCH(M377,Venues!$A$2:$A$10,0)),"Not checked")</f>
        <v/>
      </c>
      <c r="P377" s="15">
        <f>IFERROR(INDEX(Venues!$D$2:$D$10,MATCH(M377,Venues!$A$2:$A$10,0)),0)</f>
        <v/>
      </c>
      <c r="Q377" s="42">
        <f>IFERROR(INDEX(Venues!$E$2:$E$10,MATCH(M377,Venues!$A$2:$A$10,0)),"")</f>
        <v/>
      </c>
      <c r="R377" s="15">
        <f>IF(P377&gt;0,"Yes","No")</f>
        <v/>
      </c>
      <c r="S377" s="13" t="inlineStr">
        <is>
          <t>Shoreditch Rooftop</t>
        </is>
      </c>
      <c r="T377" s="42">
        <f>IFERROR(INDEX(Venues!$E$2:$E$10,MATCH(S377,Venues!$A$2:$A$10,0)),"")</f>
        <v/>
      </c>
      <c r="U377" s="15">
        <f>IFERROR(INDEX(Venues!$F$2:$F$10,MATCH(S377,Venues!$A$2:$A$10,0)),"")</f>
        <v/>
      </c>
      <c r="V377" s="43">
        <f>IFERROR(INDEX(Venues!$H$2:$H$10,MATCH(S377,Venues!$A$2:$A$10,0)),"")</f>
        <v/>
      </c>
      <c r="W377" s="15">
        <f>IF('Pilot offer'!$C$24="Yes",'Pilot offer'!$C$3,S377)</f>
        <v/>
      </c>
      <c r="X377" s="42">
        <f>IF('Pilot offer'!$C$24="Yes",'Pilot offer'!$C$5+'Pilot offer'!$C$6,T377)</f>
        <v/>
      </c>
      <c r="Y377" s="15">
        <f>IF('Pilot offer'!$C$24="Yes",'Pilot offer'!$C$8,U377)</f>
        <v/>
      </c>
      <c r="Z377" s="43">
        <f>IF('Pilot offer'!$C$24="Yes",'Pilot offer'!$C$11,"")</f>
        <v/>
      </c>
      <c r="AA377" s="15">
        <f>IF(X377="","",W377&amp;" · "&amp;TEXT(X377,"ddd d mmm, hh:mm")&amp;" · "&amp;Y377&amp;IF(Z377&lt;&gt;""," · £"&amp;TEXT(Z377,"0.00")&amp;" per player"," · price TBC (cost £"&amp;TEXT(V377,"0.00")&amp;" pp)"))</f>
        <v/>
      </c>
      <c r="AD377" s="44" t="n"/>
    </row>
    <row r="378">
      <c r="A378" s="13" t="n">
        <v>376</v>
      </c>
      <c r="B378" s="13" t="inlineStr">
        <is>
          <t>2 · N1 Hoxton</t>
        </is>
      </c>
      <c r="C378" s="13" t="inlineStr">
        <is>
          <t>Office &amp; professional</t>
        </is>
      </c>
      <c r="D378" s="13" t="inlineStr">
        <is>
          <t>Corporate</t>
        </is>
      </c>
      <c r="E378" s="13" t="inlineStr">
        <is>
          <t>London Youth</t>
        </is>
      </c>
      <c r="F378" s="13" t="inlineStr">
        <is>
          <t>charity</t>
        </is>
      </c>
      <c r="G378" s="13" t="inlineStr">
        <is>
          <t>hello@londonyouth.org</t>
        </is>
      </c>
      <c r="H378" s="13" t="inlineStr">
        <is>
          <t>general</t>
        </is>
      </c>
      <c r="I378" s="13" t="n"/>
      <c r="J378" s="14" t="inlineStr">
        <is>
          <t>http://www.londonyouth.org.uk</t>
        </is>
      </c>
      <c r="K378" s="13" t="inlineStr">
        <is>
          <t>47-49 Pitfield Street, London</t>
        </is>
      </c>
      <c r="L378" s="13" t="inlineStr">
        <is>
          <t>N1 6DA</t>
        </is>
      </c>
      <c r="M378" s="13" t="inlineStr">
        <is>
          <t>Shoreditch Rooftop</t>
        </is>
      </c>
      <c r="N378" s="13" t="n">
        <v>12</v>
      </c>
      <c r="O378" s="15">
        <f>IFERROR(INDEX(Venues!$C$2:$C$10,MATCH(M378,Venues!$A$2:$A$10,0)),"Not checked")</f>
        <v/>
      </c>
      <c r="P378" s="15">
        <f>IFERROR(INDEX(Venues!$D$2:$D$10,MATCH(M378,Venues!$A$2:$A$10,0)),0)</f>
        <v/>
      </c>
      <c r="Q378" s="42">
        <f>IFERROR(INDEX(Venues!$E$2:$E$10,MATCH(M378,Venues!$A$2:$A$10,0)),"")</f>
        <v/>
      </c>
      <c r="R378" s="15">
        <f>IF(P378&gt;0,"Yes","No")</f>
        <v/>
      </c>
      <c r="S378" s="13" t="inlineStr">
        <is>
          <t>Shoreditch Rooftop</t>
        </is>
      </c>
      <c r="T378" s="42">
        <f>IFERROR(INDEX(Venues!$E$2:$E$10,MATCH(S378,Venues!$A$2:$A$10,0)),"")</f>
        <v/>
      </c>
      <c r="U378" s="15">
        <f>IFERROR(INDEX(Venues!$F$2:$F$10,MATCH(S378,Venues!$A$2:$A$10,0)),"")</f>
        <v/>
      </c>
      <c r="V378" s="43">
        <f>IFERROR(INDEX(Venues!$H$2:$H$10,MATCH(S378,Venues!$A$2:$A$10,0)),"")</f>
        <v/>
      </c>
      <c r="W378" s="15">
        <f>IF('Pilot offer'!$C$24="Yes",'Pilot offer'!$C$3,S378)</f>
        <v/>
      </c>
      <c r="X378" s="42">
        <f>IF('Pilot offer'!$C$24="Yes",'Pilot offer'!$C$5+'Pilot offer'!$C$6,T378)</f>
        <v/>
      </c>
      <c r="Y378" s="15">
        <f>IF('Pilot offer'!$C$24="Yes",'Pilot offer'!$C$8,U378)</f>
        <v/>
      </c>
      <c r="Z378" s="43">
        <f>IF('Pilot offer'!$C$24="Yes",'Pilot offer'!$C$11,"")</f>
        <v/>
      </c>
      <c r="AA378" s="15">
        <f>IF(X378="","",W378&amp;" · "&amp;TEXT(X378,"ddd d mmm, hh:mm")&amp;" · "&amp;Y378&amp;IF(Z378&lt;&gt;""," · £"&amp;TEXT(Z378,"0.00")&amp;" per player"," · price TBC (cost £"&amp;TEXT(V378,"0.00")&amp;" pp)"))</f>
        <v/>
      </c>
      <c r="AD378" s="44" t="n"/>
    </row>
    <row r="379">
      <c r="A379" s="13" t="n">
        <v>377</v>
      </c>
      <c r="B379" s="13" t="inlineStr">
        <is>
          <t>2 · N1 Hoxton</t>
        </is>
      </c>
      <c r="C379" s="13" t="inlineStr">
        <is>
          <t>Office &amp; professional</t>
        </is>
      </c>
      <c r="D379" s="13" t="inlineStr">
        <is>
          <t>Corporate</t>
        </is>
      </c>
      <c r="E379" s="13" t="inlineStr">
        <is>
          <t>Pesky Fish Ltd.</t>
        </is>
      </c>
      <c r="F379" s="13" t="inlineStr">
        <is>
          <t>company</t>
        </is>
      </c>
      <c r="G379" s="13" t="inlineStr">
        <is>
          <t>bridge@peskyfish.co.uk</t>
        </is>
      </c>
      <c r="H379" s="13" t="inlineStr">
        <is>
          <t>person_or_other</t>
        </is>
      </c>
      <c r="I379" s="13" t="n"/>
      <c r="J379" s="14" t="inlineStr">
        <is>
          <t>https://www.peskyfish.co.uk/</t>
        </is>
      </c>
      <c r="K379" s="13" t="inlineStr">
        <is>
          <t>10-12 Bache's Street, London</t>
        </is>
      </c>
      <c r="L379" s="13" t="inlineStr">
        <is>
          <t>N1 6DL</t>
        </is>
      </c>
      <c r="M379" s="13" t="inlineStr">
        <is>
          <t>Shoreditch Rooftop</t>
        </is>
      </c>
      <c r="N379" s="13" t="n">
        <v>12</v>
      </c>
      <c r="O379" s="15">
        <f>IFERROR(INDEX(Venues!$C$2:$C$10,MATCH(M379,Venues!$A$2:$A$10,0)),"Not checked")</f>
        <v/>
      </c>
      <c r="P379" s="15">
        <f>IFERROR(INDEX(Venues!$D$2:$D$10,MATCH(M379,Venues!$A$2:$A$10,0)),0)</f>
        <v/>
      </c>
      <c r="Q379" s="42">
        <f>IFERROR(INDEX(Venues!$E$2:$E$10,MATCH(M379,Venues!$A$2:$A$10,0)),"")</f>
        <v/>
      </c>
      <c r="R379" s="15">
        <f>IF(P379&gt;0,"Yes","No")</f>
        <v/>
      </c>
      <c r="S379" s="13" t="inlineStr">
        <is>
          <t>Shoreditch Rooftop</t>
        </is>
      </c>
      <c r="T379" s="42">
        <f>IFERROR(INDEX(Venues!$E$2:$E$10,MATCH(S379,Venues!$A$2:$A$10,0)),"")</f>
        <v/>
      </c>
      <c r="U379" s="15">
        <f>IFERROR(INDEX(Venues!$F$2:$F$10,MATCH(S379,Venues!$A$2:$A$10,0)),"")</f>
        <v/>
      </c>
      <c r="V379" s="43">
        <f>IFERROR(INDEX(Venues!$H$2:$H$10,MATCH(S379,Venues!$A$2:$A$10,0)),"")</f>
        <v/>
      </c>
      <c r="W379" s="15">
        <f>IF('Pilot offer'!$C$24="Yes",'Pilot offer'!$C$3,S379)</f>
        <v/>
      </c>
      <c r="X379" s="42">
        <f>IF('Pilot offer'!$C$24="Yes",'Pilot offer'!$C$5+'Pilot offer'!$C$6,T379)</f>
        <v/>
      </c>
      <c r="Y379" s="15">
        <f>IF('Pilot offer'!$C$24="Yes",'Pilot offer'!$C$8,U379)</f>
        <v/>
      </c>
      <c r="Z379" s="43">
        <f>IF('Pilot offer'!$C$24="Yes",'Pilot offer'!$C$11,"")</f>
        <v/>
      </c>
      <c r="AA379" s="15">
        <f>IF(X379="","",W379&amp;" · "&amp;TEXT(X379,"ddd d mmm, hh:mm")&amp;" · "&amp;Y379&amp;IF(Z379&lt;&gt;""," · £"&amp;TEXT(Z379,"0.00")&amp;" per player"," · price TBC (cost £"&amp;TEXT(V379,"0.00")&amp;" pp)"))</f>
        <v/>
      </c>
      <c r="AD379" s="44" t="n"/>
    </row>
    <row r="380">
      <c r="A380" s="13" t="n">
        <v>378</v>
      </c>
      <c r="B380" s="13" t="inlineStr">
        <is>
          <t>2 · N1 Hoxton</t>
        </is>
      </c>
      <c r="C380" s="13" t="inlineStr">
        <is>
          <t>Hospitality</t>
        </is>
      </c>
      <c r="D380" s="13" t="inlineStr">
        <is>
          <t>Local businesses</t>
        </is>
      </c>
      <c r="E380" s="13" t="inlineStr">
        <is>
          <t>Prince Arthur</t>
        </is>
      </c>
      <c r="F380" s="13" t="inlineStr">
        <is>
          <t>amenity: pub</t>
        </is>
      </c>
      <c r="G380" s="13" t="inlineStr">
        <is>
          <t>info@theprincearthurpub.co.uk</t>
        </is>
      </c>
      <c r="H380" s="13" t="inlineStr">
        <is>
          <t>general</t>
        </is>
      </c>
      <c r="I380" s="13" t="inlineStr">
        <is>
          <t>+44 20 7336 6429</t>
        </is>
      </c>
      <c r="J380" s="14" t="inlineStr">
        <is>
          <t>https://www.theprincearthurpub.co.uk/</t>
        </is>
      </c>
      <c r="K380" s="13" t="inlineStr">
        <is>
          <t>Brunswick Place 49, London</t>
        </is>
      </c>
      <c r="L380" s="13" t="inlineStr">
        <is>
          <t>N1 6EB</t>
        </is>
      </c>
      <c r="M380" s="13" t="inlineStr">
        <is>
          <t>Shoreditch Rooftop</t>
        </is>
      </c>
      <c r="N380" s="13" t="n">
        <v>13</v>
      </c>
      <c r="O380" s="15">
        <f>IFERROR(INDEX(Venues!$C$2:$C$10,MATCH(M380,Venues!$A$2:$A$10,0)),"Not checked")</f>
        <v/>
      </c>
      <c r="P380" s="15">
        <f>IFERROR(INDEX(Venues!$D$2:$D$10,MATCH(M380,Venues!$A$2:$A$10,0)),0)</f>
        <v/>
      </c>
      <c r="Q380" s="42">
        <f>IFERROR(INDEX(Venues!$E$2:$E$10,MATCH(M380,Venues!$A$2:$A$10,0)),"")</f>
        <v/>
      </c>
      <c r="R380" s="15">
        <f>IF(P380&gt;0,"Yes","No")</f>
        <v/>
      </c>
      <c r="S380" s="13" t="inlineStr">
        <is>
          <t>Shoreditch Rooftop</t>
        </is>
      </c>
      <c r="T380" s="42">
        <f>IFERROR(INDEX(Venues!$E$2:$E$10,MATCH(S380,Venues!$A$2:$A$10,0)),"")</f>
        <v/>
      </c>
      <c r="U380" s="15">
        <f>IFERROR(INDEX(Venues!$F$2:$F$10,MATCH(S380,Venues!$A$2:$A$10,0)),"")</f>
        <v/>
      </c>
      <c r="V380" s="43">
        <f>IFERROR(INDEX(Venues!$H$2:$H$10,MATCH(S380,Venues!$A$2:$A$10,0)),"")</f>
        <v/>
      </c>
      <c r="W380" s="15">
        <f>IF('Pilot offer'!$C$24="Yes",'Pilot offer'!$C$3,S380)</f>
        <v/>
      </c>
      <c r="X380" s="42">
        <f>IF('Pilot offer'!$C$24="Yes",'Pilot offer'!$C$5+'Pilot offer'!$C$6,T380)</f>
        <v/>
      </c>
      <c r="Y380" s="15">
        <f>IF('Pilot offer'!$C$24="Yes",'Pilot offer'!$C$8,U380)</f>
        <v/>
      </c>
      <c r="Z380" s="43">
        <f>IF('Pilot offer'!$C$24="Yes",'Pilot offer'!$C$11,"")</f>
        <v/>
      </c>
      <c r="AA380" s="15">
        <f>IF(X380="","",W380&amp;" · "&amp;TEXT(X380,"ddd d mmm, hh:mm")&amp;" · "&amp;Y380&amp;IF(Z380&lt;&gt;""," · £"&amp;TEXT(Z380,"0.00")&amp;" per player"," · price TBC (cost £"&amp;TEXT(V380,"0.00")&amp;" pp)"))</f>
        <v/>
      </c>
      <c r="AD380" s="44" t="n"/>
    </row>
    <row r="381">
      <c r="A381" s="13" t="n">
        <v>379</v>
      </c>
      <c r="B381" s="13" t="inlineStr">
        <is>
          <t>2 · N1 Hoxton</t>
        </is>
      </c>
      <c r="C381" s="13" t="inlineStr">
        <is>
          <t>Coworking / shared office</t>
        </is>
      </c>
      <c r="D381" s="13" t="inlineStr">
        <is>
          <t>Corporate</t>
        </is>
      </c>
      <c r="E381" s="13" t="inlineStr">
        <is>
          <t>Vodafone</t>
        </is>
      </c>
      <c r="F381" s="13" t="inlineStr">
        <is>
          <t>office building (multi-tenant)</t>
        </is>
      </c>
      <c r="G381" s="13" t="inlineStr">
        <is>
          <t>matthew.johnson@vodafone.com</t>
        </is>
      </c>
      <c r="H381" s="13" t="inlineStr">
        <is>
          <t>person_or_other</t>
        </is>
      </c>
      <c r="I381" s="13" t="inlineStr">
        <is>
          <t>+44 371 384 2532</t>
        </is>
      </c>
      <c r="J381" s="14" t="inlineStr">
        <is>
          <t>https://www.vodafone.com/</t>
        </is>
      </c>
      <c r="K381" s="13" t="inlineStr">
        <is>
          <t>32-43 Chart Street, London</t>
        </is>
      </c>
      <c r="L381" s="13" t="inlineStr">
        <is>
          <t>N1 6EF</t>
        </is>
      </c>
      <c r="M381" s="13" t="inlineStr">
        <is>
          <t>Shoreditch Rooftop</t>
        </is>
      </c>
      <c r="N381" s="13" t="n">
        <v>12</v>
      </c>
      <c r="O381" s="15">
        <f>IFERROR(INDEX(Venues!$C$2:$C$10,MATCH(M381,Venues!$A$2:$A$10,0)),"Not checked")</f>
        <v/>
      </c>
      <c r="P381" s="15">
        <f>IFERROR(INDEX(Venues!$D$2:$D$10,MATCH(M381,Venues!$A$2:$A$10,0)),0)</f>
        <v/>
      </c>
      <c r="Q381" s="42">
        <f>IFERROR(INDEX(Venues!$E$2:$E$10,MATCH(M381,Venues!$A$2:$A$10,0)),"")</f>
        <v/>
      </c>
      <c r="R381" s="15">
        <f>IF(P381&gt;0,"Yes","No")</f>
        <v/>
      </c>
      <c r="S381" s="13" t="inlineStr">
        <is>
          <t>Shoreditch Rooftop</t>
        </is>
      </c>
      <c r="T381" s="42">
        <f>IFERROR(INDEX(Venues!$E$2:$E$10,MATCH(S381,Venues!$A$2:$A$10,0)),"")</f>
        <v/>
      </c>
      <c r="U381" s="15">
        <f>IFERROR(INDEX(Venues!$F$2:$F$10,MATCH(S381,Venues!$A$2:$A$10,0)),"")</f>
        <v/>
      </c>
      <c r="V381" s="43">
        <f>IFERROR(INDEX(Venues!$H$2:$H$10,MATCH(S381,Venues!$A$2:$A$10,0)),"")</f>
        <v/>
      </c>
      <c r="W381" s="15">
        <f>IF('Pilot offer'!$C$24="Yes",'Pilot offer'!$C$3,S381)</f>
        <v/>
      </c>
      <c r="X381" s="42">
        <f>IF('Pilot offer'!$C$24="Yes",'Pilot offer'!$C$5+'Pilot offer'!$C$6,T381)</f>
        <v/>
      </c>
      <c r="Y381" s="15">
        <f>IF('Pilot offer'!$C$24="Yes",'Pilot offer'!$C$8,U381)</f>
        <v/>
      </c>
      <c r="Z381" s="43">
        <f>IF('Pilot offer'!$C$24="Yes",'Pilot offer'!$C$11,"")</f>
        <v/>
      </c>
      <c r="AA381" s="15">
        <f>IF(X381="","",W381&amp;" · "&amp;TEXT(X381,"ddd d mmm, hh:mm")&amp;" · "&amp;Y381&amp;IF(Z381&lt;&gt;""," · £"&amp;TEXT(Z381,"0.00")&amp;" per player"," · price TBC (cost £"&amp;TEXT(V381,"0.00")&amp;" pp)"))</f>
        <v/>
      </c>
      <c r="AD381" s="44" t="n"/>
    </row>
    <row r="382">
      <c r="A382" s="13" t="n">
        <v>380</v>
      </c>
      <c r="B382" s="13" t="inlineStr">
        <is>
          <t>2 · N1 Hoxton</t>
        </is>
      </c>
      <c r="C382" s="13" t="inlineStr">
        <is>
          <t>Leisure &amp; culture</t>
        </is>
      </c>
      <c r="D382" s="13" t="inlineStr">
        <is>
          <t>Local businesses</t>
        </is>
      </c>
      <c r="E382" s="13" t="inlineStr">
        <is>
          <t>The Courtyard</t>
        </is>
      </c>
      <c r="F382" s="13" t="inlineStr">
        <is>
          <t>amenity: theatre</t>
        </is>
      </c>
      <c r="G382" s="13" t="inlineStr">
        <is>
          <t>info@thecourtyard.org.uk</t>
        </is>
      </c>
      <c r="H382" s="13" t="inlineStr">
        <is>
          <t>general</t>
        </is>
      </c>
      <c r="I382" s="13" t="n"/>
      <c r="J382" s="14" t="inlineStr">
        <is>
          <t>https://www.thecourtyard.org.uk/</t>
        </is>
      </c>
      <c r="K382" s="13" t="inlineStr">
        <is>
          <t>Pitfield Street 40, London</t>
        </is>
      </c>
      <c r="L382" s="13" t="inlineStr">
        <is>
          <t>N1 6EU</t>
        </is>
      </c>
      <c r="M382" s="13" t="inlineStr">
        <is>
          <t>Shoreditch Rooftop</t>
        </is>
      </c>
      <c r="N382" s="13" t="n">
        <v>12</v>
      </c>
      <c r="O382" s="15">
        <f>IFERROR(INDEX(Venues!$C$2:$C$10,MATCH(M382,Venues!$A$2:$A$10,0)),"Not checked")</f>
        <v/>
      </c>
      <c r="P382" s="15">
        <f>IFERROR(INDEX(Venues!$D$2:$D$10,MATCH(M382,Venues!$A$2:$A$10,0)),0)</f>
        <v/>
      </c>
      <c r="Q382" s="42">
        <f>IFERROR(INDEX(Venues!$E$2:$E$10,MATCH(M382,Venues!$A$2:$A$10,0)),"")</f>
        <v/>
      </c>
      <c r="R382" s="15">
        <f>IF(P382&gt;0,"Yes","No")</f>
        <v/>
      </c>
      <c r="S382" s="13" t="inlineStr">
        <is>
          <t>Shoreditch Rooftop</t>
        </is>
      </c>
      <c r="T382" s="42">
        <f>IFERROR(INDEX(Venues!$E$2:$E$10,MATCH(S382,Venues!$A$2:$A$10,0)),"")</f>
        <v/>
      </c>
      <c r="U382" s="15">
        <f>IFERROR(INDEX(Venues!$F$2:$F$10,MATCH(S382,Venues!$A$2:$A$10,0)),"")</f>
        <v/>
      </c>
      <c r="V382" s="43">
        <f>IFERROR(INDEX(Venues!$H$2:$H$10,MATCH(S382,Venues!$A$2:$A$10,0)),"")</f>
        <v/>
      </c>
      <c r="W382" s="15">
        <f>IF('Pilot offer'!$C$24="Yes",'Pilot offer'!$C$3,S382)</f>
        <v/>
      </c>
      <c r="X382" s="42">
        <f>IF('Pilot offer'!$C$24="Yes",'Pilot offer'!$C$5+'Pilot offer'!$C$6,T382)</f>
        <v/>
      </c>
      <c r="Y382" s="15">
        <f>IF('Pilot offer'!$C$24="Yes",'Pilot offer'!$C$8,U382)</f>
        <v/>
      </c>
      <c r="Z382" s="43">
        <f>IF('Pilot offer'!$C$24="Yes",'Pilot offer'!$C$11,"")</f>
        <v/>
      </c>
      <c r="AA382" s="15">
        <f>IF(X382="","",W382&amp;" · "&amp;TEXT(X382,"ddd d mmm, hh:mm")&amp;" · "&amp;Y382&amp;IF(Z382&lt;&gt;""," · £"&amp;TEXT(Z382,"0.00")&amp;" per player"," · price TBC (cost £"&amp;TEXT(V382,"0.00")&amp;" pp)"))</f>
        <v/>
      </c>
      <c r="AD382" s="44" t="n"/>
    </row>
    <row r="383">
      <c r="A383" s="13" t="n">
        <v>381</v>
      </c>
      <c r="B383" s="13" t="inlineStr">
        <is>
          <t>2 · N1 Hoxton</t>
        </is>
      </c>
      <c r="C383" s="13" t="inlineStr">
        <is>
          <t>Coworking / shared office</t>
        </is>
      </c>
      <c r="D383" s="13" t="inlineStr">
        <is>
          <t>Corporate</t>
        </is>
      </c>
      <c r="E383" s="13" t="inlineStr">
        <is>
          <t>Nexus Studios</t>
        </is>
      </c>
      <c r="F383" s="13" t="inlineStr">
        <is>
          <t>office building (multi-tenant)</t>
        </is>
      </c>
      <c r="G383" s="13" t="inlineStr">
        <is>
          <t>info@nexusstudios.com</t>
        </is>
      </c>
      <c r="H383" s="13" t="inlineStr">
        <is>
          <t>general</t>
        </is>
      </c>
      <c r="I383" s="13" t="n"/>
      <c r="J383" s="14" t="inlineStr">
        <is>
          <t>https://nexusstudios.com/</t>
        </is>
      </c>
      <c r="K383" s="13" t="inlineStr">
        <is>
          <t>25 Chart Street, London</t>
        </is>
      </c>
      <c r="L383" s="13" t="inlineStr">
        <is>
          <t>N1 6FA</t>
        </is>
      </c>
      <c r="M383" s="13" t="inlineStr">
        <is>
          <t>Shoreditch Rooftop</t>
        </is>
      </c>
      <c r="N383" s="13" t="n">
        <v>12</v>
      </c>
      <c r="O383" s="15">
        <f>IFERROR(INDEX(Venues!$C$2:$C$10,MATCH(M383,Venues!$A$2:$A$10,0)),"Not checked")</f>
        <v/>
      </c>
      <c r="P383" s="15">
        <f>IFERROR(INDEX(Venues!$D$2:$D$10,MATCH(M383,Venues!$A$2:$A$10,0)),0)</f>
        <v/>
      </c>
      <c r="Q383" s="42">
        <f>IFERROR(INDEX(Venues!$E$2:$E$10,MATCH(M383,Venues!$A$2:$A$10,0)),"")</f>
        <v/>
      </c>
      <c r="R383" s="15">
        <f>IF(P383&gt;0,"Yes","No")</f>
        <v/>
      </c>
      <c r="S383" s="13" t="inlineStr">
        <is>
          <t>Shoreditch Rooftop</t>
        </is>
      </c>
      <c r="T383" s="42">
        <f>IFERROR(INDEX(Venues!$E$2:$E$10,MATCH(S383,Venues!$A$2:$A$10,0)),"")</f>
        <v/>
      </c>
      <c r="U383" s="15">
        <f>IFERROR(INDEX(Venues!$F$2:$F$10,MATCH(S383,Venues!$A$2:$A$10,0)),"")</f>
        <v/>
      </c>
      <c r="V383" s="43">
        <f>IFERROR(INDEX(Venues!$H$2:$H$10,MATCH(S383,Venues!$A$2:$A$10,0)),"")</f>
        <v/>
      </c>
      <c r="W383" s="15">
        <f>IF('Pilot offer'!$C$24="Yes",'Pilot offer'!$C$3,S383)</f>
        <v/>
      </c>
      <c r="X383" s="42">
        <f>IF('Pilot offer'!$C$24="Yes",'Pilot offer'!$C$5+'Pilot offer'!$C$6,T383)</f>
        <v/>
      </c>
      <c r="Y383" s="15">
        <f>IF('Pilot offer'!$C$24="Yes",'Pilot offer'!$C$8,U383)</f>
        <v/>
      </c>
      <c r="Z383" s="43">
        <f>IF('Pilot offer'!$C$24="Yes",'Pilot offer'!$C$11,"")</f>
        <v/>
      </c>
      <c r="AA383" s="15">
        <f>IF(X383="","",W383&amp;" · "&amp;TEXT(X383,"ddd d mmm, hh:mm")&amp;" · "&amp;Y383&amp;IF(Z383&lt;&gt;""," · £"&amp;TEXT(Z383,"0.00")&amp;" per player"," · price TBC (cost £"&amp;TEXT(V383,"0.00")&amp;" pp)"))</f>
        <v/>
      </c>
      <c r="AD383" s="44" t="n"/>
    </row>
    <row r="384">
      <c r="A384" s="13" t="n">
        <v>382</v>
      </c>
      <c r="B384" s="13" t="inlineStr">
        <is>
          <t>2 · N1 Hoxton</t>
        </is>
      </c>
      <c r="C384" s="13" t="inlineStr">
        <is>
          <t>Retail</t>
        </is>
      </c>
      <c r="D384" s="13" t="inlineStr">
        <is>
          <t>Local businesses</t>
        </is>
      </c>
      <c r="E384" s="13" t="inlineStr">
        <is>
          <t>Orhan</t>
        </is>
      </c>
      <c r="F384" s="13" t="inlineStr">
        <is>
          <t>shop: tailor</t>
        </is>
      </c>
      <c r="G384" s="13" t="inlineStr">
        <is>
          <t>info@orhanlondontailoring.com</t>
        </is>
      </c>
      <c r="H384" s="13" t="inlineStr">
        <is>
          <t>general</t>
        </is>
      </c>
      <c r="I384" s="13" t="inlineStr">
        <is>
          <t>+44 20 7250 3569</t>
        </is>
      </c>
      <c r="J384" s="14" t="inlineStr">
        <is>
          <t>https://www.orhanlondontailoring.com/</t>
        </is>
      </c>
      <c r="K384" s="13" t="inlineStr">
        <is>
          <t>Pitfield Street 25a, London</t>
        </is>
      </c>
      <c r="L384" s="13" t="inlineStr">
        <is>
          <t>N1 6HB</t>
        </is>
      </c>
      <c r="M384" s="13" t="inlineStr">
        <is>
          <t>Shoreditch Rooftop</t>
        </is>
      </c>
      <c r="N384" s="13" t="n">
        <v>13</v>
      </c>
      <c r="O384" s="15">
        <f>IFERROR(INDEX(Venues!$C$2:$C$10,MATCH(M384,Venues!$A$2:$A$10,0)),"Not checked")</f>
        <v/>
      </c>
      <c r="P384" s="15">
        <f>IFERROR(INDEX(Venues!$D$2:$D$10,MATCH(M384,Venues!$A$2:$A$10,0)),0)</f>
        <v/>
      </c>
      <c r="Q384" s="42">
        <f>IFERROR(INDEX(Venues!$E$2:$E$10,MATCH(M384,Venues!$A$2:$A$10,0)),"")</f>
        <v/>
      </c>
      <c r="R384" s="15">
        <f>IF(P384&gt;0,"Yes","No")</f>
        <v/>
      </c>
      <c r="S384" s="13" t="inlineStr">
        <is>
          <t>Shoreditch Rooftop</t>
        </is>
      </c>
      <c r="T384" s="42">
        <f>IFERROR(INDEX(Venues!$E$2:$E$10,MATCH(S384,Venues!$A$2:$A$10,0)),"")</f>
        <v/>
      </c>
      <c r="U384" s="15">
        <f>IFERROR(INDEX(Venues!$F$2:$F$10,MATCH(S384,Venues!$A$2:$A$10,0)),"")</f>
        <v/>
      </c>
      <c r="V384" s="43">
        <f>IFERROR(INDEX(Venues!$H$2:$H$10,MATCH(S384,Venues!$A$2:$A$10,0)),"")</f>
        <v/>
      </c>
      <c r="W384" s="15">
        <f>IF('Pilot offer'!$C$24="Yes",'Pilot offer'!$C$3,S384)</f>
        <v/>
      </c>
      <c r="X384" s="42">
        <f>IF('Pilot offer'!$C$24="Yes",'Pilot offer'!$C$5+'Pilot offer'!$C$6,T384)</f>
        <v/>
      </c>
      <c r="Y384" s="15">
        <f>IF('Pilot offer'!$C$24="Yes",'Pilot offer'!$C$8,U384)</f>
        <v/>
      </c>
      <c r="Z384" s="43">
        <f>IF('Pilot offer'!$C$24="Yes",'Pilot offer'!$C$11,"")</f>
        <v/>
      </c>
      <c r="AA384" s="15">
        <f>IF(X384="","",W384&amp;" · "&amp;TEXT(X384,"ddd d mmm, hh:mm")&amp;" · "&amp;Y384&amp;IF(Z384&lt;&gt;""," · £"&amp;TEXT(Z384,"0.00")&amp;" per player"," · price TBC (cost £"&amp;TEXT(V384,"0.00")&amp;" pp)"))</f>
        <v/>
      </c>
      <c r="AD384" s="44" t="n"/>
    </row>
    <row r="385">
      <c r="A385" s="13" t="n">
        <v>383</v>
      </c>
      <c r="B385" s="13" t="inlineStr">
        <is>
          <t>2 · N1 Hoxton</t>
        </is>
      </c>
      <c r="C385" s="13" t="inlineStr">
        <is>
          <t>Education</t>
        </is>
      </c>
      <c r="D385" s="13" t="inlineStr">
        <is>
          <t>Local businesses</t>
        </is>
      </c>
      <c r="E385" s="13" t="inlineStr">
        <is>
          <t>St John the Baptist Voluntary Aided Church of England Primary School</t>
        </is>
      </c>
      <c r="F385" s="13" t="inlineStr">
        <is>
          <t>amenity: school</t>
        </is>
      </c>
      <c r="G385" s="13" t="inlineStr">
        <is>
          <t>office@st-john.hackney.sch.uk</t>
        </is>
      </c>
      <c r="H385" s="13" t="inlineStr">
        <is>
          <t>general</t>
        </is>
      </c>
      <c r="I385" s="13" t="inlineStr">
        <is>
          <t>+44 20 7739 4902</t>
        </is>
      </c>
      <c r="J385" s="14" t="inlineStr">
        <is>
          <t>https://st-john.hackney.sch.uk/</t>
        </is>
      </c>
      <c r="K385" s="13" t="inlineStr">
        <is>
          <t>Crondall Street, London</t>
        </is>
      </c>
      <c r="L385" s="13" t="inlineStr">
        <is>
          <t>N1 6JG</t>
        </is>
      </c>
      <c r="M385" s="13" t="inlineStr">
        <is>
          <t>Shoreditch Rooftop</t>
        </is>
      </c>
      <c r="N385" s="13" t="n">
        <v>7</v>
      </c>
      <c r="O385" s="15">
        <f>IFERROR(INDEX(Venues!$C$2:$C$10,MATCH(M385,Venues!$A$2:$A$10,0)),"Not checked")</f>
        <v/>
      </c>
      <c r="P385" s="15">
        <f>IFERROR(INDEX(Venues!$D$2:$D$10,MATCH(M385,Venues!$A$2:$A$10,0)),0)</f>
        <v/>
      </c>
      <c r="Q385" s="42">
        <f>IFERROR(INDEX(Venues!$E$2:$E$10,MATCH(M385,Venues!$A$2:$A$10,0)),"")</f>
        <v/>
      </c>
      <c r="R385" s="15">
        <f>IF(P385&gt;0,"Yes","No")</f>
        <v/>
      </c>
      <c r="S385" s="13" t="inlineStr">
        <is>
          <t>Shoreditch Rooftop</t>
        </is>
      </c>
      <c r="T385" s="42">
        <f>IFERROR(INDEX(Venues!$E$2:$E$10,MATCH(S385,Venues!$A$2:$A$10,0)),"")</f>
        <v/>
      </c>
      <c r="U385" s="15">
        <f>IFERROR(INDEX(Venues!$F$2:$F$10,MATCH(S385,Venues!$A$2:$A$10,0)),"")</f>
        <v/>
      </c>
      <c r="V385" s="43">
        <f>IFERROR(INDEX(Venues!$H$2:$H$10,MATCH(S385,Venues!$A$2:$A$10,0)),"")</f>
        <v/>
      </c>
      <c r="W385" s="15">
        <f>IF('Pilot offer'!$C$24="Yes",'Pilot offer'!$C$3,S385)</f>
        <v/>
      </c>
      <c r="X385" s="42">
        <f>IF('Pilot offer'!$C$24="Yes",'Pilot offer'!$C$5+'Pilot offer'!$C$6,T385)</f>
        <v/>
      </c>
      <c r="Y385" s="15">
        <f>IF('Pilot offer'!$C$24="Yes",'Pilot offer'!$C$8,U385)</f>
        <v/>
      </c>
      <c r="Z385" s="43">
        <f>IF('Pilot offer'!$C$24="Yes",'Pilot offer'!$C$11,"")</f>
        <v/>
      </c>
      <c r="AA385" s="15">
        <f>IF(X385="","",W385&amp;" · "&amp;TEXT(X385,"ddd d mmm, hh:mm")&amp;" · "&amp;Y385&amp;IF(Z385&lt;&gt;""," · £"&amp;TEXT(Z385,"0.00")&amp;" per player"," · price TBC (cost £"&amp;TEXT(V385,"0.00")&amp;" pp)"))</f>
        <v/>
      </c>
      <c r="AD385" s="44" t="n"/>
    </row>
    <row r="386">
      <c r="A386" s="13" t="n">
        <v>384</v>
      </c>
      <c r="B386" s="13" t="inlineStr">
        <is>
          <t>2 · N1 Hoxton</t>
        </is>
      </c>
      <c r="C386" s="13" t="inlineStr">
        <is>
          <t>Office &amp; professional</t>
        </is>
      </c>
      <c r="D386" s="13" t="inlineStr">
        <is>
          <t>Corporate</t>
        </is>
      </c>
      <c r="E386" s="13" t="inlineStr">
        <is>
          <t>Full Fat</t>
        </is>
      </c>
      <c r="F386" s="13" t="inlineStr">
        <is>
          <t>service</t>
        </is>
      </c>
      <c r="G386" s="13" t="inlineStr">
        <is>
          <t>info@wearefullfat.com</t>
        </is>
      </c>
      <c r="H386" s="13" t="inlineStr">
        <is>
          <t>general</t>
        </is>
      </c>
      <c r="I386" s="13" t="inlineStr">
        <is>
          <t>+44 20 7183 9525</t>
        </is>
      </c>
      <c r="J386" s="14" t="inlineStr">
        <is>
          <t>http://wearefullfat.com/</t>
        </is>
      </c>
      <c r="K386" s="13" t="inlineStr">
        <is>
          <t>71 Fanshaw St, London N1 6LA, UK</t>
        </is>
      </c>
      <c r="L386" s="13" t="inlineStr">
        <is>
          <t>N1 6LA</t>
        </is>
      </c>
      <c r="M386" s="13" t="inlineStr">
        <is>
          <t>Shoreditch Rooftop</t>
        </is>
      </c>
      <c r="N386" s="13" t="n">
        <v>10</v>
      </c>
      <c r="O386" s="15">
        <f>IFERROR(INDEX(Venues!$C$2:$C$10,MATCH(M386,Venues!$A$2:$A$10,0)),"Not checked")</f>
        <v/>
      </c>
      <c r="P386" s="15">
        <f>IFERROR(INDEX(Venues!$D$2:$D$10,MATCH(M386,Venues!$A$2:$A$10,0)),0)</f>
        <v/>
      </c>
      <c r="Q386" s="42">
        <f>IFERROR(INDEX(Venues!$E$2:$E$10,MATCH(M386,Venues!$A$2:$A$10,0)),"")</f>
        <v/>
      </c>
      <c r="R386" s="15">
        <f>IF(P386&gt;0,"Yes","No")</f>
        <v/>
      </c>
      <c r="S386" s="13" t="inlineStr">
        <is>
          <t>Shoreditch Rooftop</t>
        </is>
      </c>
      <c r="T386" s="42">
        <f>IFERROR(INDEX(Venues!$E$2:$E$10,MATCH(S386,Venues!$A$2:$A$10,0)),"")</f>
        <v/>
      </c>
      <c r="U386" s="15">
        <f>IFERROR(INDEX(Venues!$F$2:$F$10,MATCH(S386,Venues!$A$2:$A$10,0)),"")</f>
        <v/>
      </c>
      <c r="V386" s="43">
        <f>IFERROR(INDEX(Venues!$H$2:$H$10,MATCH(S386,Venues!$A$2:$A$10,0)),"")</f>
        <v/>
      </c>
      <c r="W386" s="15">
        <f>IF('Pilot offer'!$C$24="Yes",'Pilot offer'!$C$3,S386)</f>
        <v/>
      </c>
      <c r="X386" s="42">
        <f>IF('Pilot offer'!$C$24="Yes",'Pilot offer'!$C$5+'Pilot offer'!$C$6,T386)</f>
        <v/>
      </c>
      <c r="Y386" s="15">
        <f>IF('Pilot offer'!$C$24="Yes",'Pilot offer'!$C$8,U386)</f>
        <v/>
      </c>
      <c r="Z386" s="43">
        <f>IF('Pilot offer'!$C$24="Yes",'Pilot offer'!$C$11,"")</f>
        <v/>
      </c>
      <c r="AA386" s="15">
        <f>IF(X386="","",W386&amp;" · "&amp;TEXT(X386,"ddd d mmm, hh:mm")&amp;" · "&amp;Y386&amp;IF(Z386&lt;&gt;""," · £"&amp;TEXT(Z386,"0.00")&amp;" per player"," · price TBC (cost £"&amp;TEXT(V386,"0.00")&amp;" pp)"))</f>
        <v/>
      </c>
      <c r="AD386" s="44" t="n"/>
    </row>
    <row r="387">
      <c r="A387" s="13" t="n">
        <v>385</v>
      </c>
      <c r="B387" s="13" t="inlineStr">
        <is>
          <t>2 · N1 Hoxton</t>
        </is>
      </c>
      <c r="C387" s="13" t="inlineStr">
        <is>
          <t>Leisure &amp; culture</t>
        </is>
      </c>
      <c r="D387" s="13" t="inlineStr">
        <is>
          <t>Local businesses</t>
        </is>
      </c>
      <c r="E387" s="13" t="inlineStr">
        <is>
          <t>Breen Legacy Academy of Martial Arts</t>
        </is>
      </c>
      <c r="F387" s="13" t="inlineStr">
        <is>
          <t>amenity: dojo</t>
        </is>
      </c>
      <c r="G387" s="13" t="inlineStr">
        <is>
          <t>breenlegacyacademy@gmail.com</t>
        </is>
      </c>
      <c r="H387" s="13" t="inlineStr">
        <is>
          <t>openstreetmap_tag</t>
        </is>
      </c>
      <c r="I387" s="13" t="n"/>
      <c r="J387" s="14" t="inlineStr">
        <is>
          <t>https://www.breenlegacyacademy.co.uk/</t>
        </is>
      </c>
      <c r="K387" s="13" t="inlineStr">
        <is>
          <t>Redvers Street, London</t>
        </is>
      </c>
      <c r="L387" s="13" t="inlineStr">
        <is>
          <t>N1 6NE</t>
        </is>
      </c>
      <c r="M387" s="13" t="inlineStr">
        <is>
          <t>Shoreditch Rooftop</t>
        </is>
      </c>
      <c r="N387" s="13" t="n">
        <v>10</v>
      </c>
      <c r="O387" s="15">
        <f>IFERROR(INDEX(Venues!$C$2:$C$10,MATCH(M387,Venues!$A$2:$A$10,0)),"Not checked")</f>
        <v/>
      </c>
      <c r="P387" s="15">
        <f>IFERROR(INDEX(Venues!$D$2:$D$10,MATCH(M387,Venues!$A$2:$A$10,0)),0)</f>
        <v/>
      </c>
      <c r="Q387" s="42">
        <f>IFERROR(INDEX(Venues!$E$2:$E$10,MATCH(M387,Venues!$A$2:$A$10,0)),"")</f>
        <v/>
      </c>
      <c r="R387" s="15">
        <f>IF(P387&gt;0,"Yes","No")</f>
        <v/>
      </c>
      <c r="S387" s="13" t="inlineStr">
        <is>
          <t>Shoreditch Rooftop</t>
        </is>
      </c>
      <c r="T387" s="42">
        <f>IFERROR(INDEX(Venues!$E$2:$E$10,MATCH(S387,Venues!$A$2:$A$10,0)),"")</f>
        <v/>
      </c>
      <c r="U387" s="15">
        <f>IFERROR(INDEX(Venues!$F$2:$F$10,MATCH(S387,Venues!$A$2:$A$10,0)),"")</f>
        <v/>
      </c>
      <c r="V387" s="43">
        <f>IFERROR(INDEX(Venues!$H$2:$H$10,MATCH(S387,Venues!$A$2:$A$10,0)),"")</f>
        <v/>
      </c>
      <c r="W387" s="15">
        <f>IF('Pilot offer'!$C$24="Yes",'Pilot offer'!$C$3,S387)</f>
        <v/>
      </c>
      <c r="X387" s="42">
        <f>IF('Pilot offer'!$C$24="Yes",'Pilot offer'!$C$5+'Pilot offer'!$C$6,T387)</f>
        <v/>
      </c>
      <c r="Y387" s="15">
        <f>IF('Pilot offer'!$C$24="Yes",'Pilot offer'!$C$8,U387)</f>
        <v/>
      </c>
      <c r="Z387" s="43">
        <f>IF('Pilot offer'!$C$24="Yes",'Pilot offer'!$C$11,"")</f>
        <v/>
      </c>
      <c r="AA387" s="15">
        <f>IF(X387="","",W387&amp;" · "&amp;TEXT(X387,"ddd d mmm, hh:mm")&amp;" · "&amp;Y387&amp;IF(Z387&lt;&gt;""," · £"&amp;TEXT(Z387,"0.00")&amp;" per player"," · price TBC (cost £"&amp;TEXT(V387,"0.00")&amp;" pp)"))</f>
        <v/>
      </c>
      <c r="AD387" s="44" t="n"/>
    </row>
    <row r="388">
      <c r="A388" s="13" t="n">
        <v>386</v>
      </c>
      <c r="B388" s="13" t="inlineStr">
        <is>
          <t>2 · N1 Hoxton</t>
        </is>
      </c>
      <c r="C388" s="13" t="inlineStr">
        <is>
          <t>Hospitality</t>
        </is>
      </c>
      <c r="D388" s="13" t="inlineStr">
        <is>
          <t>Local businesses</t>
        </is>
      </c>
      <c r="E388" s="13" t="inlineStr">
        <is>
          <t>Red Lion</t>
        </is>
      </c>
      <c r="F388" s="13" t="inlineStr">
        <is>
          <t>amenity: pub</t>
        </is>
      </c>
      <c r="G388" s="13" t="inlineStr">
        <is>
          <t>redlionenquieries@gmail.com</t>
        </is>
      </c>
      <c r="H388" s="13" t="inlineStr">
        <is>
          <t>freemail</t>
        </is>
      </c>
      <c r="I388" s="13" t="inlineStr">
        <is>
          <t>+44 20 7729 7920</t>
        </is>
      </c>
      <c r="J388" s="14" t="inlineStr">
        <is>
          <t>https://www.redlionhoxton.co.uk</t>
        </is>
      </c>
      <c r="K388" s="13" t="inlineStr">
        <is>
          <t>Hoxton Street 41, London</t>
        </is>
      </c>
      <c r="L388" s="13" t="inlineStr">
        <is>
          <t>N1 6NH</t>
        </is>
      </c>
      <c r="M388" s="13" t="inlineStr">
        <is>
          <t>Shoreditch Rooftop</t>
        </is>
      </c>
      <c r="N388" s="13" t="n">
        <v>12</v>
      </c>
      <c r="O388" s="15">
        <f>IFERROR(INDEX(Venues!$C$2:$C$10,MATCH(M388,Venues!$A$2:$A$10,0)),"Not checked")</f>
        <v/>
      </c>
      <c r="P388" s="15">
        <f>IFERROR(INDEX(Venues!$D$2:$D$10,MATCH(M388,Venues!$A$2:$A$10,0)),0)</f>
        <v/>
      </c>
      <c r="Q388" s="42">
        <f>IFERROR(INDEX(Venues!$E$2:$E$10,MATCH(M388,Venues!$A$2:$A$10,0)),"")</f>
        <v/>
      </c>
      <c r="R388" s="15">
        <f>IF(P388&gt;0,"Yes","No")</f>
        <v/>
      </c>
      <c r="S388" s="13" t="inlineStr">
        <is>
          <t>Shoreditch Rooftop</t>
        </is>
      </c>
      <c r="T388" s="42">
        <f>IFERROR(INDEX(Venues!$E$2:$E$10,MATCH(S388,Venues!$A$2:$A$10,0)),"")</f>
        <v/>
      </c>
      <c r="U388" s="15">
        <f>IFERROR(INDEX(Venues!$F$2:$F$10,MATCH(S388,Venues!$A$2:$A$10,0)),"")</f>
        <v/>
      </c>
      <c r="V388" s="43">
        <f>IFERROR(INDEX(Venues!$H$2:$H$10,MATCH(S388,Venues!$A$2:$A$10,0)),"")</f>
        <v/>
      </c>
      <c r="W388" s="15">
        <f>IF('Pilot offer'!$C$24="Yes",'Pilot offer'!$C$3,S388)</f>
        <v/>
      </c>
      <c r="X388" s="42">
        <f>IF('Pilot offer'!$C$24="Yes",'Pilot offer'!$C$5+'Pilot offer'!$C$6,T388)</f>
        <v/>
      </c>
      <c r="Y388" s="15">
        <f>IF('Pilot offer'!$C$24="Yes",'Pilot offer'!$C$8,U388)</f>
        <v/>
      </c>
      <c r="Z388" s="43">
        <f>IF('Pilot offer'!$C$24="Yes",'Pilot offer'!$C$11,"")</f>
        <v/>
      </c>
      <c r="AA388" s="15">
        <f>IF(X388="","",W388&amp;" · "&amp;TEXT(X388,"ddd d mmm, hh:mm")&amp;" · "&amp;Y388&amp;IF(Z388&lt;&gt;""," · £"&amp;TEXT(Z388,"0.00")&amp;" per player"," · price TBC (cost £"&amp;TEXT(V388,"0.00")&amp;" pp)"))</f>
        <v/>
      </c>
      <c r="AD388" s="44" t="n"/>
    </row>
    <row r="389">
      <c r="A389" s="13" t="n">
        <v>387</v>
      </c>
      <c r="B389" s="13" t="inlineStr">
        <is>
          <t>2 · N1 Hoxton</t>
        </is>
      </c>
      <c r="C389" s="13" t="inlineStr">
        <is>
          <t>Office &amp; professional</t>
        </is>
      </c>
      <c r="D389" s="13" t="inlineStr">
        <is>
          <t>Corporate</t>
        </is>
      </c>
      <c r="E389" s="13" t="inlineStr">
        <is>
          <t>Wiedemann Lampe</t>
        </is>
      </c>
      <c r="F389" s="13" t="inlineStr">
        <is>
          <t>graphic_design</t>
        </is>
      </c>
      <c r="G389" s="13" t="inlineStr">
        <is>
          <t>hello@wiedemannlampe.com</t>
        </is>
      </c>
      <c r="H389" s="13" t="inlineStr">
        <is>
          <t>general</t>
        </is>
      </c>
      <c r="I389" s="13" t="inlineStr">
        <is>
          <t>+44 20 7655 4448</t>
        </is>
      </c>
      <c r="J389" s="14" t="inlineStr">
        <is>
          <t>https://wiedemannlampe.com/</t>
        </is>
      </c>
      <c r="K389" s="13" t="inlineStr">
        <is>
          <t>41 Hoxton Square, London</t>
        </is>
      </c>
      <c r="L389" s="13" t="inlineStr">
        <is>
          <t>N1 6PB</t>
        </is>
      </c>
      <c r="M389" s="13" t="inlineStr">
        <is>
          <t>Shoreditch Rooftop</t>
        </is>
      </c>
      <c r="N389" s="13" t="n">
        <v>14</v>
      </c>
      <c r="O389" s="15">
        <f>IFERROR(INDEX(Venues!$C$2:$C$10,MATCH(M389,Venues!$A$2:$A$10,0)),"Not checked")</f>
        <v/>
      </c>
      <c r="P389" s="15">
        <f>IFERROR(INDEX(Venues!$D$2:$D$10,MATCH(M389,Venues!$A$2:$A$10,0)),0)</f>
        <v/>
      </c>
      <c r="Q389" s="42">
        <f>IFERROR(INDEX(Venues!$E$2:$E$10,MATCH(M389,Venues!$A$2:$A$10,0)),"")</f>
        <v/>
      </c>
      <c r="R389" s="15">
        <f>IF(P389&gt;0,"Yes","No")</f>
        <v/>
      </c>
      <c r="S389" s="13" t="inlineStr">
        <is>
          <t>Shoreditch Rooftop</t>
        </is>
      </c>
      <c r="T389" s="42">
        <f>IFERROR(INDEX(Venues!$E$2:$E$10,MATCH(S389,Venues!$A$2:$A$10,0)),"")</f>
        <v/>
      </c>
      <c r="U389" s="15">
        <f>IFERROR(INDEX(Venues!$F$2:$F$10,MATCH(S389,Venues!$A$2:$A$10,0)),"")</f>
        <v/>
      </c>
      <c r="V389" s="43">
        <f>IFERROR(INDEX(Venues!$H$2:$H$10,MATCH(S389,Venues!$A$2:$A$10,0)),"")</f>
        <v/>
      </c>
      <c r="W389" s="15">
        <f>IF('Pilot offer'!$C$24="Yes",'Pilot offer'!$C$3,S389)</f>
        <v/>
      </c>
      <c r="X389" s="42">
        <f>IF('Pilot offer'!$C$24="Yes",'Pilot offer'!$C$5+'Pilot offer'!$C$6,T389)</f>
        <v/>
      </c>
      <c r="Y389" s="15">
        <f>IF('Pilot offer'!$C$24="Yes",'Pilot offer'!$C$8,U389)</f>
        <v/>
      </c>
      <c r="Z389" s="43">
        <f>IF('Pilot offer'!$C$24="Yes",'Pilot offer'!$C$11,"")</f>
        <v/>
      </c>
      <c r="AA389" s="15">
        <f>IF(X389="","",W389&amp;" · "&amp;TEXT(X389,"ddd d mmm, hh:mm")&amp;" · "&amp;Y389&amp;IF(Z389&lt;&gt;""," · £"&amp;TEXT(Z389,"0.00")&amp;" per player"," · price TBC (cost £"&amp;TEXT(V389,"0.00")&amp;" pp)"))</f>
        <v/>
      </c>
      <c r="AD389" s="44" t="n"/>
    </row>
    <row r="390">
      <c r="A390" s="13" t="n">
        <v>388</v>
      </c>
      <c r="B390" s="13" t="inlineStr">
        <is>
          <t>2 · N1 Hoxton</t>
        </is>
      </c>
      <c r="C390" s="13" t="inlineStr">
        <is>
          <t>Other</t>
        </is>
      </c>
      <c r="D390" s="13" t="inlineStr">
        <is>
          <t>Local businesses</t>
        </is>
      </c>
      <c r="E390" s="13" t="inlineStr">
        <is>
          <t>Hoxton Chiropractic</t>
        </is>
      </c>
      <c r="F390" s="13" t="inlineStr">
        <is>
          <t>healthcare: alternative</t>
        </is>
      </c>
      <c r="G390" s="13" t="inlineStr">
        <is>
          <t>info@hoxtonchiropractic.com</t>
        </is>
      </c>
      <c r="H390" s="13" t="inlineStr">
        <is>
          <t>general</t>
        </is>
      </c>
      <c r="I390" s="13" t="inlineStr">
        <is>
          <t>+44 20 7354 0444</t>
        </is>
      </c>
      <c r="J390" s="14" t="inlineStr">
        <is>
          <t>https://hoxtonchiropractic.com/</t>
        </is>
      </c>
      <c r="K390" s="13" t="inlineStr">
        <is>
          <t>Hoxton Square 57, London</t>
        </is>
      </c>
      <c r="L390" s="13" t="inlineStr">
        <is>
          <t>N1 6PD</t>
        </is>
      </c>
      <c r="M390" s="13" t="inlineStr">
        <is>
          <t>Shoreditch Rooftop</t>
        </is>
      </c>
      <c r="N390" s="13" t="n">
        <v>13</v>
      </c>
      <c r="O390" s="15">
        <f>IFERROR(INDEX(Venues!$C$2:$C$10,MATCH(M390,Venues!$A$2:$A$10,0)),"Not checked")</f>
        <v/>
      </c>
      <c r="P390" s="15">
        <f>IFERROR(INDEX(Venues!$D$2:$D$10,MATCH(M390,Venues!$A$2:$A$10,0)),0)</f>
        <v/>
      </c>
      <c r="Q390" s="42">
        <f>IFERROR(INDEX(Venues!$E$2:$E$10,MATCH(M390,Venues!$A$2:$A$10,0)),"")</f>
        <v/>
      </c>
      <c r="R390" s="15">
        <f>IF(P390&gt;0,"Yes","No")</f>
        <v/>
      </c>
      <c r="S390" s="13" t="inlineStr">
        <is>
          <t>Shoreditch Rooftop</t>
        </is>
      </c>
      <c r="T390" s="42">
        <f>IFERROR(INDEX(Venues!$E$2:$E$10,MATCH(S390,Venues!$A$2:$A$10,0)),"")</f>
        <v/>
      </c>
      <c r="U390" s="15">
        <f>IFERROR(INDEX(Venues!$F$2:$F$10,MATCH(S390,Venues!$A$2:$A$10,0)),"")</f>
        <v/>
      </c>
      <c r="V390" s="43">
        <f>IFERROR(INDEX(Venues!$H$2:$H$10,MATCH(S390,Venues!$A$2:$A$10,0)),"")</f>
        <v/>
      </c>
      <c r="W390" s="15">
        <f>IF('Pilot offer'!$C$24="Yes",'Pilot offer'!$C$3,S390)</f>
        <v/>
      </c>
      <c r="X390" s="42">
        <f>IF('Pilot offer'!$C$24="Yes",'Pilot offer'!$C$5+'Pilot offer'!$C$6,T390)</f>
        <v/>
      </c>
      <c r="Y390" s="15">
        <f>IF('Pilot offer'!$C$24="Yes",'Pilot offer'!$C$8,U390)</f>
        <v/>
      </c>
      <c r="Z390" s="43">
        <f>IF('Pilot offer'!$C$24="Yes",'Pilot offer'!$C$11,"")</f>
        <v/>
      </c>
      <c r="AA390" s="15">
        <f>IF(X390="","",W390&amp;" · "&amp;TEXT(X390,"ddd d mmm, hh:mm")&amp;" · "&amp;Y390&amp;IF(Z390&lt;&gt;""," · £"&amp;TEXT(Z390,"0.00")&amp;" per player"," · price TBC (cost £"&amp;TEXT(V390,"0.00")&amp;" pp)"))</f>
        <v/>
      </c>
      <c r="AD390" s="44" t="n"/>
    </row>
    <row r="391">
      <c r="A391" s="13" t="n">
        <v>389</v>
      </c>
      <c r="B391" s="13" t="inlineStr">
        <is>
          <t>2 · N1 Hoxton</t>
        </is>
      </c>
      <c r="C391" s="13" t="inlineStr">
        <is>
          <t>Hospitality</t>
        </is>
      </c>
      <c r="D391" s="13" t="inlineStr">
        <is>
          <t>Local businesses</t>
        </is>
      </c>
      <c r="E391" s="13" t="inlineStr">
        <is>
          <t>Senza Fondo</t>
        </is>
      </c>
      <c r="F391" s="13" t="inlineStr">
        <is>
          <t>amenity: restaurant</t>
        </is>
      </c>
      <c r="G391" s="13" t="inlineStr">
        <is>
          <t>ciao@senzafondo.com</t>
        </is>
      </c>
      <c r="H391" s="13" t="inlineStr">
        <is>
          <t>openstreetmap_tag</t>
        </is>
      </c>
      <c r="I391" s="13" t="n"/>
      <c r="J391" s="14" t="inlineStr">
        <is>
          <t>https://www.senzafondo.com/</t>
        </is>
      </c>
      <c r="K391" s="13" t="inlineStr">
        <is>
          <t>Rufus Street 1, London</t>
        </is>
      </c>
      <c r="L391" s="13" t="inlineStr">
        <is>
          <t>N1 6PE</t>
        </is>
      </c>
      <c r="M391" s="13" t="inlineStr">
        <is>
          <t>Shoreditch Rooftop</t>
        </is>
      </c>
      <c r="N391" s="13" t="n">
        <v>14</v>
      </c>
      <c r="O391" s="15">
        <f>IFERROR(INDEX(Venues!$C$2:$C$10,MATCH(M391,Venues!$A$2:$A$10,0)),"Not checked")</f>
        <v/>
      </c>
      <c r="P391" s="15">
        <f>IFERROR(INDEX(Venues!$D$2:$D$10,MATCH(M391,Venues!$A$2:$A$10,0)),0)</f>
        <v/>
      </c>
      <c r="Q391" s="42">
        <f>IFERROR(INDEX(Venues!$E$2:$E$10,MATCH(M391,Venues!$A$2:$A$10,0)),"")</f>
        <v/>
      </c>
      <c r="R391" s="15">
        <f>IF(P391&gt;0,"Yes","No")</f>
        <v/>
      </c>
      <c r="S391" s="13" t="inlineStr">
        <is>
          <t>Shoreditch Rooftop</t>
        </is>
      </c>
      <c r="T391" s="42">
        <f>IFERROR(INDEX(Venues!$E$2:$E$10,MATCH(S391,Venues!$A$2:$A$10,0)),"")</f>
        <v/>
      </c>
      <c r="U391" s="15">
        <f>IFERROR(INDEX(Venues!$F$2:$F$10,MATCH(S391,Venues!$A$2:$A$10,0)),"")</f>
        <v/>
      </c>
      <c r="V391" s="43">
        <f>IFERROR(INDEX(Venues!$H$2:$H$10,MATCH(S391,Venues!$A$2:$A$10,0)),"")</f>
        <v/>
      </c>
      <c r="W391" s="15">
        <f>IF('Pilot offer'!$C$24="Yes",'Pilot offer'!$C$3,S391)</f>
        <v/>
      </c>
      <c r="X391" s="42">
        <f>IF('Pilot offer'!$C$24="Yes",'Pilot offer'!$C$5+'Pilot offer'!$C$6,T391)</f>
        <v/>
      </c>
      <c r="Y391" s="15">
        <f>IF('Pilot offer'!$C$24="Yes",'Pilot offer'!$C$8,U391)</f>
        <v/>
      </c>
      <c r="Z391" s="43">
        <f>IF('Pilot offer'!$C$24="Yes",'Pilot offer'!$C$11,"")</f>
        <v/>
      </c>
      <c r="AA391" s="15">
        <f>IF(X391="","",W391&amp;" · "&amp;TEXT(X391,"ddd d mmm, hh:mm")&amp;" · "&amp;Y391&amp;IF(Z391&lt;&gt;""," · £"&amp;TEXT(Z391,"0.00")&amp;" per player"," · price TBC (cost £"&amp;TEXT(V391,"0.00")&amp;" pp)"))</f>
        <v/>
      </c>
      <c r="AD391" s="44" t="n"/>
    </row>
    <row r="392">
      <c r="A392" s="13" t="n">
        <v>390</v>
      </c>
      <c r="B392" s="13" t="inlineStr">
        <is>
          <t>2 · N1 Hoxton</t>
        </is>
      </c>
      <c r="C392" s="13" t="inlineStr">
        <is>
          <t>Retail</t>
        </is>
      </c>
      <c r="D392" s="13" t="inlineStr">
        <is>
          <t>Local businesses</t>
        </is>
      </c>
      <c r="E392" s="13" t="inlineStr">
        <is>
          <t>Hoxtans</t>
        </is>
      </c>
      <c r="F392" s="13" t="inlineStr">
        <is>
          <t>shop: beauty</t>
        </is>
      </c>
      <c r="G392" s="13" t="inlineStr">
        <is>
          <t>hoxtans@gmail.com</t>
        </is>
      </c>
      <c r="H392" s="13" t="inlineStr">
        <is>
          <t>openstreetmap_tag</t>
        </is>
      </c>
      <c r="I392" s="13" t="inlineStr">
        <is>
          <t>+44 20 3325 6208</t>
        </is>
      </c>
      <c r="J392" s="13" t="n"/>
      <c r="K392" s="13" t="inlineStr">
        <is>
          <t>Hoxton Street 203, London</t>
        </is>
      </c>
      <c r="L392" s="13" t="inlineStr">
        <is>
          <t>N1 6RA</t>
        </is>
      </c>
      <c r="M392" s="13" t="inlineStr">
        <is>
          <t>Shoreditch Rooftop</t>
        </is>
      </c>
      <c r="N392" s="13" t="n">
        <v>6</v>
      </c>
      <c r="O392" s="15">
        <f>IFERROR(INDEX(Venues!$C$2:$C$10,MATCH(M392,Venues!$A$2:$A$10,0)),"Not checked")</f>
        <v/>
      </c>
      <c r="P392" s="15">
        <f>IFERROR(INDEX(Venues!$D$2:$D$10,MATCH(M392,Venues!$A$2:$A$10,0)),0)</f>
        <v/>
      </c>
      <c r="Q392" s="42">
        <f>IFERROR(INDEX(Venues!$E$2:$E$10,MATCH(M392,Venues!$A$2:$A$10,0)),"")</f>
        <v/>
      </c>
      <c r="R392" s="15">
        <f>IF(P392&gt;0,"Yes","No")</f>
        <v/>
      </c>
      <c r="S392" s="13" t="inlineStr">
        <is>
          <t>Shoreditch Rooftop</t>
        </is>
      </c>
      <c r="T392" s="42">
        <f>IFERROR(INDEX(Venues!$E$2:$E$10,MATCH(S392,Venues!$A$2:$A$10,0)),"")</f>
        <v/>
      </c>
      <c r="U392" s="15">
        <f>IFERROR(INDEX(Venues!$F$2:$F$10,MATCH(S392,Venues!$A$2:$A$10,0)),"")</f>
        <v/>
      </c>
      <c r="V392" s="43">
        <f>IFERROR(INDEX(Venues!$H$2:$H$10,MATCH(S392,Venues!$A$2:$A$10,0)),"")</f>
        <v/>
      </c>
      <c r="W392" s="15">
        <f>IF('Pilot offer'!$C$24="Yes",'Pilot offer'!$C$3,S392)</f>
        <v/>
      </c>
      <c r="X392" s="42">
        <f>IF('Pilot offer'!$C$24="Yes",'Pilot offer'!$C$5+'Pilot offer'!$C$6,T392)</f>
        <v/>
      </c>
      <c r="Y392" s="15">
        <f>IF('Pilot offer'!$C$24="Yes",'Pilot offer'!$C$8,U392)</f>
        <v/>
      </c>
      <c r="Z392" s="43">
        <f>IF('Pilot offer'!$C$24="Yes",'Pilot offer'!$C$11,"")</f>
        <v/>
      </c>
      <c r="AA392" s="15">
        <f>IF(X392="","",W392&amp;" · "&amp;TEXT(X392,"ddd d mmm, hh:mm")&amp;" · "&amp;Y392&amp;IF(Z392&lt;&gt;""," · £"&amp;TEXT(Z392,"0.00")&amp;" per player"," · price TBC (cost £"&amp;TEXT(V392,"0.00")&amp;" pp)"))</f>
        <v/>
      </c>
      <c r="AD392" s="44" t="n"/>
    </row>
    <row r="393">
      <c r="A393" s="13" t="n">
        <v>391</v>
      </c>
      <c r="B393" s="13" t="inlineStr">
        <is>
          <t>2 · N1 Hoxton</t>
        </is>
      </c>
      <c r="C393" s="13" t="inlineStr">
        <is>
          <t>Retail</t>
        </is>
      </c>
      <c r="D393" s="13" t="inlineStr">
        <is>
          <t>Local businesses</t>
        </is>
      </c>
      <c r="E393" s="13" t="inlineStr">
        <is>
          <t>Open Barbers</t>
        </is>
      </c>
      <c r="F393" s="13" t="inlineStr">
        <is>
          <t>shop: hairdresser</t>
        </is>
      </c>
      <c r="G393" s="13" t="inlineStr">
        <is>
          <t>openouthair@gmail.com</t>
        </is>
      </c>
      <c r="H393" s="13" t="inlineStr">
        <is>
          <t>freemail</t>
        </is>
      </c>
      <c r="I393" s="13" t="inlineStr">
        <is>
          <t>+44 7546 017849</t>
        </is>
      </c>
      <c r="J393" s="14" t="inlineStr">
        <is>
          <t>http://openbarbers.com/</t>
        </is>
      </c>
      <c r="K393" s="13" t="inlineStr">
        <is>
          <t>Clunbury Street 4, London</t>
        </is>
      </c>
      <c r="L393" s="13" t="inlineStr">
        <is>
          <t>N1 6TT</t>
        </is>
      </c>
      <c r="M393" s="13" t="inlineStr">
        <is>
          <t>Shoreditch Rooftop</t>
        </is>
      </c>
      <c r="N393" s="13" t="n">
        <v>5</v>
      </c>
      <c r="O393" s="15">
        <f>IFERROR(INDEX(Venues!$C$2:$C$10,MATCH(M393,Venues!$A$2:$A$10,0)),"Not checked")</f>
        <v/>
      </c>
      <c r="P393" s="15">
        <f>IFERROR(INDEX(Venues!$D$2:$D$10,MATCH(M393,Venues!$A$2:$A$10,0)),0)</f>
        <v/>
      </c>
      <c r="Q393" s="42">
        <f>IFERROR(INDEX(Venues!$E$2:$E$10,MATCH(M393,Venues!$A$2:$A$10,0)),"")</f>
        <v/>
      </c>
      <c r="R393" s="15">
        <f>IF(P393&gt;0,"Yes","No")</f>
        <v/>
      </c>
      <c r="S393" s="13" t="inlineStr">
        <is>
          <t>Shoreditch Rooftop</t>
        </is>
      </c>
      <c r="T393" s="42">
        <f>IFERROR(INDEX(Venues!$E$2:$E$10,MATCH(S393,Venues!$A$2:$A$10,0)),"")</f>
        <v/>
      </c>
      <c r="U393" s="15">
        <f>IFERROR(INDEX(Venues!$F$2:$F$10,MATCH(S393,Venues!$A$2:$A$10,0)),"")</f>
        <v/>
      </c>
      <c r="V393" s="43">
        <f>IFERROR(INDEX(Venues!$H$2:$H$10,MATCH(S393,Venues!$A$2:$A$10,0)),"")</f>
        <v/>
      </c>
      <c r="W393" s="15">
        <f>IF('Pilot offer'!$C$24="Yes",'Pilot offer'!$C$3,S393)</f>
        <v/>
      </c>
      <c r="X393" s="42">
        <f>IF('Pilot offer'!$C$24="Yes",'Pilot offer'!$C$5+'Pilot offer'!$C$6,T393)</f>
        <v/>
      </c>
      <c r="Y393" s="15">
        <f>IF('Pilot offer'!$C$24="Yes",'Pilot offer'!$C$8,U393)</f>
        <v/>
      </c>
      <c r="Z393" s="43">
        <f>IF('Pilot offer'!$C$24="Yes",'Pilot offer'!$C$11,"")</f>
        <v/>
      </c>
      <c r="AA393" s="15">
        <f>IF(X393="","",W393&amp;" · "&amp;TEXT(X393,"ddd d mmm, hh:mm")&amp;" · "&amp;Y393&amp;IF(Z393&lt;&gt;""," · £"&amp;TEXT(Z393,"0.00")&amp;" per player"," · price TBC (cost £"&amp;TEXT(V393,"0.00")&amp;" pp)"))</f>
        <v/>
      </c>
      <c r="AD393" s="44" t="n"/>
    </row>
    <row r="394">
      <c r="A394" s="13" t="n">
        <v>392</v>
      </c>
      <c r="B394" s="13" t="inlineStr">
        <is>
          <t>2 · N1 Hoxton</t>
        </is>
      </c>
      <c r="C394" s="13" t="inlineStr">
        <is>
          <t>Retail</t>
        </is>
      </c>
      <c r="D394" s="13" t="inlineStr">
        <is>
          <t>Local businesses</t>
        </is>
      </c>
      <c r="E394" s="13" t="inlineStr">
        <is>
          <t>Grahams HiFi</t>
        </is>
      </c>
      <c r="F394" s="13" t="inlineStr">
        <is>
          <t>shop: audio video</t>
        </is>
      </c>
      <c r="G394" s="13" t="inlineStr">
        <is>
          <t>enq@grahams.co.uk</t>
        </is>
      </c>
      <c r="H394" s="13" t="inlineStr">
        <is>
          <t>person_or_other</t>
        </is>
      </c>
      <c r="I394" s="13" t="inlineStr">
        <is>
          <t>+44 20 7688 2850</t>
        </is>
      </c>
      <c r="J394" s="14" t="inlineStr">
        <is>
          <t>https://www.grahams.co.uk/</t>
        </is>
      </c>
      <c r="K394" s="13" t="inlineStr">
        <is>
          <t>New North Road 190a, London</t>
        </is>
      </c>
      <c r="L394" s="13" t="inlineStr">
        <is>
          <t>N1 7BS</t>
        </is>
      </c>
      <c r="M394" s="13" t="inlineStr">
        <is>
          <t>Rosemary Gardens 3G - Islington</t>
        </is>
      </c>
      <c r="N394" s="13" t="n">
        <v>4</v>
      </c>
      <c r="O394" s="15">
        <f>IFERROR(INDEX(Venues!$C$2:$C$10,MATCH(M394,Venues!$A$2:$A$10,0)),"Not checked")</f>
        <v/>
      </c>
      <c r="P394" s="15">
        <f>IFERROR(INDEX(Venues!$D$2:$D$10,MATCH(M394,Venues!$A$2:$A$10,0)),0)</f>
        <v/>
      </c>
      <c r="Q394" s="42">
        <f>IFERROR(INDEX(Venues!$E$2:$E$10,MATCH(M394,Venues!$A$2:$A$10,0)),"")</f>
        <v/>
      </c>
      <c r="R394" s="15">
        <f>IF(P394&gt;0,"Yes","No")</f>
        <v/>
      </c>
      <c r="S394" s="13" t="inlineStr">
        <is>
          <t>COLA Shoreditch Park</t>
        </is>
      </c>
      <c r="T394" s="42">
        <f>IFERROR(INDEX(Venues!$E$2:$E$10,MATCH(S394,Venues!$A$2:$A$10,0)),"")</f>
        <v/>
      </c>
      <c r="U394" s="15">
        <f>IFERROR(INDEX(Venues!$F$2:$F$10,MATCH(S394,Venues!$A$2:$A$10,0)),"")</f>
        <v/>
      </c>
      <c r="V394" s="43">
        <f>IFERROR(INDEX(Venues!$H$2:$H$10,MATCH(S394,Venues!$A$2:$A$10,0)),"")</f>
        <v/>
      </c>
      <c r="W394" s="15">
        <f>IF('Pilot offer'!$C$24="Yes",'Pilot offer'!$C$3,S394)</f>
        <v/>
      </c>
      <c r="X394" s="42">
        <f>IF('Pilot offer'!$C$24="Yes",'Pilot offer'!$C$5+'Pilot offer'!$C$6,T394)</f>
        <v/>
      </c>
      <c r="Y394" s="15">
        <f>IF('Pilot offer'!$C$24="Yes",'Pilot offer'!$C$8,U394)</f>
        <v/>
      </c>
      <c r="Z394" s="43">
        <f>IF('Pilot offer'!$C$24="Yes",'Pilot offer'!$C$11,"")</f>
        <v/>
      </c>
      <c r="AA394" s="15">
        <f>IF(X394="","",W394&amp;" · "&amp;TEXT(X394,"ddd d mmm, hh:mm")&amp;" · "&amp;Y394&amp;IF(Z394&lt;&gt;""," · £"&amp;TEXT(Z394,"0.00")&amp;" per player"," · price TBC (cost £"&amp;TEXT(V394,"0.00")&amp;" pp)"))</f>
        <v/>
      </c>
      <c r="AD394" s="44" t="n"/>
    </row>
    <row r="395">
      <c r="A395" s="13" t="n">
        <v>393</v>
      </c>
      <c r="B395" s="13" t="inlineStr">
        <is>
          <t>2 · N1 Hoxton</t>
        </is>
      </c>
      <c r="C395" s="13" t="inlineStr">
        <is>
          <t>Office &amp; professional</t>
        </is>
      </c>
      <c r="D395" s="13" t="inlineStr">
        <is>
          <t>Corporate</t>
        </is>
      </c>
      <c r="E395" s="13" t="inlineStr">
        <is>
          <t>Mary Katrantzou Head Office &amp; Warehouse</t>
        </is>
      </c>
      <c r="F395" s="13" t="inlineStr">
        <is>
          <t>corporate_office</t>
        </is>
      </c>
      <c r="G395" s="13" t="inlineStr">
        <is>
          <t>info@marykatrantzou.com</t>
        </is>
      </c>
      <c r="H395" s="13" t="inlineStr">
        <is>
          <t>general</t>
        </is>
      </c>
      <c r="I395" s="13" t="inlineStr">
        <is>
          <t>+44 20 3393 0804</t>
        </is>
      </c>
      <c r="J395" s="14" t="inlineStr">
        <is>
          <t>https://www.marykatrantzou.com/</t>
        </is>
      </c>
      <c r="K395" s="13" t="inlineStr">
        <is>
          <t>190A New N Rd, London N1 7BS, UK</t>
        </is>
      </c>
      <c r="L395" s="13" t="inlineStr">
        <is>
          <t>N1 7BS</t>
        </is>
      </c>
      <c r="M395" s="13" t="inlineStr">
        <is>
          <t>Rosemary Gardens 3G - Islington</t>
        </is>
      </c>
      <c r="N395" s="13" t="n">
        <v>4</v>
      </c>
      <c r="O395" s="15">
        <f>IFERROR(INDEX(Venues!$C$2:$C$10,MATCH(M395,Venues!$A$2:$A$10,0)),"Not checked")</f>
        <v/>
      </c>
      <c r="P395" s="15">
        <f>IFERROR(INDEX(Venues!$D$2:$D$10,MATCH(M395,Venues!$A$2:$A$10,0)),0)</f>
        <v/>
      </c>
      <c r="Q395" s="42">
        <f>IFERROR(INDEX(Venues!$E$2:$E$10,MATCH(M395,Venues!$A$2:$A$10,0)),"")</f>
        <v/>
      </c>
      <c r="R395" s="15">
        <f>IF(P395&gt;0,"Yes","No")</f>
        <v/>
      </c>
      <c r="S395" s="13" t="inlineStr">
        <is>
          <t>COLA Shoreditch Park</t>
        </is>
      </c>
      <c r="T395" s="42">
        <f>IFERROR(INDEX(Venues!$E$2:$E$10,MATCH(S395,Venues!$A$2:$A$10,0)),"")</f>
        <v/>
      </c>
      <c r="U395" s="15">
        <f>IFERROR(INDEX(Venues!$F$2:$F$10,MATCH(S395,Venues!$A$2:$A$10,0)),"")</f>
        <v/>
      </c>
      <c r="V395" s="43">
        <f>IFERROR(INDEX(Venues!$H$2:$H$10,MATCH(S395,Venues!$A$2:$A$10,0)),"")</f>
        <v/>
      </c>
      <c r="W395" s="15">
        <f>IF('Pilot offer'!$C$24="Yes",'Pilot offer'!$C$3,S395)</f>
        <v/>
      </c>
      <c r="X395" s="42">
        <f>IF('Pilot offer'!$C$24="Yes",'Pilot offer'!$C$5+'Pilot offer'!$C$6,T395)</f>
        <v/>
      </c>
      <c r="Y395" s="15">
        <f>IF('Pilot offer'!$C$24="Yes",'Pilot offer'!$C$8,U395)</f>
        <v/>
      </c>
      <c r="Z395" s="43">
        <f>IF('Pilot offer'!$C$24="Yes",'Pilot offer'!$C$11,"")</f>
        <v/>
      </c>
      <c r="AA395" s="15">
        <f>IF(X395="","",W395&amp;" · "&amp;TEXT(X395,"ddd d mmm, hh:mm")&amp;" · "&amp;Y395&amp;IF(Z395&lt;&gt;""," · £"&amp;TEXT(Z395,"0.00")&amp;" per player"," · price TBC (cost £"&amp;TEXT(V395,"0.00")&amp;" pp)"))</f>
        <v/>
      </c>
      <c r="AD395" s="44" t="n"/>
    </row>
    <row r="396">
      <c r="A396" s="13" t="n">
        <v>394</v>
      </c>
      <c r="B396" s="13" t="inlineStr">
        <is>
          <t>2 · N1 Hoxton</t>
        </is>
      </c>
      <c r="C396" s="13" t="inlineStr">
        <is>
          <t>Leisure &amp; culture</t>
        </is>
      </c>
      <c r="D396" s="13" t="inlineStr">
        <is>
          <t>Local businesses</t>
        </is>
      </c>
      <c r="E396" s="13" t="inlineStr">
        <is>
          <t>The Arc Centre</t>
        </is>
      </c>
      <c r="F396" s="13" t="inlineStr">
        <is>
          <t>amenity: community centre</t>
        </is>
      </c>
      <c r="G396" s="13" t="inlineStr">
        <is>
          <t>hello@arccollective.co</t>
        </is>
      </c>
      <c r="H396" s="13" t="inlineStr">
        <is>
          <t>general</t>
        </is>
      </c>
      <c r="I396" s="13" t="inlineStr">
        <is>
          <t>+44 7578 498959</t>
        </is>
      </c>
      <c r="J396" s="14" t="inlineStr">
        <is>
          <t>https://www.thearccentre.org/</t>
        </is>
      </c>
      <c r="K396" s="13" t="inlineStr">
        <is>
          <t>St. Paul Street 98b, London</t>
        </is>
      </c>
      <c r="L396" s="13" t="inlineStr">
        <is>
          <t>N1 7DF</t>
        </is>
      </c>
      <c r="M396" s="13" t="inlineStr">
        <is>
          <t>Rosemary Gardens 3G - Islington</t>
        </is>
      </c>
      <c r="N396" s="13" t="n">
        <v>10</v>
      </c>
      <c r="O396" s="15">
        <f>IFERROR(INDEX(Venues!$C$2:$C$10,MATCH(M396,Venues!$A$2:$A$10,0)),"Not checked")</f>
        <v/>
      </c>
      <c r="P396" s="15">
        <f>IFERROR(INDEX(Venues!$D$2:$D$10,MATCH(M396,Venues!$A$2:$A$10,0)),0)</f>
        <v/>
      </c>
      <c r="Q396" s="42">
        <f>IFERROR(INDEX(Venues!$E$2:$E$10,MATCH(M396,Venues!$A$2:$A$10,0)),"")</f>
        <v/>
      </c>
      <c r="R396" s="15">
        <f>IF(P396&gt;0,"Yes","No")</f>
        <v/>
      </c>
      <c r="S396" s="13" t="inlineStr">
        <is>
          <t>COLA Shoreditch Park</t>
        </is>
      </c>
      <c r="T396" s="42">
        <f>IFERROR(INDEX(Venues!$E$2:$E$10,MATCH(S396,Venues!$A$2:$A$10,0)),"")</f>
        <v/>
      </c>
      <c r="U396" s="15">
        <f>IFERROR(INDEX(Venues!$F$2:$F$10,MATCH(S396,Venues!$A$2:$A$10,0)),"")</f>
        <v/>
      </c>
      <c r="V396" s="43">
        <f>IFERROR(INDEX(Venues!$H$2:$H$10,MATCH(S396,Venues!$A$2:$A$10,0)),"")</f>
        <v/>
      </c>
      <c r="W396" s="15">
        <f>IF('Pilot offer'!$C$24="Yes",'Pilot offer'!$C$3,S396)</f>
        <v/>
      </c>
      <c r="X396" s="42">
        <f>IF('Pilot offer'!$C$24="Yes",'Pilot offer'!$C$5+'Pilot offer'!$C$6,T396)</f>
        <v/>
      </c>
      <c r="Y396" s="15">
        <f>IF('Pilot offer'!$C$24="Yes",'Pilot offer'!$C$8,U396)</f>
        <v/>
      </c>
      <c r="Z396" s="43">
        <f>IF('Pilot offer'!$C$24="Yes",'Pilot offer'!$C$11,"")</f>
        <v/>
      </c>
      <c r="AA396" s="15">
        <f>IF(X396="","",W396&amp;" · "&amp;TEXT(X396,"ddd d mmm, hh:mm")&amp;" · "&amp;Y396&amp;IF(Z396&lt;&gt;""," · £"&amp;TEXT(Z396,"0.00")&amp;" per player"," · price TBC (cost £"&amp;TEXT(V396,"0.00")&amp;" pp)"))</f>
        <v/>
      </c>
      <c r="AD396" s="44" t="n"/>
    </row>
    <row r="397">
      <c r="A397" s="13" t="n">
        <v>395</v>
      </c>
      <c r="B397" s="13" t="inlineStr">
        <is>
          <t>2 · N1 Hoxton</t>
        </is>
      </c>
      <c r="C397" s="13" t="inlineStr">
        <is>
          <t>Hospitality</t>
        </is>
      </c>
      <c r="D397" s="13" t="inlineStr">
        <is>
          <t>Local businesses</t>
        </is>
      </c>
      <c r="E397" s="13" t="inlineStr">
        <is>
          <t>The Hanbury</t>
        </is>
      </c>
      <c r="F397" s="13" t="inlineStr">
        <is>
          <t>amenity: pub</t>
        </is>
      </c>
      <c r="G397" s="13" t="inlineStr">
        <is>
          <t>info@thehanbury.co.uk</t>
        </is>
      </c>
      <c r="H397" s="13" t="inlineStr">
        <is>
          <t>general</t>
        </is>
      </c>
      <c r="I397" s="13" t="inlineStr">
        <is>
          <t>+44 20 7288 2222</t>
        </is>
      </c>
      <c r="J397" s="14" t="inlineStr">
        <is>
          <t>https://www.thehanbury.co.uk/</t>
        </is>
      </c>
      <c r="K397" s="13" t="inlineStr">
        <is>
          <t>Linton Street 33, London</t>
        </is>
      </c>
      <c r="L397" s="13" t="inlineStr">
        <is>
          <t>N1 7DU</t>
        </is>
      </c>
      <c r="M397" s="13" t="inlineStr">
        <is>
          <t>Rosemary Gardens 3G - Islington</t>
        </is>
      </c>
      <c r="N397" s="13" t="n">
        <v>8</v>
      </c>
      <c r="O397" s="15">
        <f>IFERROR(INDEX(Venues!$C$2:$C$10,MATCH(M397,Venues!$A$2:$A$10,0)),"Not checked")</f>
        <v/>
      </c>
      <c r="P397" s="15">
        <f>IFERROR(INDEX(Venues!$D$2:$D$10,MATCH(M397,Venues!$A$2:$A$10,0)),0)</f>
        <v/>
      </c>
      <c r="Q397" s="42">
        <f>IFERROR(INDEX(Venues!$E$2:$E$10,MATCH(M397,Venues!$A$2:$A$10,0)),"")</f>
        <v/>
      </c>
      <c r="R397" s="15">
        <f>IF(P397&gt;0,"Yes","No")</f>
        <v/>
      </c>
      <c r="S397" s="13" t="inlineStr">
        <is>
          <t>COLA Shoreditch Park</t>
        </is>
      </c>
      <c r="T397" s="42">
        <f>IFERROR(INDEX(Venues!$E$2:$E$10,MATCH(S397,Venues!$A$2:$A$10,0)),"")</f>
        <v/>
      </c>
      <c r="U397" s="15">
        <f>IFERROR(INDEX(Venues!$F$2:$F$10,MATCH(S397,Venues!$A$2:$A$10,0)),"")</f>
        <v/>
      </c>
      <c r="V397" s="43">
        <f>IFERROR(INDEX(Venues!$H$2:$H$10,MATCH(S397,Venues!$A$2:$A$10,0)),"")</f>
        <v/>
      </c>
      <c r="W397" s="15">
        <f>IF('Pilot offer'!$C$24="Yes",'Pilot offer'!$C$3,S397)</f>
        <v/>
      </c>
      <c r="X397" s="42">
        <f>IF('Pilot offer'!$C$24="Yes",'Pilot offer'!$C$5+'Pilot offer'!$C$6,T397)</f>
        <v/>
      </c>
      <c r="Y397" s="15">
        <f>IF('Pilot offer'!$C$24="Yes",'Pilot offer'!$C$8,U397)</f>
        <v/>
      </c>
      <c r="Z397" s="43">
        <f>IF('Pilot offer'!$C$24="Yes",'Pilot offer'!$C$11,"")</f>
        <v/>
      </c>
      <c r="AA397" s="15">
        <f>IF(X397="","",W397&amp;" · "&amp;TEXT(X397,"ddd d mmm, hh:mm")&amp;" · "&amp;Y397&amp;IF(Z397&lt;&gt;""," · £"&amp;TEXT(Z397,"0.00")&amp;" per player"," · price TBC (cost £"&amp;TEXT(V397,"0.00")&amp;" pp)"))</f>
        <v/>
      </c>
      <c r="AD397" s="44" t="n"/>
    </row>
    <row r="398">
      <c r="A398" s="13" t="n">
        <v>396</v>
      </c>
      <c r="B398" s="13" t="inlineStr">
        <is>
          <t>2 · N1 Hoxton</t>
        </is>
      </c>
      <c r="C398" s="13" t="inlineStr">
        <is>
          <t>Retail</t>
        </is>
      </c>
      <c r="D398" s="13" t="inlineStr">
        <is>
          <t>Local businesses</t>
        </is>
      </c>
      <c r="E398" s="13" t="inlineStr">
        <is>
          <t>Access Self Storage</t>
        </is>
      </c>
      <c r="F398" s="13" t="inlineStr">
        <is>
          <t>shop: storage rental</t>
        </is>
      </c>
      <c r="G398" s="13" t="inlineStr">
        <is>
          <t>islington@accessstorage.com</t>
        </is>
      </c>
      <c r="H398" s="13" t="inlineStr">
        <is>
          <t>openstreetmap_tag</t>
        </is>
      </c>
      <c r="I398" s="13" t="inlineStr">
        <is>
          <t>+44 20 3131 2810</t>
        </is>
      </c>
      <c r="J398" s="14" t="inlineStr">
        <is>
          <t>https://www.accessstorage.com/central-london/access-self-storage-islington</t>
        </is>
      </c>
      <c r="K398" s="13" t="inlineStr">
        <is>
          <t>Eagle Wharf Road 48, 48A, London</t>
        </is>
      </c>
      <c r="L398" s="13" t="inlineStr">
        <is>
          <t>N1 7ED</t>
        </is>
      </c>
      <c r="M398" s="13" t="inlineStr">
        <is>
          <t>Shoreditch Rooftop</t>
        </is>
      </c>
      <c r="N398" s="13" t="n">
        <v>9</v>
      </c>
      <c r="O398" s="15">
        <f>IFERROR(INDEX(Venues!$C$2:$C$10,MATCH(M398,Venues!$A$2:$A$10,0)),"Not checked")</f>
        <v/>
      </c>
      <c r="P398" s="15">
        <f>IFERROR(INDEX(Venues!$D$2:$D$10,MATCH(M398,Venues!$A$2:$A$10,0)),0)</f>
        <v/>
      </c>
      <c r="Q398" s="42">
        <f>IFERROR(INDEX(Venues!$E$2:$E$10,MATCH(M398,Venues!$A$2:$A$10,0)),"")</f>
        <v/>
      </c>
      <c r="R398" s="15">
        <f>IF(P398&gt;0,"Yes","No")</f>
        <v/>
      </c>
      <c r="S398" s="13" t="inlineStr">
        <is>
          <t>Shoreditch Rooftop</t>
        </is>
      </c>
      <c r="T398" s="42">
        <f>IFERROR(INDEX(Venues!$E$2:$E$10,MATCH(S398,Venues!$A$2:$A$10,0)),"")</f>
        <v/>
      </c>
      <c r="U398" s="15">
        <f>IFERROR(INDEX(Venues!$F$2:$F$10,MATCH(S398,Venues!$A$2:$A$10,0)),"")</f>
        <v/>
      </c>
      <c r="V398" s="43">
        <f>IFERROR(INDEX(Venues!$H$2:$H$10,MATCH(S398,Venues!$A$2:$A$10,0)),"")</f>
        <v/>
      </c>
      <c r="W398" s="15">
        <f>IF('Pilot offer'!$C$24="Yes",'Pilot offer'!$C$3,S398)</f>
        <v/>
      </c>
      <c r="X398" s="42">
        <f>IF('Pilot offer'!$C$24="Yes",'Pilot offer'!$C$5+'Pilot offer'!$C$6,T398)</f>
        <v/>
      </c>
      <c r="Y398" s="15">
        <f>IF('Pilot offer'!$C$24="Yes",'Pilot offer'!$C$8,U398)</f>
        <v/>
      </c>
      <c r="Z398" s="43">
        <f>IF('Pilot offer'!$C$24="Yes",'Pilot offer'!$C$11,"")</f>
        <v/>
      </c>
      <c r="AA398" s="15">
        <f>IF(X398="","",W398&amp;" · "&amp;TEXT(X398,"ddd d mmm, hh:mm")&amp;" · "&amp;Y398&amp;IF(Z398&lt;&gt;""," · £"&amp;TEXT(Z398,"0.00")&amp;" per player"," · price TBC (cost £"&amp;TEXT(V398,"0.00")&amp;" pp)"))</f>
        <v/>
      </c>
      <c r="AD398" s="44" t="n"/>
    </row>
    <row r="399">
      <c r="A399" s="13" t="n">
        <v>397</v>
      </c>
      <c r="B399" s="13" t="inlineStr">
        <is>
          <t>2 · N1 Hoxton</t>
        </is>
      </c>
      <c r="C399" s="13" t="inlineStr">
        <is>
          <t>Office &amp; professional</t>
        </is>
      </c>
      <c r="D399" s="13" t="inlineStr">
        <is>
          <t>Corporate</t>
        </is>
      </c>
      <c r="E399" s="13" t="inlineStr">
        <is>
          <t>DEEPDY LTD</t>
        </is>
      </c>
      <c r="F399" s="13" t="inlineStr">
        <is>
          <t>company</t>
        </is>
      </c>
      <c r="G399" s="13" t="inlineStr">
        <is>
          <t>press@unknownphone.com</t>
        </is>
      </c>
      <c r="H399" s="13" t="inlineStr">
        <is>
          <t>openstreetmap_tag</t>
        </is>
      </c>
      <c r="I399" s="13" t="inlineStr">
        <is>
          <t>+44 7936 733562</t>
        </is>
      </c>
      <c r="J399" s="14" t="inlineStr">
        <is>
          <t>https://www.unknownphone.com</t>
        </is>
      </c>
      <c r="K399" s="13" t="inlineStr">
        <is>
          <t>20-22 Wenlock Road, London</t>
        </is>
      </c>
      <c r="L399" s="13" t="inlineStr">
        <is>
          <t>N1 7GU</t>
        </is>
      </c>
      <c r="M399" s="13" t="inlineStr">
        <is>
          <t>Old St - Moreland Primary School</t>
        </is>
      </c>
      <c r="N399" s="13" t="n">
        <v>7</v>
      </c>
      <c r="O399" s="15">
        <f>IFERROR(INDEX(Venues!$C$2:$C$10,MATCH(M399,Venues!$A$2:$A$10,0)),"Not checked")</f>
        <v/>
      </c>
      <c r="P399" s="15">
        <f>IFERROR(INDEX(Venues!$D$2:$D$10,MATCH(M399,Venues!$A$2:$A$10,0)),0)</f>
        <v/>
      </c>
      <c r="Q399" s="42">
        <f>IFERROR(INDEX(Venues!$E$2:$E$10,MATCH(M399,Venues!$A$2:$A$10,0)),"")</f>
        <v/>
      </c>
      <c r="R399" s="15">
        <f>IF(P399&gt;0,"Yes","No")</f>
        <v/>
      </c>
      <c r="S399" s="13" t="inlineStr">
        <is>
          <t>Old St - Moreland Primary School</t>
        </is>
      </c>
      <c r="T399" s="42">
        <f>IFERROR(INDEX(Venues!$E$2:$E$10,MATCH(S399,Venues!$A$2:$A$10,0)),"")</f>
        <v/>
      </c>
      <c r="U399" s="15">
        <f>IFERROR(INDEX(Venues!$F$2:$F$10,MATCH(S399,Venues!$A$2:$A$10,0)),"")</f>
        <v/>
      </c>
      <c r="V399" s="43">
        <f>IFERROR(INDEX(Venues!$H$2:$H$10,MATCH(S399,Venues!$A$2:$A$10,0)),"")</f>
        <v/>
      </c>
      <c r="W399" s="15">
        <f>IF('Pilot offer'!$C$24="Yes",'Pilot offer'!$C$3,S399)</f>
        <v/>
      </c>
      <c r="X399" s="42">
        <f>IF('Pilot offer'!$C$24="Yes",'Pilot offer'!$C$5+'Pilot offer'!$C$6,T399)</f>
        <v/>
      </c>
      <c r="Y399" s="15">
        <f>IF('Pilot offer'!$C$24="Yes",'Pilot offer'!$C$8,U399)</f>
        <v/>
      </c>
      <c r="Z399" s="43">
        <f>IF('Pilot offer'!$C$24="Yes",'Pilot offer'!$C$11,"")</f>
        <v/>
      </c>
      <c r="AA399" s="15">
        <f>IF(X399="","",W399&amp;" · "&amp;TEXT(X399,"ddd d mmm, hh:mm")&amp;" · "&amp;Y399&amp;IF(Z399&lt;&gt;""," · £"&amp;TEXT(Z399,"0.00")&amp;" per player"," · price TBC (cost £"&amp;TEXT(V399,"0.00")&amp;" pp)"))</f>
        <v/>
      </c>
      <c r="AD399" s="44" t="n"/>
    </row>
    <row r="400">
      <c r="A400" s="13" t="n">
        <v>398</v>
      </c>
      <c r="B400" s="13" t="inlineStr">
        <is>
          <t>2 · N1 Hoxton</t>
        </is>
      </c>
      <c r="C400" s="13" t="inlineStr">
        <is>
          <t>Office &amp; professional</t>
        </is>
      </c>
      <c r="D400" s="13" t="inlineStr">
        <is>
          <t>Corporate</t>
        </is>
      </c>
      <c r="E400" s="13" t="inlineStr">
        <is>
          <t>Fiscal Hub - Chartered Certified Accountants &amp; Tax Advisors</t>
        </is>
      </c>
      <c r="F400" s="13" t="inlineStr">
        <is>
          <t>finance</t>
        </is>
      </c>
      <c r="G400" s="13" t="inlineStr">
        <is>
          <t>info@fiscalhub.co.uk</t>
        </is>
      </c>
      <c r="H400" s="13" t="inlineStr">
        <is>
          <t>general</t>
        </is>
      </c>
      <c r="I400" s="13" t="inlineStr">
        <is>
          <t>+44 20 3488 5786</t>
        </is>
      </c>
      <c r="J400" s="14" t="inlineStr">
        <is>
          <t>https://fiscalhub.co.uk/</t>
        </is>
      </c>
      <c r="K400" s="13" t="inlineStr">
        <is>
          <t>20 Wenlock Rd, London N1 7GU, UK</t>
        </is>
      </c>
      <c r="L400" s="13" t="inlineStr">
        <is>
          <t>N1 7GU</t>
        </is>
      </c>
      <c r="M400" s="13" t="inlineStr">
        <is>
          <t>Old St - Moreland Primary School</t>
        </is>
      </c>
      <c r="N400" s="13" t="n">
        <v>6</v>
      </c>
      <c r="O400" s="15">
        <f>IFERROR(INDEX(Venues!$C$2:$C$10,MATCH(M400,Venues!$A$2:$A$10,0)),"Not checked")</f>
        <v/>
      </c>
      <c r="P400" s="15">
        <f>IFERROR(INDEX(Venues!$D$2:$D$10,MATCH(M400,Venues!$A$2:$A$10,0)),0)</f>
        <v/>
      </c>
      <c r="Q400" s="42">
        <f>IFERROR(INDEX(Venues!$E$2:$E$10,MATCH(M400,Venues!$A$2:$A$10,0)),"")</f>
        <v/>
      </c>
      <c r="R400" s="15">
        <f>IF(P400&gt;0,"Yes","No")</f>
        <v/>
      </c>
      <c r="S400" s="13" t="inlineStr">
        <is>
          <t>Old St - Moreland Primary School</t>
        </is>
      </c>
      <c r="T400" s="42">
        <f>IFERROR(INDEX(Venues!$E$2:$E$10,MATCH(S400,Venues!$A$2:$A$10,0)),"")</f>
        <v/>
      </c>
      <c r="U400" s="15">
        <f>IFERROR(INDEX(Venues!$F$2:$F$10,MATCH(S400,Venues!$A$2:$A$10,0)),"")</f>
        <v/>
      </c>
      <c r="V400" s="43">
        <f>IFERROR(INDEX(Venues!$H$2:$H$10,MATCH(S400,Venues!$A$2:$A$10,0)),"")</f>
        <v/>
      </c>
      <c r="W400" s="15">
        <f>IF('Pilot offer'!$C$24="Yes",'Pilot offer'!$C$3,S400)</f>
        <v/>
      </c>
      <c r="X400" s="42">
        <f>IF('Pilot offer'!$C$24="Yes",'Pilot offer'!$C$5+'Pilot offer'!$C$6,T400)</f>
        <v/>
      </c>
      <c r="Y400" s="15">
        <f>IF('Pilot offer'!$C$24="Yes",'Pilot offer'!$C$8,U400)</f>
        <v/>
      </c>
      <c r="Z400" s="43">
        <f>IF('Pilot offer'!$C$24="Yes",'Pilot offer'!$C$11,"")</f>
        <v/>
      </c>
      <c r="AA400" s="15">
        <f>IF(X400="","",W400&amp;" · "&amp;TEXT(X400,"ddd d mmm, hh:mm")&amp;" · "&amp;Y400&amp;IF(Z400&lt;&gt;""," · £"&amp;TEXT(Z400,"0.00")&amp;" per player"," · price TBC (cost £"&amp;TEXT(V400,"0.00")&amp;" pp)"))</f>
        <v/>
      </c>
      <c r="AD400" s="44" t="n"/>
    </row>
    <row r="401">
      <c r="A401" s="13" t="n">
        <v>399</v>
      </c>
      <c r="B401" s="13" t="inlineStr">
        <is>
          <t>2 · N1 Hoxton</t>
        </is>
      </c>
      <c r="C401" s="13" t="inlineStr">
        <is>
          <t>Retail</t>
        </is>
      </c>
      <c r="D401" s="13" t="inlineStr">
        <is>
          <t>Local businesses</t>
        </is>
      </c>
      <c r="E401" s="13" t="inlineStr">
        <is>
          <t>London Food Photography</t>
        </is>
      </c>
      <c r="F401" s="13" t="inlineStr">
        <is>
          <t>craft: photographer</t>
        </is>
      </c>
      <c r="G401" s="13" t="inlineStr">
        <is>
          <t>em@londonfoodphotography.co.uk</t>
        </is>
      </c>
      <c r="H401" s="13" t="inlineStr">
        <is>
          <t>openstreetmap_tag</t>
        </is>
      </c>
      <c r="I401" s="13" t="n"/>
      <c r="J401" s="14" t="inlineStr">
        <is>
          <t>http://www.londonfoodphotography.co.uk</t>
        </is>
      </c>
      <c r="K401" s="13" t="inlineStr">
        <is>
          <t>Wenlock Road 20-22, London</t>
        </is>
      </c>
      <c r="L401" s="13" t="inlineStr">
        <is>
          <t>N1 7GU</t>
        </is>
      </c>
      <c r="M401" s="13" t="inlineStr">
        <is>
          <t>Shoreditch Rooftop</t>
        </is>
      </c>
      <c r="N401" s="13" t="n">
        <v>13</v>
      </c>
      <c r="O401" s="15">
        <f>IFERROR(INDEX(Venues!$C$2:$C$10,MATCH(M401,Venues!$A$2:$A$10,0)),"Not checked")</f>
        <v/>
      </c>
      <c r="P401" s="15">
        <f>IFERROR(INDEX(Venues!$D$2:$D$10,MATCH(M401,Venues!$A$2:$A$10,0)),0)</f>
        <v/>
      </c>
      <c r="Q401" s="42">
        <f>IFERROR(INDEX(Venues!$E$2:$E$10,MATCH(M401,Venues!$A$2:$A$10,0)),"")</f>
        <v/>
      </c>
      <c r="R401" s="15">
        <f>IF(P401&gt;0,"Yes","No")</f>
        <v/>
      </c>
      <c r="S401" s="13" t="inlineStr">
        <is>
          <t>Shoreditch Rooftop</t>
        </is>
      </c>
      <c r="T401" s="42">
        <f>IFERROR(INDEX(Venues!$E$2:$E$10,MATCH(S401,Venues!$A$2:$A$10,0)),"")</f>
        <v/>
      </c>
      <c r="U401" s="15">
        <f>IFERROR(INDEX(Venues!$F$2:$F$10,MATCH(S401,Venues!$A$2:$A$10,0)),"")</f>
        <v/>
      </c>
      <c r="V401" s="43">
        <f>IFERROR(INDEX(Venues!$H$2:$H$10,MATCH(S401,Venues!$A$2:$A$10,0)),"")</f>
        <v/>
      </c>
      <c r="W401" s="15">
        <f>IF('Pilot offer'!$C$24="Yes",'Pilot offer'!$C$3,S401)</f>
        <v/>
      </c>
      <c r="X401" s="42">
        <f>IF('Pilot offer'!$C$24="Yes",'Pilot offer'!$C$5+'Pilot offer'!$C$6,T401)</f>
        <v/>
      </c>
      <c r="Y401" s="15">
        <f>IF('Pilot offer'!$C$24="Yes",'Pilot offer'!$C$8,U401)</f>
        <v/>
      </c>
      <c r="Z401" s="43">
        <f>IF('Pilot offer'!$C$24="Yes",'Pilot offer'!$C$11,"")</f>
        <v/>
      </c>
      <c r="AA401" s="15">
        <f>IF(X401="","",W401&amp;" · "&amp;TEXT(X401,"ddd d mmm, hh:mm")&amp;" · "&amp;Y401&amp;IF(Z401&lt;&gt;""," · £"&amp;TEXT(Z401,"0.00")&amp;" per player"," · price TBC (cost £"&amp;TEXT(V401,"0.00")&amp;" pp)"))</f>
        <v/>
      </c>
      <c r="AD401" s="44" t="n"/>
    </row>
    <row r="402">
      <c r="A402" s="13" t="n">
        <v>400</v>
      </c>
      <c r="B402" s="13" t="inlineStr">
        <is>
          <t>2 · N1 Hoxton</t>
        </is>
      </c>
      <c r="C402" s="13" t="inlineStr">
        <is>
          <t>Office &amp; professional</t>
        </is>
      </c>
      <c r="D402" s="13" t="inlineStr">
        <is>
          <t>Corporate</t>
        </is>
      </c>
      <c r="E402" s="13" t="inlineStr">
        <is>
          <t>MABY Consultancy</t>
        </is>
      </c>
      <c r="F402" s="13" t="inlineStr">
        <is>
          <t>consultant</t>
        </is>
      </c>
      <c r="G402" s="13" t="inlineStr">
        <is>
          <t>info@mabyconsultancy.com</t>
        </is>
      </c>
      <c r="H402" s="13" t="inlineStr">
        <is>
          <t>general</t>
        </is>
      </c>
      <c r="I402" s="13" t="inlineStr">
        <is>
          <t>+44 20 8058 2902</t>
        </is>
      </c>
      <c r="J402" s="14" t="inlineStr">
        <is>
          <t>http://www.mabyconsultancy.com/</t>
        </is>
      </c>
      <c r="K402" s="13" t="inlineStr">
        <is>
          <t>20 Wenlock Rd, London N1 7GU, UK</t>
        </is>
      </c>
      <c r="L402" s="13" t="inlineStr">
        <is>
          <t>N1 7GU</t>
        </is>
      </c>
      <c r="M402" s="13" t="inlineStr">
        <is>
          <t>Old St - Moreland Primary School</t>
        </is>
      </c>
      <c r="N402" s="13" t="n">
        <v>7</v>
      </c>
      <c r="O402" s="15">
        <f>IFERROR(INDEX(Venues!$C$2:$C$10,MATCH(M402,Venues!$A$2:$A$10,0)),"Not checked")</f>
        <v/>
      </c>
      <c r="P402" s="15">
        <f>IFERROR(INDEX(Venues!$D$2:$D$10,MATCH(M402,Venues!$A$2:$A$10,0)),0)</f>
        <v/>
      </c>
      <c r="Q402" s="42">
        <f>IFERROR(INDEX(Venues!$E$2:$E$10,MATCH(M402,Venues!$A$2:$A$10,0)),"")</f>
        <v/>
      </c>
      <c r="R402" s="15">
        <f>IF(P402&gt;0,"Yes","No")</f>
        <v/>
      </c>
      <c r="S402" s="13" t="inlineStr">
        <is>
          <t>Old St - Moreland Primary School</t>
        </is>
      </c>
      <c r="T402" s="42">
        <f>IFERROR(INDEX(Venues!$E$2:$E$10,MATCH(S402,Venues!$A$2:$A$10,0)),"")</f>
        <v/>
      </c>
      <c r="U402" s="15">
        <f>IFERROR(INDEX(Venues!$F$2:$F$10,MATCH(S402,Venues!$A$2:$A$10,0)),"")</f>
        <v/>
      </c>
      <c r="V402" s="43">
        <f>IFERROR(INDEX(Venues!$H$2:$H$10,MATCH(S402,Venues!$A$2:$A$10,0)),"")</f>
        <v/>
      </c>
      <c r="W402" s="15">
        <f>IF('Pilot offer'!$C$24="Yes",'Pilot offer'!$C$3,S402)</f>
        <v/>
      </c>
      <c r="X402" s="42">
        <f>IF('Pilot offer'!$C$24="Yes",'Pilot offer'!$C$5+'Pilot offer'!$C$6,T402)</f>
        <v/>
      </c>
      <c r="Y402" s="15">
        <f>IF('Pilot offer'!$C$24="Yes",'Pilot offer'!$C$8,U402)</f>
        <v/>
      </c>
      <c r="Z402" s="43">
        <f>IF('Pilot offer'!$C$24="Yes",'Pilot offer'!$C$11,"")</f>
        <v/>
      </c>
      <c r="AA402" s="15">
        <f>IF(X402="","",W402&amp;" · "&amp;TEXT(X402,"ddd d mmm, hh:mm")&amp;" · "&amp;Y402&amp;IF(Z402&lt;&gt;""," · £"&amp;TEXT(Z402,"0.00")&amp;" per player"," · price TBC (cost £"&amp;TEXT(V402,"0.00")&amp;" pp)"))</f>
        <v/>
      </c>
      <c r="AD402" s="44" t="n"/>
    </row>
    <row r="403">
      <c r="A403" s="13" t="n">
        <v>401</v>
      </c>
      <c r="B403" s="13" t="inlineStr">
        <is>
          <t>2 · N1 Hoxton</t>
        </is>
      </c>
      <c r="C403" s="13" t="inlineStr">
        <is>
          <t>Office &amp; professional</t>
        </is>
      </c>
      <c r="D403" s="13" t="inlineStr">
        <is>
          <t>Corporate</t>
        </is>
      </c>
      <c r="E403" s="13" t="inlineStr">
        <is>
          <t>Medallion Technologies</t>
        </is>
      </c>
      <c r="F403" s="13" t="inlineStr">
        <is>
          <t>service</t>
        </is>
      </c>
      <c r="G403" s="13" t="inlineStr">
        <is>
          <t>contact@medalliontechnologies.com</t>
        </is>
      </c>
      <c r="H403" s="13" t="inlineStr">
        <is>
          <t>general</t>
        </is>
      </c>
      <c r="I403" s="13" t="n"/>
      <c r="J403" s="14" t="inlineStr">
        <is>
          <t>https://www.medalliontechnologies.com/</t>
        </is>
      </c>
      <c r="K403" s="13" t="inlineStr">
        <is>
          <t>20-22 Wenlock Rd, London N1 7GU, UK</t>
        </is>
      </c>
      <c r="L403" s="13" t="inlineStr">
        <is>
          <t>N1 7GU</t>
        </is>
      </c>
      <c r="M403" s="13" t="inlineStr">
        <is>
          <t>Old St - Moreland Primary School</t>
        </is>
      </c>
      <c r="N403" s="13" t="n">
        <v>7</v>
      </c>
      <c r="O403" s="15">
        <f>IFERROR(INDEX(Venues!$C$2:$C$10,MATCH(M403,Venues!$A$2:$A$10,0)),"Not checked")</f>
        <v/>
      </c>
      <c r="P403" s="15">
        <f>IFERROR(INDEX(Venues!$D$2:$D$10,MATCH(M403,Venues!$A$2:$A$10,0)),0)</f>
        <v/>
      </c>
      <c r="Q403" s="42">
        <f>IFERROR(INDEX(Venues!$E$2:$E$10,MATCH(M403,Venues!$A$2:$A$10,0)),"")</f>
        <v/>
      </c>
      <c r="R403" s="15">
        <f>IF(P403&gt;0,"Yes","No")</f>
        <v/>
      </c>
      <c r="S403" s="13" t="inlineStr">
        <is>
          <t>Old St - Moreland Primary School</t>
        </is>
      </c>
      <c r="T403" s="42">
        <f>IFERROR(INDEX(Venues!$E$2:$E$10,MATCH(S403,Venues!$A$2:$A$10,0)),"")</f>
        <v/>
      </c>
      <c r="U403" s="15">
        <f>IFERROR(INDEX(Venues!$F$2:$F$10,MATCH(S403,Venues!$A$2:$A$10,0)),"")</f>
        <v/>
      </c>
      <c r="V403" s="43">
        <f>IFERROR(INDEX(Venues!$H$2:$H$10,MATCH(S403,Venues!$A$2:$A$10,0)),"")</f>
        <v/>
      </c>
      <c r="W403" s="15">
        <f>IF('Pilot offer'!$C$24="Yes",'Pilot offer'!$C$3,S403)</f>
        <v/>
      </c>
      <c r="X403" s="42">
        <f>IF('Pilot offer'!$C$24="Yes",'Pilot offer'!$C$5+'Pilot offer'!$C$6,T403)</f>
        <v/>
      </c>
      <c r="Y403" s="15">
        <f>IF('Pilot offer'!$C$24="Yes",'Pilot offer'!$C$8,U403)</f>
        <v/>
      </c>
      <c r="Z403" s="43">
        <f>IF('Pilot offer'!$C$24="Yes",'Pilot offer'!$C$11,"")</f>
        <v/>
      </c>
      <c r="AA403" s="15">
        <f>IF(X403="","",W403&amp;" · "&amp;TEXT(X403,"ddd d mmm, hh:mm")&amp;" · "&amp;Y403&amp;IF(Z403&lt;&gt;""," · £"&amp;TEXT(Z403,"0.00")&amp;" per player"," · price TBC (cost £"&amp;TEXT(V403,"0.00")&amp;" pp)"))</f>
        <v/>
      </c>
      <c r="AD403" s="44" t="n"/>
    </row>
    <row r="404">
      <c r="A404" s="13" t="n">
        <v>402</v>
      </c>
      <c r="B404" s="13" t="inlineStr">
        <is>
          <t>2 · N1 Hoxton</t>
        </is>
      </c>
      <c r="C404" s="13" t="inlineStr">
        <is>
          <t>Coworking / shared office</t>
        </is>
      </c>
      <c r="D404" s="13" t="inlineStr">
        <is>
          <t>Corporate</t>
        </is>
      </c>
      <c r="E404" s="13" t="inlineStr">
        <is>
          <t>Moneypenny Workhub</t>
        </is>
      </c>
      <c r="F404" s="13" t="inlineStr">
        <is>
          <t>coworking</t>
        </is>
      </c>
      <c r="G404" s="13" t="inlineStr">
        <is>
          <t>theteam@workhubmadesimple.com</t>
        </is>
      </c>
      <c r="H404" s="13" t="inlineStr">
        <is>
          <t>person_or_other</t>
        </is>
      </c>
      <c r="I404" s="13" t="n"/>
      <c r="J404" s="14" t="inlineStr">
        <is>
          <t>https://members.workhubmadesimple.com/</t>
        </is>
      </c>
      <c r="K404" s="13" t="inlineStr">
        <is>
          <t>20 Wenlock Road, London</t>
        </is>
      </c>
      <c r="L404" s="13" t="inlineStr">
        <is>
          <t>N1 7GU</t>
        </is>
      </c>
      <c r="M404" s="13" t="inlineStr">
        <is>
          <t>Old St - Moreland Primary School</t>
        </is>
      </c>
      <c r="N404" s="13" t="n">
        <v>7</v>
      </c>
      <c r="O404" s="15">
        <f>IFERROR(INDEX(Venues!$C$2:$C$10,MATCH(M404,Venues!$A$2:$A$10,0)),"Not checked")</f>
        <v/>
      </c>
      <c r="P404" s="15">
        <f>IFERROR(INDEX(Venues!$D$2:$D$10,MATCH(M404,Venues!$A$2:$A$10,0)),0)</f>
        <v/>
      </c>
      <c r="Q404" s="42">
        <f>IFERROR(INDEX(Venues!$E$2:$E$10,MATCH(M404,Venues!$A$2:$A$10,0)),"")</f>
        <v/>
      </c>
      <c r="R404" s="15">
        <f>IF(P404&gt;0,"Yes","No")</f>
        <v/>
      </c>
      <c r="S404" s="13" t="inlineStr">
        <is>
          <t>Old St - Moreland Primary School</t>
        </is>
      </c>
      <c r="T404" s="42">
        <f>IFERROR(INDEX(Venues!$E$2:$E$10,MATCH(S404,Venues!$A$2:$A$10,0)),"")</f>
        <v/>
      </c>
      <c r="U404" s="15">
        <f>IFERROR(INDEX(Venues!$F$2:$F$10,MATCH(S404,Venues!$A$2:$A$10,0)),"")</f>
        <v/>
      </c>
      <c r="V404" s="43">
        <f>IFERROR(INDEX(Venues!$H$2:$H$10,MATCH(S404,Venues!$A$2:$A$10,0)),"")</f>
        <v/>
      </c>
      <c r="W404" s="15">
        <f>IF('Pilot offer'!$C$24="Yes",'Pilot offer'!$C$3,S404)</f>
        <v/>
      </c>
      <c r="X404" s="42">
        <f>IF('Pilot offer'!$C$24="Yes",'Pilot offer'!$C$5+'Pilot offer'!$C$6,T404)</f>
        <v/>
      </c>
      <c r="Y404" s="15">
        <f>IF('Pilot offer'!$C$24="Yes",'Pilot offer'!$C$8,U404)</f>
        <v/>
      </c>
      <c r="Z404" s="43">
        <f>IF('Pilot offer'!$C$24="Yes",'Pilot offer'!$C$11,"")</f>
        <v/>
      </c>
      <c r="AA404" s="15">
        <f>IF(X404="","",W404&amp;" · "&amp;TEXT(X404,"ddd d mmm, hh:mm")&amp;" · "&amp;Y404&amp;IF(Z404&lt;&gt;""," · £"&amp;TEXT(Z404,"0.00")&amp;" per player"," · price TBC (cost £"&amp;TEXT(V404,"0.00")&amp;" pp)"))</f>
        <v/>
      </c>
      <c r="AD404" s="44" t="n"/>
    </row>
    <row r="405">
      <c r="A405" s="13" t="n">
        <v>403</v>
      </c>
      <c r="B405" s="13" t="inlineStr">
        <is>
          <t>2 · N1 Hoxton</t>
        </is>
      </c>
      <c r="C405" s="13" t="inlineStr">
        <is>
          <t>Office &amp; professional</t>
        </is>
      </c>
      <c r="D405" s="13" t="inlineStr">
        <is>
          <t>Corporate</t>
        </is>
      </c>
      <c r="E405" s="13" t="inlineStr">
        <is>
          <t>Purbeck Insurance Services</t>
        </is>
      </c>
      <c r="F405" s="13" t="inlineStr">
        <is>
          <t>insurance_agency</t>
        </is>
      </c>
      <c r="G405" s="13" t="inlineStr">
        <is>
          <t>info@purbeckinsurance.co.uk</t>
        </is>
      </c>
      <c r="H405" s="13" t="inlineStr">
        <is>
          <t>general</t>
        </is>
      </c>
      <c r="I405" s="13" t="inlineStr">
        <is>
          <t>+44 20 8004 7250</t>
        </is>
      </c>
      <c r="J405" s="14" t="inlineStr">
        <is>
          <t>http://www.purbeckinsurance.co.uk/</t>
        </is>
      </c>
      <c r="K405" s="13" t="inlineStr">
        <is>
          <t>20 Wenlock Rd, London N1 7GU, UK</t>
        </is>
      </c>
      <c r="L405" s="13" t="inlineStr">
        <is>
          <t>N1 7GU</t>
        </is>
      </c>
      <c r="M405" s="13" t="inlineStr">
        <is>
          <t>Old St - Moreland Primary School</t>
        </is>
      </c>
      <c r="N405" s="13" t="n">
        <v>6</v>
      </c>
      <c r="O405" s="15">
        <f>IFERROR(INDEX(Venues!$C$2:$C$10,MATCH(M405,Venues!$A$2:$A$10,0)),"Not checked")</f>
        <v/>
      </c>
      <c r="P405" s="15">
        <f>IFERROR(INDEX(Venues!$D$2:$D$10,MATCH(M405,Venues!$A$2:$A$10,0)),0)</f>
        <v/>
      </c>
      <c r="Q405" s="42">
        <f>IFERROR(INDEX(Venues!$E$2:$E$10,MATCH(M405,Venues!$A$2:$A$10,0)),"")</f>
        <v/>
      </c>
      <c r="R405" s="15">
        <f>IF(P405&gt;0,"Yes","No")</f>
        <v/>
      </c>
      <c r="S405" s="13" t="inlineStr">
        <is>
          <t>Old St - Moreland Primary School</t>
        </is>
      </c>
      <c r="T405" s="42">
        <f>IFERROR(INDEX(Venues!$E$2:$E$10,MATCH(S405,Venues!$A$2:$A$10,0)),"")</f>
        <v/>
      </c>
      <c r="U405" s="15">
        <f>IFERROR(INDEX(Venues!$F$2:$F$10,MATCH(S405,Venues!$A$2:$A$10,0)),"")</f>
        <v/>
      </c>
      <c r="V405" s="43">
        <f>IFERROR(INDEX(Venues!$H$2:$H$10,MATCH(S405,Venues!$A$2:$A$10,0)),"")</f>
        <v/>
      </c>
      <c r="W405" s="15">
        <f>IF('Pilot offer'!$C$24="Yes",'Pilot offer'!$C$3,S405)</f>
        <v/>
      </c>
      <c r="X405" s="42">
        <f>IF('Pilot offer'!$C$24="Yes",'Pilot offer'!$C$5+'Pilot offer'!$C$6,T405)</f>
        <v/>
      </c>
      <c r="Y405" s="15">
        <f>IF('Pilot offer'!$C$24="Yes",'Pilot offer'!$C$8,U405)</f>
        <v/>
      </c>
      <c r="Z405" s="43">
        <f>IF('Pilot offer'!$C$24="Yes",'Pilot offer'!$C$11,"")</f>
        <v/>
      </c>
      <c r="AA405" s="15">
        <f>IF(X405="","",W405&amp;" · "&amp;TEXT(X405,"ddd d mmm, hh:mm")&amp;" · "&amp;Y405&amp;IF(Z405&lt;&gt;""," · £"&amp;TEXT(Z405,"0.00")&amp;" per player"," · price TBC (cost £"&amp;TEXT(V405,"0.00")&amp;" pp)"))</f>
        <v/>
      </c>
      <c r="AD405" s="44" t="n"/>
    </row>
    <row r="406">
      <c r="A406" s="13" t="n">
        <v>404</v>
      </c>
      <c r="B406" s="13" t="inlineStr">
        <is>
          <t>2 · N1 Hoxton</t>
        </is>
      </c>
      <c r="C406" s="13" t="inlineStr">
        <is>
          <t>Office &amp; professional</t>
        </is>
      </c>
      <c r="D406" s="13" t="inlineStr">
        <is>
          <t>Corporate</t>
        </is>
      </c>
      <c r="E406" s="13" t="inlineStr">
        <is>
          <t>RS Accountancy</t>
        </is>
      </c>
      <c r="F406" s="13" t="inlineStr">
        <is>
          <t>finance</t>
        </is>
      </c>
      <c r="G406" s="13" t="inlineStr">
        <is>
          <t>support@rsaccountancy.co.uk</t>
        </is>
      </c>
      <c r="H406" s="13" t="inlineStr">
        <is>
          <t>commercial</t>
        </is>
      </c>
      <c r="I406" s="13" t="inlineStr">
        <is>
          <t>+44 333 242 1129</t>
        </is>
      </c>
      <c r="J406" s="14" t="inlineStr">
        <is>
          <t>https://rsaccountancy.co.uk/</t>
        </is>
      </c>
      <c r="K406" s="13" t="inlineStr">
        <is>
          <t>20 Wenlock Rd, London N1 7GU, UK</t>
        </is>
      </c>
      <c r="L406" s="13" t="inlineStr">
        <is>
          <t>N1 7GU</t>
        </is>
      </c>
      <c r="M406" s="13" t="inlineStr">
        <is>
          <t>Old St - Moreland Primary School</t>
        </is>
      </c>
      <c r="N406" s="13" t="n">
        <v>6</v>
      </c>
      <c r="O406" s="15">
        <f>IFERROR(INDEX(Venues!$C$2:$C$10,MATCH(M406,Venues!$A$2:$A$10,0)),"Not checked")</f>
        <v/>
      </c>
      <c r="P406" s="15">
        <f>IFERROR(INDEX(Venues!$D$2:$D$10,MATCH(M406,Venues!$A$2:$A$10,0)),0)</f>
        <v/>
      </c>
      <c r="Q406" s="42">
        <f>IFERROR(INDEX(Venues!$E$2:$E$10,MATCH(M406,Venues!$A$2:$A$10,0)),"")</f>
        <v/>
      </c>
      <c r="R406" s="15">
        <f>IF(P406&gt;0,"Yes","No")</f>
        <v/>
      </c>
      <c r="S406" s="13" t="inlineStr">
        <is>
          <t>Old St - Moreland Primary School</t>
        </is>
      </c>
      <c r="T406" s="42">
        <f>IFERROR(INDEX(Venues!$E$2:$E$10,MATCH(S406,Venues!$A$2:$A$10,0)),"")</f>
        <v/>
      </c>
      <c r="U406" s="15">
        <f>IFERROR(INDEX(Venues!$F$2:$F$10,MATCH(S406,Venues!$A$2:$A$10,0)),"")</f>
        <v/>
      </c>
      <c r="V406" s="43">
        <f>IFERROR(INDEX(Venues!$H$2:$H$10,MATCH(S406,Venues!$A$2:$A$10,0)),"")</f>
        <v/>
      </c>
      <c r="W406" s="15">
        <f>IF('Pilot offer'!$C$24="Yes",'Pilot offer'!$C$3,S406)</f>
        <v/>
      </c>
      <c r="X406" s="42">
        <f>IF('Pilot offer'!$C$24="Yes",'Pilot offer'!$C$5+'Pilot offer'!$C$6,T406)</f>
        <v/>
      </c>
      <c r="Y406" s="15">
        <f>IF('Pilot offer'!$C$24="Yes",'Pilot offer'!$C$8,U406)</f>
        <v/>
      </c>
      <c r="Z406" s="43">
        <f>IF('Pilot offer'!$C$24="Yes",'Pilot offer'!$C$11,"")</f>
        <v/>
      </c>
      <c r="AA406" s="15">
        <f>IF(X406="","",W406&amp;" · "&amp;TEXT(X406,"ddd d mmm, hh:mm")&amp;" · "&amp;Y406&amp;IF(Z406&lt;&gt;""," · £"&amp;TEXT(Z406,"0.00")&amp;" per player"," · price TBC (cost £"&amp;TEXT(V406,"0.00")&amp;" pp)"))</f>
        <v/>
      </c>
      <c r="AD406" s="44" t="n"/>
    </row>
    <row r="407">
      <c r="A407" s="13" t="n">
        <v>405</v>
      </c>
      <c r="B407" s="13" t="inlineStr">
        <is>
          <t>2 · N1 Hoxton</t>
        </is>
      </c>
      <c r="C407" s="13" t="inlineStr">
        <is>
          <t>Office &amp; professional</t>
        </is>
      </c>
      <c r="D407" s="13" t="inlineStr">
        <is>
          <t>Corporate</t>
        </is>
      </c>
      <c r="E407" s="13" t="inlineStr">
        <is>
          <t>Rhodium Accounting Limited</t>
        </is>
      </c>
      <c r="F407" s="13" t="inlineStr">
        <is>
          <t>finance</t>
        </is>
      </c>
      <c r="G407" s="13" t="inlineStr">
        <is>
          <t>support@rhodiumaccounting.co.uk</t>
        </is>
      </c>
      <c r="H407" s="13" t="inlineStr">
        <is>
          <t>commercial</t>
        </is>
      </c>
      <c r="I407" s="13" t="inlineStr">
        <is>
          <t>+44 333 052 5640</t>
        </is>
      </c>
      <c r="J407" s="14" t="inlineStr">
        <is>
          <t>https://www.rhodiumaccounting.co.uk/</t>
        </is>
      </c>
      <c r="K407" s="13" t="inlineStr">
        <is>
          <t>20 Wenlock Rd, London N1 7GU, UK</t>
        </is>
      </c>
      <c r="L407" s="13" t="inlineStr">
        <is>
          <t>N1 7GU</t>
        </is>
      </c>
      <c r="M407" s="13" t="inlineStr">
        <is>
          <t>Old St - Moreland Primary School</t>
        </is>
      </c>
      <c r="N407" s="13" t="n">
        <v>7</v>
      </c>
      <c r="O407" s="15">
        <f>IFERROR(INDEX(Venues!$C$2:$C$10,MATCH(M407,Venues!$A$2:$A$10,0)),"Not checked")</f>
        <v/>
      </c>
      <c r="P407" s="15">
        <f>IFERROR(INDEX(Venues!$D$2:$D$10,MATCH(M407,Venues!$A$2:$A$10,0)),0)</f>
        <v/>
      </c>
      <c r="Q407" s="42">
        <f>IFERROR(INDEX(Venues!$E$2:$E$10,MATCH(M407,Venues!$A$2:$A$10,0)),"")</f>
        <v/>
      </c>
      <c r="R407" s="15">
        <f>IF(P407&gt;0,"Yes","No")</f>
        <v/>
      </c>
      <c r="S407" s="13" t="inlineStr">
        <is>
          <t>Old St - Moreland Primary School</t>
        </is>
      </c>
      <c r="T407" s="42">
        <f>IFERROR(INDEX(Venues!$E$2:$E$10,MATCH(S407,Venues!$A$2:$A$10,0)),"")</f>
        <v/>
      </c>
      <c r="U407" s="15">
        <f>IFERROR(INDEX(Venues!$F$2:$F$10,MATCH(S407,Venues!$A$2:$A$10,0)),"")</f>
        <v/>
      </c>
      <c r="V407" s="43">
        <f>IFERROR(INDEX(Venues!$H$2:$H$10,MATCH(S407,Venues!$A$2:$A$10,0)),"")</f>
        <v/>
      </c>
      <c r="W407" s="15">
        <f>IF('Pilot offer'!$C$24="Yes",'Pilot offer'!$C$3,S407)</f>
        <v/>
      </c>
      <c r="X407" s="42">
        <f>IF('Pilot offer'!$C$24="Yes",'Pilot offer'!$C$5+'Pilot offer'!$C$6,T407)</f>
        <v/>
      </c>
      <c r="Y407" s="15">
        <f>IF('Pilot offer'!$C$24="Yes",'Pilot offer'!$C$8,U407)</f>
        <v/>
      </c>
      <c r="Z407" s="43">
        <f>IF('Pilot offer'!$C$24="Yes",'Pilot offer'!$C$11,"")</f>
        <v/>
      </c>
      <c r="AA407" s="15">
        <f>IF(X407="","",W407&amp;" · "&amp;TEXT(X407,"ddd d mmm, hh:mm")&amp;" · "&amp;Y407&amp;IF(Z407&lt;&gt;""," · £"&amp;TEXT(Z407,"0.00")&amp;" per player"," · price TBC (cost £"&amp;TEXT(V407,"0.00")&amp;" pp)"))</f>
        <v/>
      </c>
      <c r="AD407" s="44" t="n"/>
    </row>
    <row r="408">
      <c r="A408" s="13" t="n">
        <v>406</v>
      </c>
      <c r="B408" s="13" t="inlineStr">
        <is>
          <t>2 · N1 Hoxton</t>
        </is>
      </c>
      <c r="C408" s="13" t="inlineStr">
        <is>
          <t>Office &amp; professional</t>
        </is>
      </c>
      <c r="D408" s="13" t="inlineStr">
        <is>
          <t>Corporate</t>
        </is>
      </c>
      <c r="E408" s="13" t="inlineStr">
        <is>
          <t>Thrive Tech</t>
        </is>
      </c>
      <c r="F408" s="13" t="inlineStr">
        <is>
          <t>service</t>
        </is>
      </c>
      <c r="G408" s="13" t="inlineStr">
        <is>
          <t>info@thrivetech.co</t>
        </is>
      </c>
      <c r="H408" s="13" t="inlineStr">
        <is>
          <t>general</t>
        </is>
      </c>
      <c r="I408" s="13" t="n"/>
      <c r="J408" s="14" t="inlineStr">
        <is>
          <t>https://www.thrivetech.co/</t>
        </is>
      </c>
      <c r="K408" s="13" t="inlineStr">
        <is>
          <t>20-22 Wenlock Rd, London N1 7GU, UK</t>
        </is>
      </c>
      <c r="L408" s="13" t="inlineStr">
        <is>
          <t>N1 7GU</t>
        </is>
      </c>
      <c r="M408" s="13" t="inlineStr">
        <is>
          <t>Old St - Moreland Primary School</t>
        </is>
      </c>
      <c r="N408" s="13" t="n">
        <v>7</v>
      </c>
      <c r="O408" s="15">
        <f>IFERROR(INDEX(Venues!$C$2:$C$10,MATCH(M408,Venues!$A$2:$A$10,0)),"Not checked")</f>
        <v/>
      </c>
      <c r="P408" s="15">
        <f>IFERROR(INDEX(Venues!$D$2:$D$10,MATCH(M408,Venues!$A$2:$A$10,0)),0)</f>
        <v/>
      </c>
      <c r="Q408" s="42">
        <f>IFERROR(INDEX(Venues!$E$2:$E$10,MATCH(M408,Venues!$A$2:$A$10,0)),"")</f>
        <v/>
      </c>
      <c r="R408" s="15">
        <f>IF(P408&gt;0,"Yes","No")</f>
        <v/>
      </c>
      <c r="S408" s="13" t="inlineStr">
        <is>
          <t>Old St - Moreland Primary School</t>
        </is>
      </c>
      <c r="T408" s="42">
        <f>IFERROR(INDEX(Venues!$E$2:$E$10,MATCH(S408,Venues!$A$2:$A$10,0)),"")</f>
        <v/>
      </c>
      <c r="U408" s="15">
        <f>IFERROR(INDEX(Venues!$F$2:$F$10,MATCH(S408,Venues!$A$2:$A$10,0)),"")</f>
        <v/>
      </c>
      <c r="V408" s="43">
        <f>IFERROR(INDEX(Venues!$H$2:$H$10,MATCH(S408,Venues!$A$2:$A$10,0)),"")</f>
        <v/>
      </c>
      <c r="W408" s="15">
        <f>IF('Pilot offer'!$C$24="Yes",'Pilot offer'!$C$3,S408)</f>
        <v/>
      </c>
      <c r="X408" s="42">
        <f>IF('Pilot offer'!$C$24="Yes",'Pilot offer'!$C$5+'Pilot offer'!$C$6,T408)</f>
        <v/>
      </c>
      <c r="Y408" s="15">
        <f>IF('Pilot offer'!$C$24="Yes",'Pilot offer'!$C$8,U408)</f>
        <v/>
      </c>
      <c r="Z408" s="43">
        <f>IF('Pilot offer'!$C$24="Yes",'Pilot offer'!$C$11,"")</f>
        <v/>
      </c>
      <c r="AA408" s="15">
        <f>IF(X408="","",W408&amp;" · "&amp;TEXT(X408,"ddd d mmm, hh:mm")&amp;" · "&amp;Y408&amp;IF(Z408&lt;&gt;""," · £"&amp;TEXT(Z408,"0.00")&amp;" per player"," · price TBC (cost £"&amp;TEXT(V408,"0.00")&amp;" pp)"))</f>
        <v/>
      </c>
      <c r="AD408" s="44" t="n"/>
    </row>
    <row r="409">
      <c r="A409" s="13" t="n">
        <v>407</v>
      </c>
      <c r="B409" s="13" t="inlineStr">
        <is>
          <t>2 · N1 Hoxton</t>
        </is>
      </c>
      <c r="C409" s="13" t="inlineStr">
        <is>
          <t>Office &amp; professional</t>
        </is>
      </c>
      <c r="D409" s="13" t="inlineStr">
        <is>
          <t>Corporate</t>
        </is>
      </c>
      <c r="E409" s="13" t="inlineStr">
        <is>
          <t>Zmartly Ltd</t>
        </is>
      </c>
      <c r="F409" s="13" t="inlineStr">
        <is>
          <t>finance</t>
        </is>
      </c>
      <c r="G409" s="13" t="inlineStr">
        <is>
          <t>info@zmartly.co.uk</t>
        </is>
      </c>
      <c r="H409" s="13" t="inlineStr">
        <is>
          <t>general</t>
        </is>
      </c>
      <c r="I409" s="13" t="inlineStr">
        <is>
          <t>+44 20 8175 5145</t>
        </is>
      </c>
      <c r="J409" s="14" t="inlineStr">
        <is>
          <t>https://zmartly.co.uk/contact/</t>
        </is>
      </c>
      <c r="K409" s="13" t="inlineStr">
        <is>
          <t>20-22 Wenlock Rd, London N1 7GU, UK</t>
        </is>
      </c>
      <c r="L409" s="13" t="inlineStr">
        <is>
          <t>N1 7GU</t>
        </is>
      </c>
      <c r="M409" s="13" t="inlineStr">
        <is>
          <t>Old St - Moreland Primary School</t>
        </is>
      </c>
      <c r="N409" s="13" t="n">
        <v>7</v>
      </c>
      <c r="O409" s="15">
        <f>IFERROR(INDEX(Venues!$C$2:$C$10,MATCH(M409,Venues!$A$2:$A$10,0)),"Not checked")</f>
        <v/>
      </c>
      <c r="P409" s="15">
        <f>IFERROR(INDEX(Venues!$D$2:$D$10,MATCH(M409,Venues!$A$2:$A$10,0)),0)</f>
        <v/>
      </c>
      <c r="Q409" s="42">
        <f>IFERROR(INDEX(Venues!$E$2:$E$10,MATCH(M409,Venues!$A$2:$A$10,0)),"")</f>
        <v/>
      </c>
      <c r="R409" s="15">
        <f>IF(P409&gt;0,"Yes","No")</f>
        <v/>
      </c>
      <c r="S409" s="13" t="inlineStr">
        <is>
          <t>Old St - Moreland Primary School</t>
        </is>
      </c>
      <c r="T409" s="42">
        <f>IFERROR(INDEX(Venues!$E$2:$E$10,MATCH(S409,Venues!$A$2:$A$10,0)),"")</f>
        <v/>
      </c>
      <c r="U409" s="15">
        <f>IFERROR(INDEX(Venues!$F$2:$F$10,MATCH(S409,Venues!$A$2:$A$10,0)),"")</f>
        <v/>
      </c>
      <c r="V409" s="43">
        <f>IFERROR(INDEX(Venues!$H$2:$H$10,MATCH(S409,Venues!$A$2:$A$10,0)),"")</f>
        <v/>
      </c>
      <c r="W409" s="15">
        <f>IF('Pilot offer'!$C$24="Yes",'Pilot offer'!$C$3,S409)</f>
        <v/>
      </c>
      <c r="X409" s="42">
        <f>IF('Pilot offer'!$C$24="Yes",'Pilot offer'!$C$5+'Pilot offer'!$C$6,T409)</f>
        <v/>
      </c>
      <c r="Y409" s="15">
        <f>IF('Pilot offer'!$C$24="Yes",'Pilot offer'!$C$8,U409)</f>
        <v/>
      </c>
      <c r="Z409" s="43">
        <f>IF('Pilot offer'!$C$24="Yes",'Pilot offer'!$C$11,"")</f>
        <v/>
      </c>
      <c r="AA409" s="15">
        <f>IF(X409="","",W409&amp;" · "&amp;TEXT(X409,"ddd d mmm, hh:mm")&amp;" · "&amp;Y409&amp;IF(Z409&lt;&gt;""," · £"&amp;TEXT(Z409,"0.00")&amp;" per player"," · price TBC (cost £"&amp;TEXT(V409,"0.00")&amp;" pp)"))</f>
        <v/>
      </c>
      <c r="AD409" s="44" t="n"/>
    </row>
    <row r="410">
      <c r="A410" s="13" t="n">
        <v>408</v>
      </c>
      <c r="B410" s="13" t="inlineStr">
        <is>
          <t>2 · N1 Hoxton</t>
        </is>
      </c>
      <c r="C410" s="13" t="inlineStr">
        <is>
          <t>Office &amp; professional</t>
        </is>
      </c>
      <c r="D410" s="13" t="inlineStr">
        <is>
          <t>Corporate</t>
        </is>
      </c>
      <c r="E410" s="13" t="inlineStr">
        <is>
          <t>Zodee Media</t>
        </is>
      </c>
      <c r="F410" s="13" t="inlineStr">
        <is>
          <t>advertising_agency</t>
        </is>
      </c>
      <c r="G410" s="13" t="inlineStr">
        <is>
          <t>info@zodeemedia.com</t>
        </is>
      </c>
      <c r="H410" s="13" t="inlineStr">
        <is>
          <t>openstreetmap_tag</t>
        </is>
      </c>
      <c r="I410" s="13" t="n"/>
      <c r="J410" s="14" t="inlineStr">
        <is>
          <t>https://www.zodeemedia.com/</t>
        </is>
      </c>
      <c r="K410" s="13" t="inlineStr">
        <is>
          <t>20-22 Wenlock Road, London</t>
        </is>
      </c>
      <c r="L410" s="13" t="inlineStr">
        <is>
          <t>N1 7GU</t>
        </is>
      </c>
      <c r="M410" s="13" t="inlineStr">
        <is>
          <t>Old St - Moreland Primary School</t>
        </is>
      </c>
      <c r="N410" s="13" t="n">
        <v>6</v>
      </c>
      <c r="O410" s="15">
        <f>IFERROR(INDEX(Venues!$C$2:$C$10,MATCH(M410,Venues!$A$2:$A$10,0)),"Not checked")</f>
        <v/>
      </c>
      <c r="P410" s="15">
        <f>IFERROR(INDEX(Venues!$D$2:$D$10,MATCH(M410,Venues!$A$2:$A$10,0)),0)</f>
        <v/>
      </c>
      <c r="Q410" s="42">
        <f>IFERROR(INDEX(Venues!$E$2:$E$10,MATCH(M410,Venues!$A$2:$A$10,0)),"")</f>
        <v/>
      </c>
      <c r="R410" s="15">
        <f>IF(P410&gt;0,"Yes","No")</f>
        <v/>
      </c>
      <c r="S410" s="13" t="inlineStr">
        <is>
          <t>Old St - Moreland Primary School</t>
        </is>
      </c>
      <c r="T410" s="42">
        <f>IFERROR(INDEX(Venues!$E$2:$E$10,MATCH(S410,Venues!$A$2:$A$10,0)),"")</f>
        <v/>
      </c>
      <c r="U410" s="15">
        <f>IFERROR(INDEX(Venues!$F$2:$F$10,MATCH(S410,Venues!$A$2:$A$10,0)),"")</f>
        <v/>
      </c>
      <c r="V410" s="43">
        <f>IFERROR(INDEX(Venues!$H$2:$H$10,MATCH(S410,Venues!$A$2:$A$10,0)),"")</f>
        <v/>
      </c>
      <c r="W410" s="15">
        <f>IF('Pilot offer'!$C$24="Yes",'Pilot offer'!$C$3,S410)</f>
        <v/>
      </c>
      <c r="X410" s="42">
        <f>IF('Pilot offer'!$C$24="Yes",'Pilot offer'!$C$5+'Pilot offer'!$C$6,T410)</f>
        <v/>
      </c>
      <c r="Y410" s="15">
        <f>IF('Pilot offer'!$C$24="Yes",'Pilot offer'!$C$8,U410)</f>
        <v/>
      </c>
      <c r="Z410" s="43">
        <f>IF('Pilot offer'!$C$24="Yes",'Pilot offer'!$C$11,"")</f>
        <v/>
      </c>
      <c r="AA410" s="15">
        <f>IF(X410="","",W410&amp;" · "&amp;TEXT(X410,"ddd d mmm, hh:mm")&amp;" · "&amp;Y410&amp;IF(Z410&lt;&gt;""," · £"&amp;TEXT(Z410,"0.00")&amp;" per player"," · price TBC (cost £"&amp;TEXT(V410,"0.00")&amp;" pp)"))</f>
        <v/>
      </c>
      <c r="AD410" s="44" t="n"/>
    </row>
    <row r="411">
      <c r="A411" s="13" t="n">
        <v>409</v>
      </c>
      <c r="B411" s="13" t="inlineStr">
        <is>
          <t>2 · N1 Hoxton</t>
        </is>
      </c>
      <c r="C411" s="13" t="inlineStr">
        <is>
          <t>Retail</t>
        </is>
      </c>
      <c r="D411" s="13" t="inlineStr">
        <is>
          <t>Local businesses</t>
        </is>
      </c>
      <c r="E411" s="13" t="inlineStr">
        <is>
          <t>SBC cycles</t>
        </is>
      </c>
      <c r="F411" s="13" t="inlineStr">
        <is>
          <t>shop: bicycle</t>
        </is>
      </c>
      <c r="G411" s="13" t="inlineStr">
        <is>
          <t>shop@sbccycles.com</t>
        </is>
      </c>
      <c r="H411" s="13" t="inlineStr">
        <is>
          <t>person_or_other</t>
        </is>
      </c>
      <c r="I411" s="13" t="inlineStr">
        <is>
          <t>+44 20 7253 0339</t>
        </is>
      </c>
      <c r="J411" s="14" t="inlineStr">
        <is>
          <t>https://www.sbccycles.com/</t>
        </is>
      </c>
      <c r="K411" s="13" t="inlineStr">
        <is>
          <t>Cropley Street 41, London</t>
        </is>
      </c>
      <c r="L411" s="13" t="inlineStr">
        <is>
          <t>N1 7HT</t>
        </is>
      </c>
      <c r="M411" s="13" t="inlineStr">
        <is>
          <t>Shoreditch Rooftop</t>
        </is>
      </c>
      <c r="N411" s="13" t="n">
        <v>8</v>
      </c>
      <c r="O411" s="15">
        <f>IFERROR(INDEX(Venues!$C$2:$C$10,MATCH(M411,Venues!$A$2:$A$10,0)),"Not checked")</f>
        <v/>
      </c>
      <c r="P411" s="15">
        <f>IFERROR(INDEX(Venues!$D$2:$D$10,MATCH(M411,Venues!$A$2:$A$10,0)),0)</f>
        <v/>
      </c>
      <c r="Q411" s="42">
        <f>IFERROR(INDEX(Venues!$E$2:$E$10,MATCH(M411,Venues!$A$2:$A$10,0)),"")</f>
        <v/>
      </c>
      <c r="R411" s="15">
        <f>IF(P411&gt;0,"Yes","No")</f>
        <v/>
      </c>
      <c r="S411" s="13" t="inlineStr">
        <is>
          <t>Shoreditch Rooftop</t>
        </is>
      </c>
      <c r="T411" s="42">
        <f>IFERROR(INDEX(Venues!$E$2:$E$10,MATCH(S411,Venues!$A$2:$A$10,0)),"")</f>
        <v/>
      </c>
      <c r="U411" s="15">
        <f>IFERROR(INDEX(Venues!$F$2:$F$10,MATCH(S411,Venues!$A$2:$A$10,0)),"")</f>
        <v/>
      </c>
      <c r="V411" s="43">
        <f>IFERROR(INDEX(Venues!$H$2:$H$10,MATCH(S411,Venues!$A$2:$A$10,0)),"")</f>
        <v/>
      </c>
      <c r="W411" s="15">
        <f>IF('Pilot offer'!$C$24="Yes",'Pilot offer'!$C$3,S411)</f>
        <v/>
      </c>
      <c r="X411" s="42">
        <f>IF('Pilot offer'!$C$24="Yes",'Pilot offer'!$C$5+'Pilot offer'!$C$6,T411)</f>
        <v/>
      </c>
      <c r="Y411" s="15">
        <f>IF('Pilot offer'!$C$24="Yes",'Pilot offer'!$C$8,U411)</f>
        <v/>
      </c>
      <c r="Z411" s="43">
        <f>IF('Pilot offer'!$C$24="Yes",'Pilot offer'!$C$11,"")</f>
        <v/>
      </c>
      <c r="AA411" s="15">
        <f>IF(X411="","",W411&amp;" · "&amp;TEXT(X411,"ddd d mmm, hh:mm")&amp;" · "&amp;Y411&amp;IF(Z411&lt;&gt;""," · £"&amp;TEXT(Z411,"0.00")&amp;" per player"," · price TBC (cost £"&amp;TEXT(V411,"0.00")&amp;" pp)"))</f>
        <v/>
      </c>
      <c r="AD411" s="44" t="n"/>
    </row>
    <row r="412">
      <c r="A412" s="13" t="n">
        <v>410</v>
      </c>
      <c r="B412" s="13" t="inlineStr">
        <is>
          <t>2 · N1 Hoxton</t>
        </is>
      </c>
      <c r="C412" s="13" t="inlineStr">
        <is>
          <t>Office &amp; professional</t>
        </is>
      </c>
      <c r="D412" s="13" t="inlineStr">
        <is>
          <t>Corporate</t>
        </is>
      </c>
      <c r="E412" s="13" t="inlineStr">
        <is>
          <t>Stamp Out Poverty</t>
        </is>
      </c>
      <c r="F412" s="13" t="inlineStr">
        <is>
          <t>ngo</t>
        </is>
      </c>
      <c r="G412" s="13" t="inlineStr">
        <is>
          <t>office@stampoutpoverty.org</t>
        </is>
      </c>
      <c r="H412" s="13" t="inlineStr">
        <is>
          <t>general</t>
        </is>
      </c>
      <c r="I412" s="13" t="n"/>
      <c r="J412" s="14" t="inlineStr">
        <is>
          <t>https://www.stampoutpoverty.org/</t>
        </is>
      </c>
      <c r="K412" s="13" t="inlineStr">
        <is>
          <t>44-48 Shepherdess Walk, London</t>
        </is>
      </c>
      <c r="L412" s="13" t="inlineStr">
        <is>
          <t>N1 7JP</t>
        </is>
      </c>
      <c r="M412" s="13" t="inlineStr">
        <is>
          <t>Old St - Moreland Primary School</t>
        </is>
      </c>
      <c r="N412" s="13" t="n">
        <v>8</v>
      </c>
      <c r="O412" s="15">
        <f>IFERROR(INDEX(Venues!$C$2:$C$10,MATCH(M412,Venues!$A$2:$A$10,0)),"Not checked")</f>
        <v/>
      </c>
      <c r="P412" s="15">
        <f>IFERROR(INDEX(Venues!$D$2:$D$10,MATCH(M412,Venues!$A$2:$A$10,0)),0)</f>
        <v/>
      </c>
      <c r="Q412" s="42">
        <f>IFERROR(INDEX(Venues!$E$2:$E$10,MATCH(M412,Venues!$A$2:$A$10,0)),"")</f>
        <v/>
      </c>
      <c r="R412" s="15">
        <f>IF(P412&gt;0,"Yes","No")</f>
        <v/>
      </c>
      <c r="S412" s="13" t="inlineStr">
        <is>
          <t>Old St - Moreland Primary School</t>
        </is>
      </c>
      <c r="T412" s="42">
        <f>IFERROR(INDEX(Venues!$E$2:$E$10,MATCH(S412,Venues!$A$2:$A$10,0)),"")</f>
        <v/>
      </c>
      <c r="U412" s="15">
        <f>IFERROR(INDEX(Venues!$F$2:$F$10,MATCH(S412,Venues!$A$2:$A$10,0)),"")</f>
        <v/>
      </c>
      <c r="V412" s="43">
        <f>IFERROR(INDEX(Venues!$H$2:$H$10,MATCH(S412,Venues!$A$2:$A$10,0)),"")</f>
        <v/>
      </c>
      <c r="W412" s="15">
        <f>IF('Pilot offer'!$C$24="Yes",'Pilot offer'!$C$3,S412)</f>
        <v/>
      </c>
      <c r="X412" s="42">
        <f>IF('Pilot offer'!$C$24="Yes",'Pilot offer'!$C$5+'Pilot offer'!$C$6,T412)</f>
        <v/>
      </c>
      <c r="Y412" s="15">
        <f>IF('Pilot offer'!$C$24="Yes",'Pilot offer'!$C$8,U412)</f>
        <v/>
      </c>
      <c r="Z412" s="43">
        <f>IF('Pilot offer'!$C$24="Yes",'Pilot offer'!$C$11,"")</f>
        <v/>
      </c>
      <c r="AA412" s="15">
        <f>IF(X412="","",W412&amp;" · "&amp;TEXT(X412,"ddd d mmm, hh:mm")&amp;" · "&amp;Y412&amp;IF(Z412&lt;&gt;""," · £"&amp;TEXT(Z412,"0.00")&amp;" per player"," · price TBC (cost £"&amp;TEXT(V412,"0.00")&amp;" pp)"))</f>
        <v/>
      </c>
      <c r="AD412" s="44" t="n"/>
    </row>
    <row r="413">
      <c r="A413" s="13" t="n">
        <v>411</v>
      </c>
      <c r="B413" s="13" t="inlineStr">
        <is>
          <t>2 · N1 Hoxton</t>
        </is>
      </c>
      <c r="C413" s="13" t="inlineStr">
        <is>
          <t>Office &amp; professional</t>
        </is>
      </c>
      <c r="D413" s="13" t="inlineStr">
        <is>
          <t>Corporate</t>
        </is>
      </c>
      <c r="E413" s="13" t="inlineStr">
        <is>
          <t>Block Solutions Ltd</t>
        </is>
      </c>
      <c r="F413" s="13" t="inlineStr">
        <is>
          <t>it</t>
        </is>
      </c>
      <c r="G413" s="13" t="inlineStr">
        <is>
          <t>sales@block.co.uk</t>
        </is>
      </c>
      <c r="H413" s="13" t="inlineStr">
        <is>
          <t>openstreetmap_tag</t>
        </is>
      </c>
      <c r="I413" s="13" t="inlineStr">
        <is>
          <t>+44 844 967 1646</t>
        </is>
      </c>
      <c r="J413" s="14" t="inlineStr">
        <is>
          <t>https://www.block.co.uk</t>
        </is>
      </c>
      <c r="K413" s="13" t="inlineStr">
        <is>
          <t>14 Shepherdess Walk, London</t>
        </is>
      </c>
      <c r="L413" s="13" t="inlineStr">
        <is>
          <t>N1 7LB</t>
        </is>
      </c>
      <c r="M413" s="13" t="inlineStr">
        <is>
          <t>Old St - Moreland Primary School</t>
        </is>
      </c>
      <c r="N413" s="13" t="n">
        <v>8</v>
      </c>
      <c r="O413" s="15">
        <f>IFERROR(INDEX(Venues!$C$2:$C$10,MATCH(M413,Venues!$A$2:$A$10,0)),"Not checked")</f>
        <v/>
      </c>
      <c r="P413" s="15">
        <f>IFERROR(INDEX(Venues!$D$2:$D$10,MATCH(M413,Venues!$A$2:$A$10,0)),0)</f>
        <v/>
      </c>
      <c r="Q413" s="42">
        <f>IFERROR(INDEX(Venues!$E$2:$E$10,MATCH(M413,Venues!$A$2:$A$10,0)),"")</f>
        <v/>
      </c>
      <c r="R413" s="15">
        <f>IF(P413&gt;0,"Yes","No")</f>
        <v/>
      </c>
      <c r="S413" s="13" t="inlineStr">
        <is>
          <t>Old St - Moreland Primary School</t>
        </is>
      </c>
      <c r="T413" s="42">
        <f>IFERROR(INDEX(Venues!$E$2:$E$10,MATCH(S413,Venues!$A$2:$A$10,0)),"")</f>
        <v/>
      </c>
      <c r="U413" s="15">
        <f>IFERROR(INDEX(Venues!$F$2:$F$10,MATCH(S413,Venues!$A$2:$A$10,0)),"")</f>
        <v/>
      </c>
      <c r="V413" s="43">
        <f>IFERROR(INDEX(Venues!$H$2:$H$10,MATCH(S413,Venues!$A$2:$A$10,0)),"")</f>
        <v/>
      </c>
      <c r="W413" s="15">
        <f>IF('Pilot offer'!$C$24="Yes",'Pilot offer'!$C$3,S413)</f>
        <v/>
      </c>
      <c r="X413" s="42">
        <f>IF('Pilot offer'!$C$24="Yes",'Pilot offer'!$C$5+'Pilot offer'!$C$6,T413)</f>
        <v/>
      </c>
      <c r="Y413" s="15">
        <f>IF('Pilot offer'!$C$24="Yes",'Pilot offer'!$C$8,U413)</f>
        <v/>
      </c>
      <c r="Z413" s="43">
        <f>IF('Pilot offer'!$C$24="Yes",'Pilot offer'!$C$11,"")</f>
        <v/>
      </c>
      <c r="AA413" s="15">
        <f>IF(X413="","",W413&amp;" · "&amp;TEXT(X413,"ddd d mmm, hh:mm")&amp;" · "&amp;Y413&amp;IF(Z413&lt;&gt;""," · £"&amp;TEXT(Z413,"0.00")&amp;" per player"," · price TBC (cost £"&amp;TEXT(V413,"0.00")&amp;" pp)"))</f>
        <v/>
      </c>
      <c r="AD413" s="44" t="n"/>
    </row>
    <row r="414">
      <c r="A414" s="13" t="n">
        <v>412</v>
      </c>
      <c r="B414" s="13" t="inlineStr">
        <is>
          <t>2 · N1 Hoxton</t>
        </is>
      </c>
      <c r="C414" s="13" t="inlineStr">
        <is>
          <t>Hospitality</t>
        </is>
      </c>
      <c r="D414" s="13" t="inlineStr">
        <is>
          <t>Local businesses</t>
        </is>
      </c>
      <c r="E414" s="13" t="inlineStr">
        <is>
          <t>Hampton by Hilton London Old Street</t>
        </is>
      </c>
      <c r="F414" s="13" t="inlineStr">
        <is>
          <t>tourism: hotel</t>
        </is>
      </c>
      <c r="G414" s="13" t="inlineStr">
        <is>
          <t>lhros_hampton@hilton.com</t>
        </is>
      </c>
      <c r="H414" s="13" t="inlineStr">
        <is>
          <t>openstreetmap_tag</t>
        </is>
      </c>
      <c r="I414" s="13" t="inlineStr">
        <is>
          <t>+44 20 3822 0250</t>
        </is>
      </c>
      <c r="J414" s="14" t="inlineStr">
        <is>
          <t>https://www.hilton.com/en/hotels/lhroshx-hampton-london-old-street/</t>
        </is>
      </c>
      <c r="K414" s="13" t="inlineStr">
        <is>
          <t>Westland Place 17-33, London</t>
        </is>
      </c>
      <c r="L414" s="13" t="inlineStr">
        <is>
          <t>N1 7LP</t>
        </is>
      </c>
      <c r="M414" s="13" t="inlineStr">
        <is>
          <t>Shoreditch Rooftop</t>
        </is>
      </c>
      <c r="N414" s="13" t="n">
        <v>13</v>
      </c>
      <c r="O414" s="15">
        <f>IFERROR(INDEX(Venues!$C$2:$C$10,MATCH(M414,Venues!$A$2:$A$10,0)),"Not checked")</f>
        <v/>
      </c>
      <c r="P414" s="15">
        <f>IFERROR(INDEX(Venues!$D$2:$D$10,MATCH(M414,Venues!$A$2:$A$10,0)),0)</f>
        <v/>
      </c>
      <c r="Q414" s="42">
        <f>IFERROR(INDEX(Venues!$E$2:$E$10,MATCH(M414,Venues!$A$2:$A$10,0)),"")</f>
        <v/>
      </c>
      <c r="R414" s="15">
        <f>IF(P414&gt;0,"Yes","No")</f>
        <v/>
      </c>
      <c r="S414" s="13" t="inlineStr">
        <is>
          <t>Shoreditch Rooftop</t>
        </is>
      </c>
      <c r="T414" s="42">
        <f>IFERROR(INDEX(Venues!$E$2:$E$10,MATCH(S414,Venues!$A$2:$A$10,0)),"")</f>
        <v/>
      </c>
      <c r="U414" s="15">
        <f>IFERROR(INDEX(Venues!$F$2:$F$10,MATCH(S414,Venues!$A$2:$A$10,0)),"")</f>
        <v/>
      </c>
      <c r="V414" s="43">
        <f>IFERROR(INDEX(Venues!$H$2:$H$10,MATCH(S414,Venues!$A$2:$A$10,0)),"")</f>
        <v/>
      </c>
      <c r="W414" s="15">
        <f>IF('Pilot offer'!$C$24="Yes",'Pilot offer'!$C$3,S414)</f>
        <v/>
      </c>
      <c r="X414" s="42">
        <f>IF('Pilot offer'!$C$24="Yes",'Pilot offer'!$C$5+'Pilot offer'!$C$6,T414)</f>
        <v/>
      </c>
      <c r="Y414" s="15">
        <f>IF('Pilot offer'!$C$24="Yes",'Pilot offer'!$C$8,U414)</f>
        <v/>
      </c>
      <c r="Z414" s="43">
        <f>IF('Pilot offer'!$C$24="Yes",'Pilot offer'!$C$11,"")</f>
        <v/>
      </c>
      <c r="AA414" s="15">
        <f>IF(X414="","",W414&amp;" · "&amp;TEXT(X414,"ddd d mmm, hh:mm")&amp;" · "&amp;Y414&amp;IF(Z414&lt;&gt;""," · £"&amp;TEXT(Z414,"0.00")&amp;" per player"," · price TBC (cost £"&amp;TEXT(V414,"0.00")&amp;" pp)"))</f>
        <v/>
      </c>
      <c r="AD414" s="44" t="n"/>
    </row>
    <row r="415">
      <c r="A415" s="13" t="n">
        <v>413</v>
      </c>
      <c r="B415" s="13" t="inlineStr">
        <is>
          <t>2 · N1 Hoxton</t>
        </is>
      </c>
      <c r="C415" s="13" t="inlineStr">
        <is>
          <t>Hospitality</t>
        </is>
      </c>
      <c r="D415" s="13" t="inlineStr">
        <is>
          <t>Local businesses</t>
        </is>
      </c>
      <c r="E415" s="13" t="inlineStr">
        <is>
          <t>Westland Coffee &amp; Wine</t>
        </is>
      </c>
      <c r="F415" s="13" t="inlineStr">
        <is>
          <t>amenity: cafe</t>
        </is>
      </c>
      <c r="G415" s="13" t="inlineStr">
        <is>
          <t>info@westlandcoffee.co.uk</t>
        </is>
      </c>
      <c r="H415" s="13" t="inlineStr">
        <is>
          <t>openstreetmap_tag</t>
        </is>
      </c>
      <c r="I415" s="13" t="n"/>
      <c r="J415" s="14" t="inlineStr">
        <is>
          <t>http://www.westlandcoffee.co.uk</t>
        </is>
      </c>
      <c r="K415" s="13" t="inlineStr">
        <is>
          <t>Westland Place 1, London</t>
        </is>
      </c>
      <c r="L415" s="13" t="inlineStr">
        <is>
          <t>N1 7LP</t>
        </is>
      </c>
      <c r="M415" s="13" t="inlineStr">
        <is>
          <t>Shoreditch Rooftop</t>
        </is>
      </c>
      <c r="N415" s="13" t="n">
        <v>13</v>
      </c>
      <c r="O415" s="15">
        <f>IFERROR(INDEX(Venues!$C$2:$C$10,MATCH(M415,Venues!$A$2:$A$10,0)),"Not checked")</f>
        <v/>
      </c>
      <c r="P415" s="15">
        <f>IFERROR(INDEX(Venues!$D$2:$D$10,MATCH(M415,Venues!$A$2:$A$10,0)),0)</f>
        <v/>
      </c>
      <c r="Q415" s="42">
        <f>IFERROR(INDEX(Venues!$E$2:$E$10,MATCH(M415,Venues!$A$2:$A$10,0)),"")</f>
        <v/>
      </c>
      <c r="R415" s="15">
        <f>IF(P415&gt;0,"Yes","No")</f>
        <v/>
      </c>
      <c r="S415" s="13" t="inlineStr">
        <is>
          <t>Shoreditch Rooftop</t>
        </is>
      </c>
      <c r="T415" s="42">
        <f>IFERROR(INDEX(Venues!$E$2:$E$10,MATCH(S415,Venues!$A$2:$A$10,0)),"")</f>
        <v/>
      </c>
      <c r="U415" s="15">
        <f>IFERROR(INDEX(Venues!$F$2:$F$10,MATCH(S415,Venues!$A$2:$A$10,0)),"")</f>
        <v/>
      </c>
      <c r="V415" s="43">
        <f>IFERROR(INDEX(Venues!$H$2:$H$10,MATCH(S415,Venues!$A$2:$A$10,0)),"")</f>
        <v/>
      </c>
      <c r="W415" s="15">
        <f>IF('Pilot offer'!$C$24="Yes",'Pilot offer'!$C$3,S415)</f>
        <v/>
      </c>
      <c r="X415" s="42">
        <f>IF('Pilot offer'!$C$24="Yes",'Pilot offer'!$C$5+'Pilot offer'!$C$6,T415)</f>
        <v/>
      </c>
      <c r="Y415" s="15">
        <f>IF('Pilot offer'!$C$24="Yes",'Pilot offer'!$C$8,U415)</f>
        <v/>
      </c>
      <c r="Z415" s="43">
        <f>IF('Pilot offer'!$C$24="Yes",'Pilot offer'!$C$11,"")</f>
        <v/>
      </c>
      <c r="AA415" s="15">
        <f>IF(X415="","",W415&amp;" · "&amp;TEXT(X415,"ddd d mmm, hh:mm")&amp;" · "&amp;Y415&amp;IF(Z415&lt;&gt;""," · £"&amp;TEXT(Z415,"0.00")&amp;" per player"," · price TBC (cost £"&amp;TEXT(V415,"0.00")&amp;" pp)"))</f>
        <v/>
      </c>
      <c r="AD415" s="44" t="n"/>
    </row>
    <row r="416">
      <c r="A416" s="13" t="n">
        <v>414</v>
      </c>
      <c r="B416" s="13" t="inlineStr">
        <is>
          <t>2 · N1 Hoxton</t>
        </is>
      </c>
      <c r="C416" s="13" t="inlineStr">
        <is>
          <t>Office &amp; professional</t>
        </is>
      </c>
      <c r="D416" s="13" t="inlineStr">
        <is>
          <t>Corporate</t>
        </is>
      </c>
      <c r="E416" s="13" t="inlineStr">
        <is>
          <t>HYPERVSN</t>
        </is>
      </c>
      <c r="F416" s="13" t="inlineStr">
        <is>
          <t>company</t>
        </is>
      </c>
      <c r="G416" s="13" t="inlineStr">
        <is>
          <t>info@hypervsn.com</t>
        </is>
      </c>
      <c r="H416" s="13" t="inlineStr">
        <is>
          <t>general</t>
        </is>
      </c>
      <c r="I416" s="13" t="inlineStr">
        <is>
          <t>+44 20 8068 5328</t>
        </is>
      </c>
      <c r="J416" s="14" t="inlineStr">
        <is>
          <t>https://hypervsn.com</t>
        </is>
      </c>
      <c r="K416" s="13" t="inlineStr">
        <is>
          <t>Nile Street, London</t>
        </is>
      </c>
      <c r="L416" s="13" t="inlineStr">
        <is>
          <t>N1 7RD</t>
        </is>
      </c>
      <c r="M416" s="13" t="inlineStr">
        <is>
          <t>Old St - Moreland Primary School</t>
        </is>
      </c>
      <c r="N416" s="13" t="n">
        <v>10</v>
      </c>
      <c r="O416" s="15">
        <f>IFERROR(INDEX(Venues!$C$2:$C$10,MATCH(M416,Venues!$A$2:$A$10,0)),"Not checked")</f>
        <v/>
      </c>
      <c r="P416" s="15">
        <f>IFERROR(INDEX(Venues!$D$2:$D$10,MATCH(M416,Venues!$A$2:$A$10,0)),0)</f>
        <v/>
      </c>
      <c r="Q416" s="42">
        <f>IFERROR(INDEX(Venues!$E$2:$E$10,MATCH(M416,Venues!$A$2:$A$10,0)),"")</f>
        <v/>
      </c>
      <c r="R416" s="15">
        <f>IF(P416&gt;0,"Yes","No")</f>
        <v/>
      </c>
      <c r="S416" s="13" t="inlineStr">
        <is>
          <t>Old St - Moreland Primary School</t>
        </is>
      </c>
      <c r="T416" s="42">
        <f>IFERROR(INDEX(Venues!$E$2:$E$10,MATCH(S416,Venues!$A$2:$A$10,0)),"")</f>
        <v/>
      </c>
      <c r="U416" s="15">
        <f>IFERROR(INDEX(Venues!$F$2:$F$10,MATCH(S416,Venues!$A$2:$A$10,0)),"")</f>
        <v/>
      </c>
      <c r="V416" s="43">
        <f>IFERROR(INDEX(Venues!$H$2:$H$10,MATCH(S416,Venues!$A$2:$A$10,0)),"")</f>
        <v/>
      </c>
      <c r="W416" s="15">
        <f>IF('Pilot offer'!$C$24="Yes",'Pilot offer'!$C$3,S416)</f>
        <v/>
      </c>
      <c r="X416" s="42">
        <f>IF('Pilot offer'!$C$24="Yes",'Pilot offer'!$C$5+'Pilot offer'!$C$6,T416)</f>
        <v/>
      </c>
      <c r="Y416" s="15">
        <f>IF('Pilot offer'!$C$24="Yes",'Pilot offer'!$C$8,U416)</f>
        <v/>
      </c>
      <c r="Z416" s="43">
        <f>IF('Pilot offer'!$C$24="Yes",'Pilot offer'!$C$11,"")</f>
        <v/>
      </c>
      <c r="AA416" s="15">
        <f>IF(X416="","",W416&amp;" · "&amp;TEXT(X416,"ddd d mmm, hh:mm")&amp;" · "&amp;Y416&amp;IF(Z416&lt;&gt;""," · £"&amp;TEXT(Z416,"0.00")&amp;" per player"," · price TBC (cost £"&amp;TEXT(V416,"0.00")&amp;" pp)"))</f>
        <v/>
      </c>
      <c r="AD416" s="44" t="n"/>
    </row>
    <row r="417">
      <c r="A417" s="13" t="n">
        <v>415</v>
      </c>
      <c r="B417" s="13" t="inlineStr">
        <is>
          <t>2 · N1 Hoxton</t>
        </is>
      </c>
      <c r="C417" s="13" t="inlineStr">
        <is>
          <t>Leisure &amp; culture</t>
        </is>
      </c>
      <c r="D417" s="13" t="inlineStr">
        <is>
          <t>Local businesses</t>
        </is>
      </c>
      <c r="E417" s="13" t="inlineStr">
        <is>
          <t>Victoria Miro Gallery</t>
        </is>
      </c>
      <c r="F417" s="13" t="inlineStr">
        <is>
          <t>tourism: gallery</t>
        </is>
      </c>
      <c r="G417" s="13" t="inlineStr">
        <is>
          <t>info@victoria-miro.com</t>
        </is>
      </c>
      <c r="H417" s="13" t="inlineStr">
        <is>
          <t>general</t>
        </is>
      </c>
      <c r="I417" s="13" t="inlineStr">
        <is>
          <t>+44 20 7336 8109</t>
        </is>
      </c>
      <c r="J417" s="14" t="inlineStr">
        <is>
          <t>https://www.victoria-miro.com/</t>
        </is>
      </c>
      <c r="K417" s="13" t="inlineStr">
        <is>
          <t>Wharf Road 16, London</t>
        </is>
      </c>
      <c r="L417" s="13" t="inlineStr">
        <is>
          <t>N1 7RW</t>
        </is>
      </c>
      <c r="M417" s="13" t="inlineStr">
        <is>
          <t>Shoreditch Rooftop</t>
        </is>
      </c>
      <c r="N417" s="13" t="n">
        <v>14</v>
      </c>
      <c r="O417" s="15">
        <f>IFERROR(INDEX(Venues!$C$2:$C$10,MATCH(M417,Venues!$A$2:$A$10,0)),"Not checked")</f>
        <v/>
      </c>
      <c r="P417" s="15">
        <f>IFERROR(INDEX(Venues!$D$2:$D$10,MATCH(M417,Venues!$A$2:$A$10,0)),0)</f>
        <v/>
      </c>
      <c r="Q417" s="42">
        <f>IFERROR(INDEX(Venues!$E$2:$E$10,MATCH(M417,Venues!$A$2:$A$10,0)),"")</f>
        <v/>
      </c>
      <c r="R417" s="15">
        <f>IF(P417&gt;0,"Yes","No")</f>
        <v/>
      </c>
      <c r="S417" s="13" t="inlineStr">
        <is>
          <t>Shoreditch Rooftop</t>
        </is>
      </c>
      <c r="T417" s="42">
        <f>IFERROR(INDEX(Venues!$E$2:$E$10,MATCH(S417,Venues!$A$2:$A$10,0)),"")</f>
        <v/>
      </c>
      <c r="U417" s="15">
        <f>IFERROR(INDEX(Venues!$F$2:$F$10,MATCH(S417,Venues!$A$2:$A$10,0)),"")</f>
        <v/>
      </c>
      <c r="V417" s="43">
        <f>IFERROR(INDEX(Venues!$H$2:$H$10,MATCH(S417,Venues!$A$2:$A$10,0)),"")</f>
        <v/>
      </c>
      <c r="W417" s="15">
        <f>IF('Pilot offer'!$C$24="Yes",'Pilot offer'!$C$3,S417)</f>
        <v/>
      </c>
      <c r="X417" s="42">
        <f>IF('Pilot offer'!$C$24="Yes",'Pilot offer'!$C$5+'Pilot offer'!$C$6,T417)</f>
        <v/>
      </c>
      <c r="Y417" s="15">
        <f>IF('Pilot offer'!$C$24="Yes",'Pilot offer'!$C$8,U417)</f>
        <v/>
      </c>
      <c r="Z417" s="43">
        <f>IF('Pilot offer'!$C$24="Yes",'Pilot offer'!$C$11,"")</f>
        <v/>
      </c>
      <c r="AA417" s="15">
        <f>IF(X417="","",W417&amp;" · "&amp;TEXT(X417,"ddd d mmm, hh:mm")&amp;" · "&amp;Y417&amp;IF(Z417&lt;&gt;""," · £"&amp;TEXT(Z417,"0.00")&amp;" per player"," · price TBC (cost £"&amp;TEXT(V417,"0.00")&amp;" pp)"))</f>
        <v/>
      </c>
      <c r="AD417" s="44" t="n"/>
    </row>
    <row r="418">
      <c r="A418" s="13" t="n">
        <v>416</v>
      </c>
      <c r="B418" s="13" t="inlineStr">
        <is>
          <t>2 · N1 Hoxton</t>
        </is>
      </c>
      <c r="C418" s="13" t="inlineStr">
        <is>
          <t>Hospitality</t>
        </is>
      </c>
      <c r="D418" s="13" t="inlineStr">
        <is>
          <t>Local businesses</t>
        </is>
      </c>
      <c r="E418" s="13" t="inlineStr">
        <is>
          <t>The Wenlock Arms</t>
        </is>
      </c>
      <c r="F418" s="13" t="inlineStr">
        <is>
          <t>amenity: pub</t>
        </is>
      </c>
      <c r="G418" s="13" t="inlineStr">
        <is>
          <t>beer@wenlockarms.com</t>
        </is>
      </c>
      <c r="H418" s="13" t="inlineStr">
        <is>
          <t>person_or_other</t>
        </is>
      </c>
      <c r="I418" s="13" t="n"/>
      <c r="J418" s="14" t="inlineStr">
        <is>
          <t>https://wenlockarms.com/</t>
        </is>
      </c>
      <c r="K418" s="13" t="inlineStr">
        <is>
          <t>Wenlock Road 26, London</t>
        </is>
      </c>
      <c r="L418" s="13" t="inlineStr">
        <is>
          <t>N1 7TA</t>
        </is>
      </c>
      <c r="M418" s="13" t="inlineStr">
        <is>
          <t>Shoreditch Rooftop</t>
        </is>
      </c>
      <c r="N418" s="13" t="n">
        <v>12</v>
      </c>
      <c r="O418" s="15">
        <f>IFERROR(INDEX(Venues!$C$2:$C$10,MATCH(M418,Venues!$A$2:$A$10,0)),"Not checked")</f>
        <v/>
      </c>
      <c r="P418" s="15">
        <f>IFERROR(INDEX(Venues!$D$2:$D$10,MATCH(M418,Venues!$A$2:$A$10,0)),0)</f>
        <v/>
      </c>
      <c r="Q418" s="42">
        <f>IFERROR(INDEX(Venues!$E$2:$E$10,MATCH(M418,Venues!$A$2:$A$10,0)),"")</f>
        <v/>
      </c>
      <c r="R418" s="15">
        <f>IF(P418&gt;0,"Yes","No")</f>
        <v/>
      </c>
      <c r="S418" s="13" t="inlineStr">
        <is>
          <t>Shoreditch Rooftop</t>
        </is>
      </c>
      <c r="T418" s="42">
        <f>IFERROR(INDEX(Venues!$E$2:$E$10,MATCH(S418,Venues!$A$2:$A$10,0)),"")</f>
        <v/>
      </c>
      <c r="U418" s="15">
        <f>IFERROR(INDEX(Venues!$F$2:$F$10,MATCH(S418,Venues!$A$2:$A$10,0)),"")</f>
        <v/>
      </c>
      <c r="V418" s="43">
        <f>IFERROR(INDEX(Venues!$H$2:$H$10,MATCH(S418,Venues!$A$2:$A$10,0)),"")</f>
        <v/>
      </c>
      <c r="W418" s="15">
        <f>IF('Pilot offer'!$C$24="Yes",'Pilot offer'!$C$3,S418)</f>
        <v/>
      </c>
      <c r="X418" s="42">
        <f>IF('Pilot offer'!$C$24="Yes",'Pilot offer'!$C$5+'Pilot offer'!$C$6,T418)</f>
        <v/>
      </c>
      <c r="Y418" s="15">
        <f>IF('Pilot offer'!$C$24="Yes",'Pilot offer'!$C$8,U418)</f>
        <v/>
      </c>
      <c r="Z418" s="43">
        <f>IF('Pilot offer'!$C$24="Yes",'Pilot offer'!$C$11,"")</f>
        <v/>
      </c>
      <c r="AA418" s="15">
        <f>IF(X418="","",W418&amp;" · "&amp;TEXT(X418,"ddd d mmm, hh:mm")&amp;" · "&amp;Y418&amp;IF(Z418&lt;&gt;""," · £"&amp;TEXT(Z418,"0.00")&amp;" per player"," · price TBC (cost £"&amp;TEXT(V418,"0.00")&amp;" pp)"))</f>
        <v/>
      </c>
      <c r="AD418" s="44" t="n"/>
    </row>
    <row r="419">
      <c r="A419" s="13" t="n">
        <v>417</v>
      </c>
      <c r="B419" s="13" t="inlineStr">
        <is>
          <t>2 · N1 Hoxton</t>
        </is>
      </c>
      <c r="C419" s="13" t="inlineStr">
        <is>
          <t>Health</t>
        </is>
      </c>
      <c r="D419" s="13" t="inlineStr">
        <is>
          <t>Local businesses</t>
        </is>
      </c>
      <c r="E419" s="13" t="inlineStr">
        <is>
          <t>Moorfields at Hoxton</t>
        </is>
      </c>
      <c r="F419" s="13" t="inlineStr">
        <is>
          <t>amenity: hospital</t>
        </is>
      </c>
      <c r="G419" s="13" t="inlineStr">
        <is>
          <t>spectacles@moorfields.nhs.uk</t>
        </is>
      </c>
      <c r="H419" s="13" t="inlineStr">
        <is>
          <t>person_or_other</t>
        </is>
      </c>
      <c r="I419" s="13" t="inlineStr">
        <is>
          <t>+44 20 7253 3411</t>
        </is>
      </c>
      <c r="J419" s="14" t="inlineStr">
        <is>
          <t>https://www.moorfields.nhs.uk/locations/moorfields-hoxton</t>
        </is>
      </c>
      <c r="K419" s="13" t="inlineStr">
        <is>
          <t>Bracklyn Street 1 &amp; 5, London</t>
        </is>
      </c>
      <c r="L419" s="13" t="inlineStr">
        <is>
          <t>N1 7TX</t>
        </is>
      </c>
      <c r="M419" s="13" t="inlineStr">
        <is>
          <t>Shoreditch Rooftop</t>
        </is>
      </c>
      <c r="N419" s="13" t="n">
        <v>6</v>
      </c>
      <c r="O419" s="15">
        <f>IFERROR(INDEX(Venues!$C$2:$C$10,MATCH(M419,Venues!$A$2:$A$10,0)),"Not checked")</f>
        <v/>
      </c>
      <c r="P419" s="15">
        <f>IFERROR(INDEX(Venues!$D$2:$D$10,MATCH(M419,Venues!$A$2:$A$10,0)),0)</f>
        <v/>
      </c>
      <c r="Q419" s="42">
        <f>IFERROR(INDEX(Venues!$E$2:$E$10,MATCH(M419,Venues!$A$2:$A$10,0)),"")</f>
        <v/>
      </c>
      <c r="R419" s="15">
        <f>IF(P419&gt;0,"Yes","No")</f>
        <v/>
      </c>
      <c r="S419" s="13" t="inlineStr">
        <is>
          <t>Shoreditch Rooftop</t>
        </is>
      </c>
      <c r="T419" s="42">
        <f>IFERROR(INDEX(Venues!$E$2:$E$10,MATCH(S419,Venues!$A$2:$A$10,0)),"")</f>
        <v/>
      </c>
      <c r="U419" s="15">
        <f>IFERROR(INDEX(Venues!$F$2:$F$10,MATCH(S419,Venues!$A$2:$A$10,0)),"")</f>
        <v/>
      </c>
      <c r="V419" s="43">
        <f>IFERROR(INDEX(Venues!$H$2:$H$10,MATCH(S419,Venues!$A$2:$A$10,0)),"")</f>
        <v/>
      </c>
      <c r="W419" s="15">
        <f>IF('Pilot offer'!$C$24="Yes",'Pilot offer'!$C$3,S419)</f>
        <v/>
      </c>
      <c r="X419" s="42">
        <f>IF('Pilot offer'!$C$24="Yes",'Pilot offer'!$C$5+'Pilot offer'!$C$6,T419)</f>
        <v/>
      </c>
      <c r="Y419" s="15">
        <f>IF('Pilot offer'!$C$24="Yes",'Pilot offer'!$C$8,U419)</f>
        <v/>
      </c>
      <c r="Z419" s="43">
        <f>IF('Pilot offer'!$C$24="Yes",'Pilot offer'!$C$11,"")</f>
        <v/>
      </c>
      <c r="AA419" s="15">
        <f>IF(X419="","",W419&amp;" · "&amp;TEXT(X419,"ddd d mmm, hh:mm")&amp;" · "&amp;Y419&amp;IF(Z419&lt;&gt;""," · £"&amp;TEXT(Z419,"0.00")&amp;" per player"," · price TBC (cost £"&amp;TEXT(V419,"0.00")&amp;" pp)"))</f>
        <v/>
      </c>
      <c r="AD419" s="44" t="n"/>
    </row>
    <row r="420">
      <c r="A420" s="13" t="n">
        <v>418</v>
      </c>
      <c r="B420" s="13" t="inlineStr">
        <is>
          <t>2 · N1 Hoxton</t>
        </is>
      </c>
      <c r="C420" s="13" t="inlineStr">
        <is>
          <t>Coworking / shared office</t>
        </is>
      </c>
      <c r="D420" s="13" t="inlineStr">
        <is>
          <t>Corporate</t>
        </is>
      </c>
      <c r="E420" s="13" t="inlineStr">
        <is>
          <t>Propeller Digital</t>
        </is>
      </c>
      <c r="F420" s="13" t="inlineStr">
        <is>
          <t>office building (multi-tenant)</t>
        </is>
      </c>
      <c r="G420" s="13" t="inlineStr">
        <is>
          <t>info@propeller.co.uk</t>
        </is>
      </c>
      <c r="H420" s="13" t="inlineStr">
        <is>
          <t>general</t>
        </is>
      </c>
      <c r="I420" s="13" t="inlineStr">
        <is>
          <t>+44 20 7836 2736</t>
        </is>
      </c>
      <c r="J420" s="14" t="inlineStr">
        <is>
          <t>https://www.propeller.co.uk/</t>
        </is>
      </c>
      <c r="K420" s="13" t="inlineStr">
        <is>
          <t>42 Colebrooke Row, London</t>
        </is>
      </c>
      <c r="L420" s="13" t="inlineStr">
        <is>
          <t>N1 8AF</t>
        </is>
      </c>
      <c r="M420" s="13" t="inlineStr">
        <is>
          <t>Old St - Moreland Primary School</t>
        </is>
      </c>
      <c r="N420" s="13" t="n">
        <v>11</v>
      </c>
      <c r="O420" s="15">
        <f>IFERROR(INDEX(Venues!$C$2:$C$10,MATCH(M420,Venues!$A$2:$A$10,0)),"Not checked")</f>
        <v/>
      </c>
      <c r="P420" s="15">
        <f>IFERROR(INDEX(Venues!$D$2:$D$10,MATCH(M420,Venues!$A$2:$A$10,0)),0)</f>
        <v/>
      </c>
      <c r="Q420" s="42">
        <f>IFERROR(INDEX(Venues!$E$2:$E$10,MATCH(M420,Venues!$A$2:$A$10,0)),"")</f>
        <v/>
      </c>
      <c r="R420" s="15">
        <f>IF(P420&gt;0,"Yes","No")</f>
        <v/>
      </c>
      <c r="S420" s="13" t="inlineStr">
        <is>
          <t>Old St - Moreland Primary School</t>
        </is>
      </c>
      <c r="T420" s="42">
        <f>IFERROR(INDEX(Venues!$E$2:$E$10,MATCH(S420,Venues!$A$2:$A$10,0)),"")</f>
        <v/>
      </c>
      <c r="U420" s="15">
        <f>IFERROR(INDEX(Venues!$F$2:$F$10,MATCH(S420,Venues!$A$2:$A$10,0)),"")</f>
        <v/>
      </c>
      <c r="V420" s="43">
        <f>IFERROR(INDEX(Venues!$H$2:$H$10,MATCH(S420,Venues!$A$2:$A$10,0)),"")</f>
        <v/>
      </c>
      <c r="W420" s="15">
        <f>IF('Pilot offer'!$C$24="Yes",'Pilot offer'!$C$3,S420)</f>
        <v/>
      </c>
      <c r="X420" s="42">
        <f>IF('Pilot offer'!$C$24="Yes",'Pilot offer'!$C$5+'Pilot offer'!$C$6,T420)</f>
        <v/>
      </c>
      <c r="Y420" s="15">
        <f>IF('Pilot offer'!$C$24="Yes",'Pilot offer'!$C$8,U420)</f>
        <v/>
      </c>
      <c r="Z420" s="43">
        <f>IF('Pilot offer'!$C$24="Yes",'Pilot offer'!$C$11,"")</f>
        <v/>
      </c>
      <c r="AA420" s="15">
        <f>IF(X420="","",W420&amp;" · "&amp;TEXT(X420,"ddd d mmm, hh:mm")&amp;" · "&amp;Y420&amp;IF(Z420&lt;&gt;""," · £"&amp;TEXT(Z420,"0.00")&amp;" per player"," · price TBC (cost £"&amp;TEXT(V420,"0.00")&amp;" pp)"))</f>
        <v/>
      </c>
      <c r="AD420" s="44" t="n"/>
    </row>
    <row r="421">
      <c r="A421" s="13" t="n">
        <v>419</v>
      </c>
      <c r="B421" s="13" t="inlineStr">
        <is>
          <t>2 · N1 Hoxton</t>
        </is>
      </c>
      <c r="C421" s="13" t="inlineStr">
        <is>
          <t>Education</t>
        </is>
      </c>
      <c r="D421" s="13" t="inlineStr">
        <is>
          <t>Local businesses</t>
        </is>
      </c>
      <c r="E421" s="13" t="inlineStr">
        <is>
          <t>Hanover Primary School</t>
        </is>
      </c>
      <c r="F421" s="13" t="inlineStr">
        <is>
          <t>amenity: school</t>
        </is>
      </c>
      <c r="G421" s="13" t="inlineStr">
        <is>
          <t>admin@hanover.islington.sch.uk</t>
        </is>
      </c>
      <c r="H421" s="13" t="inlineStr">
        <is>
          <t>general</t>
        </is>
      </c>
      <c r="I421" s="13" t="inlineStr">
        <is>
          <t>+44 20 7689 8949</t>
        </is>
      </c>
      <c r="J421" s="14" t="inlineStr">
        <is>
          <t>https://www.hanover.islington.sch.uk/</t>
        </is>
      </c>
      <c r="K421" s="13" t="inlineStr">
        <is>
          <t>Noel Road, London</t>
        </is>
      </c>
      <c r="L421" s="13" t="inlineStr">
        <is>
          <t>N1 8BD</t>
        </is>
      </c>
      <c r="M421" s="13" t="inlineStr">
        <is>
          <t>Rosemary Gardens 3G - Islington</t>
        </is>
      </c>
      <c r="N421" s="13" t="n">
        <v>15</v>
      </c>
      <c r="O421" s="15">
        <f>IFERROR(INDEX(Venues!$C$2:$C$10,MATCH(M421,Venues!$A$2:$A$10,0)),"Not checked")</f>
        <v/>
      </c>
      <c r="P421" s="15">
        <f>IFERROR(INDEX(Venues!$D$2:$D$10,MATCH(M421,Venues!$A$2:$A$10,0)),0)</f>
        <v/>
      </c>
      <c r="Q421" s="42">
        <f>IFERROR(INDEX(Venues!$E$2:$E$10,MATCH(M421,Venues!$A$2:$A$10,0)),"")</f>
        <v/>
      </c>
      <c r="R421" s="15">
        <f>IF(P421&gt;0,"Yes","No")</f>
        <v/>
      </c>
      <c r="S421" s="13" t="inlineStr">
        <is>
          <t>COLA Shoreditch Park</t>
        </is>
      </c>
      <c r="T421" s="42">
        <f>IFERROR(INDEX(Venues!$E$2:$E$10,MATCH(S421,Venues!$A$2:$A$10,0)),"")</f>
        <v/>
      </c>
      <c r="U421" s="15">
        <f>IFERROR(INDEX(Venues!$F$2:$F$10,MATCH(S421,Venues!$A$2:$A$10,0)),"")</f>
        <v/>
      </c>
      <c r="V421" s="43">
        <f>IFERROR(INDEX(Venues!$H$2:$H$10,MATCH(S421,Venues!$A$2:$A$10,0)),"")</f>
        <v/>
      </c>
      <c r="W421" s="15">
        <f>IF('Pilot offer'!$C$24="Yes",'Pilot offer'!$C$3,S421)</f>
        <v/>
      </c>
      <c r="X421" s="42">
        <f>IF('Pilot offer'!$C$24="Yes",'Pilot offer'!$C$5+'Pilot offer'!$C$6,T421)</f>
        <v/>
      </c>
      <c r="Y421" s="15">
        <f>IF('Pilot offer'!$C$24="Yes",'Pilot offer'!$C$8,U421)</f>
        <v/>
      </c>
      <c r="Z421" s="43">
        <f>IF('Pilot offer'!$C$24="Yes",'Pilot offer'!$C$11,"")</f>
        <v/>
      </c>
      <c r="AA421" s="15">
        <f>IF(X421="","",W421&amp;" · "&amp;TEXT(X421,"ddd d mmm, hh:mm")&amp;" · "&amp;Y421&amp;IF(Z421&lt;&gt;""," · £"&amp;TEXT(Z421,"0.00")&amp;" per player"," · price TBC (cost £"&amp;TEXT(V421,"0.00")&amp;" pp)"))</f>
        <v/>
      </c>
      <c r="AD421" s="44" t="n"/>
    </row>
    <row r="422">
      <c r="A422" s="13" t="n">
        <v>420</v>
      </c>
      <c r="B422" s="13" t="inlineStr">
        <is>
          <t>2 · N1 Hoxton</t>
        </is>
      </c>
      <c r="C422" s="13" t="inlineStr">
        <is>
          <t>Retail</t>
        </is>
      </c>
      <c r="D422" s="13" t="inlineStr">
        <is>
          <t>Local businesses</t>
        </is>
      </c>
      <c r="E422" s="13" t="inlineStr">
        <is>
          <t>Mail Boxes Etc. Angel Islington</t>
        </is>
      </c>
      <c r="F422" s="13" t="inlineStr">
        <is>
          <t>shop: copyshop</t>
        </is>
      </c>
      <c r="G422" s="13" t="inlineStr">
        <is>
          <t>info@mbeangelislington.co.uk</t>
        </is>
      </c>
      <c r="H422" s="13" t="inlineStr">
        <is>
          <t>openstreetmap_tag</t>
        </is>
      </c>
      <c r="I422" s="13" t="inlineStr">
        <is>
          <t>+44 20 4599 6742</t>
        </is>
      </c>
      <c r="J422" s="14" t="inlineStr">
        <is>
          <t>https://www.mbe.co.uk/londonangelislington</t>
        </is>
      </c>
      <c r="K422" s="13" t="inlineStr">
        <is>
          <t>Duncan Street 8, London</t>
        </is>
      </c>
      <c r="L422" s="13" t="inlineStr">
        <is>
          <t>N1 8BW</t>
        </is>
      </c>
      <c r="M422" s="13" t="inlineStr">
        <is>
          <t>Old St - Moreland Primary School</t>
        </is>
      </c>
      <c r="N422" s="13" t="n">
        <v>10</v>
      </c>
      <c r="O422" s="15">
        <f>IFERROR(INDEX(Venues!$C$2:$C$10,MATCH(M422,Venues!$A$2:$A$10,0)),"Not checked")</f>
        <v/>
      </c>
      <c r="P422" s="15">
        <f>IFERROR(INDEX(Venues!$D$2:$D$10,MATCH(M422,Venues!$A$2:$A$10,0)),0)</f>
        <v/>
      </c>
      <c r="Q422" s="42">
        <f>IFERROR(INDEX(Venues!$E$2:$E$10,MATCH(M422,Venues!$A$2:$A$10,0)),"")</f>
        <v/>
      </c>
      <c r="R422" s="15">
        <f>IF(P422&gt;0,"Yes","No")</f>
        <v/>
      </c>
      <c r="S422" s="13" t="inlineStr">
        <is>
          <t>Old St - Moreland Primary School</t>
        </is>
      </c>
      <c r="T422" s="42">
        <f>IFERROR(INDEX(Venues!$E$2:$E$10,MATCH(S422,Venues!$A$2:$A$10,0)),"")</f>
        <v/>
      </c>
      <c r="U422" s="15">
        <f>IFERROR(INDEX(Venues!$F$2:$F$10,MATCH(S422,Venues!$A$2:$A$10,0)),"")</f>
        <v/>
      </c>
      <c r="V422" s="43">
        <f>IFERROR(INDEX(Venues!$H$2:$H$10,MATCH(S422,Venues!$A$2:$A$10,0)),"")</f>
        <v/>
      </c>
      <c r="W422" s="15">
        <f>IF('Pilot offer'!$C$24="Yes",'Pilot offer'!$C$3,S422)</f>
        <v/>
      </c>
      <c r="X422" s="42">
        <f>IF('Pilot offer'!$C$24="Yes",'Pilot offer'!$C$5+'Pilot offer'!$C$6,T422)</f>
        <v/>
      </c>
      <c r="Y422" s="15">
        <f>IF('Pilot offer'!$C$24="Yes",'Pilot offer'!$C$8,U422)</f>
        <v/>
      </c>
      <c r="Z422" s="43">
        <f>IF('Pilot offer'!$C$24="Yes",'Pilot offer'!$C$11,"")</f>
        <v/>
      </c>
      <c r="AA422" s="15">
        <f>IF(X422="","",W422&amp;" · "&amp;TEXT(X422,"ddd d mmm, hh:mm")&amp;" · "&amp;Y422&amp;IF(Z422&lt;&gt;""," · £"&amp;TEXT(Z422,"0.00")&amp;" per player"," · price TBC (cost £"&amp;TEXT(V422,"0.00")&amp;" pp)"))</f>
        <v/>
      </c>
      <c r="AD422" s="44" t="n"/>
    </row>
    <row r="423">
      <c r="A423" s="13" t="n">
        <v>421</v>
      </c>
      <c r="B423" s="13" t="inlineStr">
        <is>
          <t>2 · N1 Hoxton</t>
        </is>
      </c>
      <c r="C423" s="13" t="inlineStr">
        <is>
          <t>Hospitality</t>
        </is>
      </c>
      <c r="D423" s="13" t="inlineStr">
        <is>
          <t>Local businesses</t>
        </is>
      </c>
      <c r="E423" s="13" t="inlineStr">
        <is>
          <t>The Tamil Crown</t>
        </is>
      </c>
      <c r="F423" s="13" t="inlineStr">
        <is>
          <t>amenity: pub</t>
        </is>
      </c>
      <c r="G423" s="13" t="inlineStr">
        <is>
          <t>info@thetamilcrown.com</t>
        </is>
      </c>
      <c r="H423" s="13" t="inlineStr">
        <is>
          <t>general</t>
        </is>
      </c>
      <c r="I423" s="13" t="inlineStr">
        <is>
          <t>+44 20 7916 2920</t>
        </is>
      </c>
      <c r="J423" s="14" t="inlineStr">
        <is>
          <t>https://www.thetamilcrown.com/</t>
        </is>
      </c>
      <c r="K423" s="13" t="inlineStr">
        <is>
          <t>Elia Street 16, London</t>
        </is>
      </c>
      <c r="L423" s="13" t="inlineStr">
        <is>
          <t>N1 8DE</t>
        </is>
      </c>
      <c r="M423" s="13" t="inlineStr">
        <is>
          <t>Rosemary Gardens 3G - Islington</t>
        </is>
      </c>
      <c r="N423" s="13" t="n">
        <v>19</v>
      </c>
      <c r="O423" s="15">
        <f>IFERROR(INDEX(Venues!$C$2:$C$10,MATCH(M423,Venues!$A$2:$A$10,0)),"Not checked")</f>
        <v/>
      </c>
      <c r="P423" s="15">
        <f>IFERROR(INDEX(Venues!$D$2:$D$10,MATCH(M423,Venues!$A$2:$A$10,0)),0)</f>
        <v/>
      </c>
      <c r="Q423" s="42">
        <f>IFERROR(INDEX(Venues!$E$2:$E$10,MATCH(M423,Venues!$A$2:$A$10,0)),"")</f>
        <v/>
      </c>
      <c r="R423" s="15">
        <f>IF(P423&gt;0,"Yes","No")</f>
        <v/>
      </c>
      <c r="S423" s="13" t="inlineStr">
        <is>
          <t>COLA Shoreditch Park</t>
        </is>
      </c>
      <c r="T423" s="42">
        <f>IFERROR(INDEX(Venues!$E$2:$E$10,MATCH(S423,Venues!$A$2:$A$10,0)),"")</f>
        <v/>
      </c>
      <c r="U423" s="15">
        <f>IFERROR(INDEX(Venues!$F$2:$F$10,MATCH(S423,Venues!$A$2:$A$10,0)),"")</f>
        <v/>
      </c>
      <c r="V423" s="43">
        <f>IFERROR(INDEX(Venues!$H$2:$H$10,MATCH(S423,Venues!$A$2:$A$10,0)),"")</f>
        <v/>
      </c>
      <c r="W423" s="15">
        <f>IF('Pilot offer'!$C$24="Yes",'Pilot offer'!$C$3,S423)</f>
        <v/>
      </c>
      <c r="X423" s="42">
        <f>IF('Pilot offer'!$C$24="Yes",'Pilot offer'!$C$5+'Pilot offer'!$C$6,T423)</f>
        <v/>
      </c>
      <c r="Y423" s="15">
        <f>IF('Pilot offer'!$C$24="Yes",'Pilot offer'!$C$8,U423)</f>
        <v/>
      </c>
      <c r="Z423" s="43">
        <f>IF('Pilot offer'!$C$24="Yes",'Pilot offer'!$C$11,"")</f>
        <v/>
      </c>
      <c r="AA423" s="15">
        <f>IF(X423="","",W423&amp;" · "&amp;TEXT(X423,"ddd d mmm, hh:mm")&amp;" · "&amp;Y423&amp;IF(Z423&lt;&gt;""," · £"&amp;TEXT(Z423,"0.00")&amp;" per player"," · price TBC (cost £"&amp;TEXT(V423,"0.00")&amp;" pp)"))</f>
        <v/>
      </c>
      <c r="AD423" s="44" t="n"/>
    </row>
    <row r="424">
      <c r="A424" s="13" t="n">
        <v>422</v>
      </c>
      <c r="B424" s="13" t="inlineStr">
        <is>
          <t>2 · N1 Hoxton</t>
        </is>
      </c>
      <c r="C424" s="13" t="inlineStr">
        <is>
          <t>Leisure &amp; culture</t>
        </is>
      </c>
      <c r="D424" s="13" t="inlineStr">
        <is>
          <t>Local businesses</t>
        </is>
      </c>
      <c r="E424" s="13" t="inlineStr">
        <is>
          <t>Japanese Gallery</t>
        </is>
      </c>
      <c r="F424" s="13" t="inlineStr">
        <is>
          <t>tourism: gallery</t>
        </is>
      </c>
      <c r="G424" s="13" t="inlineStr">
        <is>
          <t>info@ezendesigns.com</t>
        </is>
      </c>
      <c r="H424" s="13" t="inlineStr">
        <is>
          <t>general</t>
        </is>
      </c>
      <c r="I424" s="13" t="n"/>
      <c r="J424" s="14" t="inlineStr">
        <is>
          <t>https://ezendesigns.com/</t>
        </is>
      </c>
      <c r="K424" s="13" t="inlineStr">
        <is>
          <t>Camden Passage 23, London</t>
        </is>
      </c>
      <c r="L424" s="13" t="inlineStr">
        <is>
          <t>N1 8EA</t>
        </is>
      </c>
      <c r="M424" s="13" t="inlineStr">
        <is>
          <t>Rosemary Gardens 3G - Islington</t>
        </is>
      </c>
      <c r="N424" s="13" t="n">
        <v>19</v>
      </c>
      <c r="O424" s="15">
        <f>IFERROR(INDEX(Venues!$C$2:$C$10,MATCH(M424,Venues!$A$2:$A$10,0)),"Not checked")</f>
        <v/>
      </c>
      <c r="P424" s="15">
        <f>IFERROR(INDEX(Venues!$D$2:$D$10,MATCH(M424,Venues!$A$2:$A$10,0)),0)</f>
        <v/>
      </c>
      <c r="Q424" s="42">
        <f>IFERROR(INDEX(Venues!$E$2:$E$10,MATCH(M424,Venues!$A$2:$A$10,0)),"")</f>
        <v/>
      </c>
      <c r="R424" s="15">
        <f>IF(P424&gt;0,"Yes","No")</f>
        <v/>
      </c>
      <c r="S424" s="13" t="inlineStr">
        <is>
          <t>COLA Shoreditch Park</t>
        </is>
      </c>
      <c r="T424" s="42">
        <f>IFERROR(INDEX(Venues!$E$2:$E$10,MATCH(S424,Venues!$A$2:$A$10,0)),"")</f>
        <v/>
      </c>
      <c r="U424" s="15">
        <f>IFERROR(INDEX(Venues!$F$2:$F$10,MATCH(S424,Venues!$A$2:$A$10,0)),"")</f>
        <v/>
      </c>
      <c r="V424" s="43">
        <f>IFERROR(INDEX(Venues!$H$2:$H$10,MATCH(S424,Venues!$A$2:$A$10,0)),"")</f>
        <v/>
      </c>
      <c r="W424" s="15">
        <f>IF('Pilot offer'!$C$24="Yes",'Pilot offer'!$C$3,S424)</f>
        <v/>
      </c>
      <c r="X424" s="42">
        <f>IF('Pilot offer'!$C$24="Yes",'Pilot offer'!$C$5+'Pilot offer'!$C$6,T424)</f>
        <v/>
      </c>
      <c r="Y424" s="15">
        <f>IF('Pilot offer'!$C$24="Yes",'Pilot offer'!$C$8,U424)</f>
        <v/>
      </c>
      <c r="Z424" s="43">
        <f>IF('Pilot offer'!$C$24="Yes",'Pilot offer'!$C$11,"")</f>
        <v/>
      </c>
      <c r="AA424" s="15">
        <f>IF(X424="","",W424&amp;" · "&amp;TEXT(X424,"ddd d mmm, hh:mm")&amp;" · "&amp;Y424&amp;IF(Z424&lt;&gt;""," · £"&amp;TEXT(Z424,"0.00")&amp;" per player"," · price TBC (cost £"&amp;TEXT(V424,"0.00")&amp;" pp)"))</f>
        <v/>
      </c>
      <c r="AD424" s="44" t="n"/>
    </row>
    <row r="425">
      <c r="A425" s="13" t="n">
        <v>423</v>
      </c>
      <c r="B425" s="13" t="inlineStr">
        <is>
          <t>2 · N1 Hoxton</t>
        </is>
      </c>
      <c r="C425" s="13" t="inlineStr">
        <is>
          <t>Hospitality</t>
        </is>
      </c>
      <c r="D425" s="13" t="inlineStr">
        <is>
          <t>Local businesses</t>
        </is>
      </c>
      <c r="E425" s="13" t="inlineStr">
        <is>
          <t>Kipferl Cafe &amp; Kitchen</t>
        </is>
      </c>
      <c r="F425" s="13" t="inlineStr">
        <is>
          <t>amenity: cafe</t>
        </is>
      </c>
      <c r="G425" s="13" t="inlineStr">
        <is>
          <t>mail@kipferl.co.uk</t>
        </is>
      </c>
      <c r="H425" s="13" t="inlineStr">
        <is>
          <t>general</t>
        </is>
      </c>
      <c r="I425" s="13" t="n"/>
      <c r="J425" s="14" t="inlineStr">
        <is>
          <t>https://kipferl.co.uk/</t>
        </is>
      </c>
      <c r="K425" s="13" t="inlineStr">
        <is>
          <t>Camden Passage 20, London</t>
        </is>
      </c>
      <c r="L425" s="13" t="inlineStr">
        <is>
          <t>N1 8ED</t>
        </is>
      </c>
      <c r="M425" s="13" t="inlineStr">
        <is>
          <t>Rosemary Gardens 3G - Islington</t>
        </is>
      </c>
      <c r="N425" s="13" t="n">
        <v>18</v>
      </c>
      <c r="O425" s="15">
        <f>IFERROR(INDEX(Venues!$C$2:$C$10,MATCH(M425,Venues!$A$2:$A$10,0)),"Not checked")</f>
        <v/>
      </c>
      <c r="P425" s="15">
        <f>IFERROR(INDEX(Venues!$D$2:$D$10,MATCH(M425,Venues!$A$2:$A$10,0)),0)</f>
        <v/>
      </c>
      <c r="Q425" s="42">
        <f>IFERROR(INDEX(Venues!$E$2:$E$10,MATCH(M425,Venues!$A$2:$A$10,0)),"")</f>
        <v/>
      </c>
      <c r="R425" s="15">
        <f>IF(P425&gt;0,"Yes","No")</f>
        <v/>
      </c>
      <c r="S425" s="13" t="inlineStr">
        <is>
          <t>COLA Shoreditch Park</t>
        </is>
      </c>
      <c r="T425" s="42">
        <f>IFERROR(INDEX(Venues!$E$2:$E$10,MATCH(S425,Venues!$A$2:$A$10,0)),"")</f>
        <v/>
      </c>
      <c r="U425" s="15">
        <f>IFERROR(INDEX(Venues!$F$2:$F$10,MATCH(S425,Venues!$A$2:$A$10,0)),"")</f>
        <v/>
      </c>
      <c r="V425" s="43">
        <f>IFERROR(INDEX(Venues!$H$2:$H$10,MATCH(S425,Venues!$A$2:$A$10,0)),"")</f>
        <v/>
      </c>
      <c r="W425" s="15">
        <f>IF('Pilot offer'!$C$24="Yes",'Pilot offer'!$C$3,S425)</f>
        <v/>
      </c>
      <c r="X425" s="42">
        <f>IF('Pilot offer'!$C$24="Yes",'Pilot offer'!$C$5+'Pilot offer'!$C$6,T425)</f>
        <v/>
      </c>
      <c r="Y425" s="15">
        <f>IF('Pilot offer'!$C$24="Yes",'Pilot offer'!$C$8,U425)</f>
        <v/>
      </c>
      <c r="Z425" s="43">
        <f>IF('Pilot offer'!$C$24="Yes",'Pilot offer'!$C$11,"")</f>
        <v/>
      </c>
      <c r="AA425" s="15">
        <f>IF(X425="","",W425&amp;" · "&amp;TEXT(X425,"ddd d mmm, hh:mm")&amp;" · "&amp;Y425&amp;IF(Z425&lt;&gt;""," · £"&amp;TEXT(Z425,"0.00")&amp;" per player"," · price TBC (cost £"&amp;TEXT(V425,"0.00")&amp;" pp)"))</f>
        <v/>
      </c>
      <c r="AD425" s="44" t="n"/>
    </row>
    <row r="426">
      <c r="A426" s="13" t="n">
        <v>424</v>
      </c>
      <c r="B426" s="13" t="inlineStr">
        <is>
          <t>2 · N1 Hoxton</t>
        </is>
      </c>
      <c r="C426" s="13" t="inlineStr">
        <is>
          <t>Hospitality</t>
        </is>
      </c>
      <c r="D426" s="13" t="inlineStr">
        <is>
          <t>Local businesses</t>
        </is>
      </c>
      <c r="E426" s="13" t="inlineStr">
        <is>
          <t>Frederick's</t>
        </is>
      </c>
      <c r="F426" s="13" t="inlineStr">
        <is>
          <t>amenity: restaurant</t>
        </is>
      </c>
      <c r="G426" s="13" t="inlineStr">
        <is>
          <t>andreea@fredericks.co.uk</t>
        </is>
      </c>
      <c r="H426" s="13" t="inlineStr">
        <is>
          <t>person_or_other</t>
        </is>
      </c>
      <c r="I426" s="13" t="inlineStr">
        <is>
          <t>+44 20 7359 2888</t>
        </is>
      </c>
      <c r="J426" s="14" t="inlineStr">
        <is>
          <t>https://www.fredericks.co.uk</t>
        </is>
      </c>
      <c r="K426" s="13" t="inlineStr">
        <is>
          <t>Islington High Street 106, London</t>
        </is>
      </c>
      <c r="L426" s="13" t="inlineStr">
        <is>
          <t>N1 8EG</t>
        </is>
      </c>
      <c r="M426" s="13" t="inlineStr">
        <is>
          <t>Rosemary Gardens 3G - Islington</t>
        </is>
      </c>
      <c r="N426" s="13" t="n">
        <v>20</v>
      </c>
      <c r="O426" s="15">
        <f>IFERROR(INDEX(Venues!$C$2:$C$10,MATCH(M426,Venues!$A$2:$A$10,0)),"Not checked")</f>
        <v/>
      </c>
      <c r="P426" s="15">
        <f>IFERROR(INDEX(Venues!$D$2:$D$10,MATCH(M426,Venues!$A$2:$A$10,0)),0)</f>
        <v/>
      </c>
      <c r="Q426" s="42">
        <f>IFERROR(INDEX(Venues!$E$2:$E$10,MATCH(M426,Venues!$A$2:$A$10,0)),"")</f>
        <v/>
      </c>
      <c r="R426" s="15">
        <f>IF(P426&gt;0,"Yes","No")</f>
        <v/>
      </c>
      <c r="S426" s="13" t="inlineStr">
        <is>
          <t>COLA Shoreditch Park</t>
        </is>
      </c>
      <c r="T426" s="42">
        <f>IFERROR(INDEX(Venues!$E$2:$E$10,MATCH(S426,Venues!$A$2:$A$10,0)),"")</f>
        <v/>
      </c>
      <c r="U426" s="15">
        <f>IFERROR(INDEX(Venues!$F$2:$F$10,MATCH(S426,Venues!$A$2:$A$10,0)),"")</f>
        <v/>
      </c>
      <c r="V426" s="43">
        <f>IFERROR(INDEX(Venues!$H$2:$H$10,MATCH(S426,Venues!$A$2:$A$10,0)),"")</f>
        <v/>
      </c>
      <c r="W426" s="15">
        <f>IF('Pilot offer'!$C$24="Yes",'Pilot offer'!$C$3,S426)</f>
        <v/>
      </c>
      <c r="X426" s="42">
        <f>IF('Pilot offer'!$C$24="Yes",'Pilot offer'!$C$5+'Pilot offer'!$C$6,T426)</f>
        <v/>
      </c>
      <c r="Y426" s="15">
        <f>IF('Pilot offer'!$C$24="Yes",'Pilot offer'!$C$8,U426)</f>
        <v/>
      </c>
      <c r="Z426" s="43">
        <f>IF('Pilot offer'!$C$24="Yes",'Pilot offer'!$C$11,"")</f>
        <v/>
      </c>
      <c r="AA426" s="15">
        <f>IF(X426="","",W426&amp;" · "&amp;TEXT(X426,"ddd d mmm, hh:mm")&amp;" · "&amp;Y426&amp;IF(Z426&lt;&gt;""," · £"&amp;TEXT(Z426,"0.00")&amp;" per player"," · price TBC (cost £"&amp;TEXT(V426,"0.00")&amp;" pp)"))</f>
        <v/>
      </c>
      <c r="AD426" s="44" t="n"/>
    </row>
    <row r="427">
      <c r="A427" s="13" t="n">
        <v>425</v>
      </c>
      <c r="B427" s="13" t="inlineStr">
        <is>
          <t>2 · N1 Hoxton</t>
        </is>
      </c>
      <c r="C427" s="13" t="inlineStr">
        <is>
          <t>Office &amp; professional</t>
        </is>
      </c>
      <c r="D427" s="13" t="inlineStr">
        <is>
          <t>Corporate</t>
        </is>
      </c>
      <c r="E427" s="13" t="inlineStr">
        <is>
          <t>Islington Law Centre</t>
        </is>
      </c>
      <c r="F427" s="13" t="inlineStr">
        <is>
          <t>lawyer</t>
        </is>
      </c>
      <c r="G427" s="13" t="inlineStr">
        <is>
          <t>info@islingtonlaw.org.uk</t>
        </is>
      </c>
      <c r="H427" s="13" t="inlineStr">
        <is>
          <t>openstreetmap_tag</t>
        </is>
      </c>
      <c r="I427" s="13" t="n"/>
      <c r="J427" s="13" t="n"/>
      <c r="K427" s="13" t="inlineStr">
        <is>
          <t>38 Devonia Road, London</t>
        </is>
      </c>
      <c r="L427" s="13" t="inlineStr">
        <is>
          <t>N1 8JH</t>
        </is>
      </c>
      <c r="M427" s="13" t="inlineStr">
        <is>
          <t>Old St - Moreland Primary School</t>
        </is>
      </c>
      <c r="N427" s="13" t="n">
        <v>11</v>
      </c>
      <c r="O427" s="15">
        <f>IFERROR(INDEX(Venues!$C$2:$C$10,MATCH(M427,Venues!$A$2:$A$10,0)),"Not checked")</f>
        <v/>
      </c>
      <c r="P427" s="15">
        <f>IFERROR(INDEX(Venues!$D$2:$D$10,MATCH(M427,Venues!$A$2:$A$10,0)),0)</f>
        <v/>
      </c>
      <c r="Q427" s="42">
        <f>IFERROR(INDEX(Venues!$E$2:$E$10,MATCH(M427,Venues!$A$2:$A$10,0)),"")</f>
        <v/>
      </c>
      <c r="R427" s="15">
        <f>IF(P427&gt;0,"Yes","No")</f>
        <v/>
      </c>
      <c r="S427" s="13" t="inlineStr">
        <is>
          <t>Old St - Moreland Primary School</t>
        </is>
      </c>
      <c r="T427" s="42">
        <f>IFERROR(INDEX(Venues!$E$2:$E$10,MATCH(S427,Venues!$A$2:$A$10,0)),"")</f>
        <v/>
      </c>
      <c r="U427" s="15">
        <f>IFERROR(INDEX(Venues!$F$2:$F$10,MATCH(S427,Venues!$A$2:$A$10,0)),"")</f>
        <v/>
      </c>
      <c r="V427" s="43">
        <f>IFERROR(INDEX(Venues!$H$2:$H$10,MATCH(S427,Venues!$A$2:$A$10,0)),"")</f>
        <v/>
      </c>
      <c r="W427" s="15">
        <f>IF('Pilot offer'!$C$24="Yes",'Pilot offer'!$C$3,S427)</f>
        <v/>
      </c>
      <c r="X427" s="42">
        <f>IF('Pilot offer'!$C$24="Yes",'Pilot offer'!$C$5+'Pilot offer'!$C$6,T427)</f>
        <v/>
      </c>
      <c r="Y427" s="15">
        <f>IF('Pilot offer'!$C$24="Yes",'Pilot offer'!$C$8,U427)</f>
        <v/>
      </c>
      <c r="Z427" s="43">
        <f>IF('Pilot offer'!$C$24="Yes",'Pilot offer'!$C$11,"")</f>
        <v/>
      </c>
      <c r="AA427" s="15">
        <f>IF(X427="","",W427&amp;" · "&amp;TEXT(X427,"ddd d mmm, hh:mm")&amp;" · "&amp;Y427&amp;IF(Z427&lt;&gt;""," · £"&amp;TEXT(Z427,"0.00")&amp;" per player"," · price TBC (cost £"&amp;TEXT(V427,"0.00")&amp;" pp)"))</f>
        <v/>
      </c>
      <c r="AD427" s="44" t="n"/>
    </row>
    <row r="428">
      <c r="A428" s="13" t="n">
        <v>426</v>
      </c>
      <c r="B428" s="13" t="inlineStr">
        <is>
          <t>2 · N1 Hoxton</t>
        </is>
      </c>
      <c r="C428" s="13" t="inlineStr">
        <is>
          <t>Hospitality</t>
        </is>
      </c>
      <c r="D428" s="13" t="inlineStr">
        <is>
          <t>Local businesses</t>
        </is>
      </c>
      <c r="E428" s="13" t="inlineStr">
        <is>
          <t>Duke of Cambridge</t>
        </is>
      </c>
      <c r="F428" s="13" t="inlineStr">
        <is>
          <t>amenity: pub</t>
        </is>
      </c>
      <c r="G428" s="13" t="inlineStr">
        <is>
          <t>duke@dukeorganic.co.uk</t>
        </is>
      </c>
      <c r="H428" s="13" t="inlineStr">
        <is>
          <t>openstreetmap_tag</t>
        </is>
      </c>
      <c r="I428" s="13" t="inlineStr">
        <is>
          <t>+44 20 7359 3066</t>
        </is>
      </c>
      <c r="J428" s="14" t="inlineStr">
        <is>
          <t>https://dukeorganic.co.uk/</t>
        </is>
      </c>
      <c r="K428" s="13" t="inlineStr">
        <is>
          <t>St. Peter's Street 30, London</t>
        </is>
      </c>
      <c r="L428" s="13" t="inlineStr">
        <is>
          <t>N1 8JT</t>
        </is>
      </c>
      <c r="M428" s="13" t="inlineStr">
        <is>
          <t>Rosemary Gardens 3G - Islington</t>
        </is>
      </c>
      <c r="N428" s="13" t="n">
        <v>14</v>
      </c>
      <c r="O428" s="15">
        <f>IFERROR(INDEX(Venues!$C$2:$C$10,MATCH(M428,Venues!$A$2:$A$10,0)),"Not checked")</f>
        <v/>
      </c>
      <c r="P428" s="15">
        <f>IFERROR(INDEX(Venues!$D$2:$D$10,MATCH(M428,Venues!$A$2:$A$10,0)),0)</f>
        <v/>
      </c>
      <c r="Q428" s="42">
        <f>IFERROR(INDEX(Venues!$E$2:$E$10,MATCH(M428,Venues!$A$2:$A$10,0)),"")</f>
        <v/>
      </c>
      <c r="R428" s="15">
        <f>IF(P428&gt;0,"Yes","No")</f>
        <v/>
      </c>
      <c r="S428" s="13" t="inlineStr">
        <is>
          <t>COLA Shoreditch Park</t>
        </is>
      </c>
      <c r="T428" s="42">
        <f>IFERROR(INDEX(Venues!$E$2:$E$10,MATCH(S428,Venues!$A$2:$A$10,0)),"")</f>
        <v/>
      </c>
      <c r="U428" s="15">
        <f>IFERROR(INDEX(Venues!$F$2:$F$10,MATCH(S428,Venues!$A$2:$A$10,0)),"")</f>
        <v/>
      </c>
      <c r="V428" s="43">
        <f>IFERROR(INDEX(Venues!$H$2:$H$10,MATCH(S428,Venues!$A$2:$A$10,0)),"")</f>
        <v/>
      </c>
      <c r="W428" s="15">
        <f>IF('Pilot offer'!$C$24="Yes",'Pilot offer'!$C$3,S428)</f>
        <v/>
      </c>
      <c r="X428" s="42">
        <f>IF('Pilot offer'!$C$24="Yes",'Pilot offer'!$C$5+'Pilot offer'!$C$6,T428)</f>
        <v/>
      </c>
      <c r="Y428" s="15">
        <f>IF('Pilot offer'!$C$24="Yes",'Pilot offer'!$C$8,U428)</f>
        <v/>
      </c>
      <c r="Z428" s="43">
        <f>IF('Pilot offer'!$C$24="Yes",'Pilot offer'!$C$11,"")</f>
        <v/>
      </c>
      <c r="AA428" s="15">
        <f>IF(X428="","",W428&amp;" · "&amp;TEXT(X428,"ddd d mmm, hh:mm")&amp;" · "&amp;Y428&amp;IF(Z428&lt;&gt;""," · £"&amp;TEXT(Z428,"0.00")&amp;" per player"," · price TBC (cost £"&amp;TEXT(V428,"0.00")&amp;" pp)"))</f>
        <v/>
      </c>
      <c r="AD428" s="44" t="n"/>
    </row>
    <row r="429">
      <c r="A429" s="13" t="n">
        <v>427</v>
      </c>
      <c r="B429" s="13" t="inlineStr">
        <is>
          <t>2 · N1 Hoxton</t>
        </is>
      </c>
      <c r="C429" s="13" t="inlineStr">
        <is>
          <t>Hospitality</t>
        </is>
      </c>
      <c r="D429" s="13" t="inlineStr">
        <is>
          <t>Local businesses</t>
        </is>
      </c>
      <c r="E429" s="13" t="inlineStr">
        <is>
          <t>Plaquemine Lock</t>
        </is>
      </c>
      <c r="F429" s="13" t="inlineStr">
        <is>
          <t>amenity: pub</t>
        </is>
      </c>
      <c r="G429" s="13" t="inlineStr">
        <is>
          <t>manager@plaqlock.com</t>
        </is>
      </c>
      <c r="H429" s="13" t="inlineStr">
        <is>
          <t>person_or_other</t>
        </is>
      </c>
      <c r="I429" s="13" t="inlineStr">
        <is>
          <t>+44 20 7688 1488</t>
        </is>
      </c>
      <c r="J429" s="14" t="inlineStr">
        <is>
          <t>https://plaqlock.com/</t>
        </is>
      </c>
      <c r="K429" s="13" t="inlineStr">
        <is>
          <t>Graham Street 139, London</t>
        </is>
      </c>
      <c r="L429" s="13" t="inlineStr">
        <is>
          <t>N1 8LB</t>
        </is>
      </c>
      <c r="M429" s="13" t="inlineStr">
        <is>
          <t>Rosemary Gardens 3G - Islington</t>
        </is>
      </c>
      <c r="N429" s="13" t="n">
        <v>18</v>
      </c>
      <c r="O429" s="15">
        <f>IFERROR(INDEX(Venues!$C$2:$C$10,MATCH(M429,Venues!$A$2:$A$10,0)),"Not checked")</f>
        <v/>
      </c>
      <c r="P429" s="15">
        <f>IFERROR(INDEX(Venues!$D$2:$D$10,MATCH(M429,Venues!$A$2:$A$10,0)),0)</f>
        <v/>
      </c>
      <c r="Q429" s="42">
        <f>IFERROR(INDEX(Venues!$E$2:$E$10,MATCH(M429,Venues!$A$2:$A$10,0)),"")</f>
        <v/>
      </c>
      <c r="R429" s="15">
        <f>IF(P429&gt;0,"Yes","No")</f>
        <v/>
      </c>
      <c r="S429" s="13" t="inlineStr">
        <is>
          <t>COLA Shoreditch Park</t>
        </is>
      </c>
      <c r="T429" s="42">
        <f>IFERROR(INDEX(Venues!$E$2:$E$10,MATCH(S429,Venues!$A$2:$A$10,0)),"")</f>
        <v/>
      </c>
      <c r="U429" s="15">
        <f>IFERROR(INDEX(Venues!$F$2:$F$10,MATCH(S429,Venues!$A$2:$A$10,0)),"")</f>
        <v/>
      </c>
      <c r="V429" s="43">
        <f>IFERROR(INDEX(Venues!$H$2:$H$10,MATCH(S429,Venues!$A$2:$A$10,0)),"")</f>
        <v/>
      </c>
      <c r="W429" s="15">
        <f>IF('Pilot offer'!$C$24="Yes",'Pilot offer'!$C$3,S429)</f>
        <v/>
      </c>
      <c r="X429" s="42">
        <f>IF('Pilot offer'!$C$24="Yes",'Pilot offer'!$C$5+'Pilot offer'!$C$6,T429)</f>
        <v/>
      </c>
      <c r="Y429" s="15">
        <f>IF('Pilot offer'!$C$24="Yes",'Pilot offer'!$C$8,U429)</f>
        <v/>
      </c>
      <c r="Z429" s="43">
        <f>IF('Pilot offer'!$C$24="Yes",'Pilot offer'!$C$11,"")</f>
        <v/>
      </c>
      <c r="AA429" s="15">
        <f>IF(X429="","",W429&amp;" · "&amp;TEXT(X429,"ddd d mmm, hh:mm")&amp;" · "&amp;Y429&amp;IF(Z429&lt;&gt;""," · £"&amp;TEXT(Z429,"0.00")&amp;" per player"," · price TBC (cost £"&amp;TEXT(V429,"0.00")&amp;" pp)"))</f>
        <v/>
      </c>
      <c r="AD429" s="44" t="n"/>
    </row>
    <row r="430">
      <c r="A430" s="13" t="n">
        <v>428</v>
      </c>
      <c r="B430" s="13" t="inlineStr">
        <is>
          <t>2 · N1 Hoxton</t>
        </is>
      </c>
      <c r="C430" s="13" t="inlineStr">
        <is>
          <t>Hospitality</t>
        </is>
      </c>
      <c r="D430" s="13" t="inlineStr">
        <is>
          <t>Local businesses</t>
        </is>
      </c>
      <c r="E430" s="13" t="inlineStr">
        <is>
          <t>Earl of Essex</t>
        </is>
      </c>
      <c r="F430" s="13" t="inlineStr">
        <is>
          <t>amenity: pub</t>
        </is>
      </c>
      <c r="G430" s="13" t="inlineStr">
        <is>
          <t>earl@earlofessex.net</t>
        </is>
      </c>
      <c r="H430" s="13" t="inlineStr">
        <is>
          <t>openstreetmap_tag</t>
        </is>
      </c>
      <c r="I430" s="13" t="inlineStr">
        <is>
          <t>+44 20 7424 5828</t>
        </is>
      </c>
      <c r="J430" s="14" t="inlineStr">
        <is>
          <t>https://www.earlofessex.net/</t>
        </is>
      </c>
      <c r="K430" s="13" t="inlineStr">
        <is>
          <t>Danbury Street 25, London</t>
        </is>
      </c>
      <c r="L430" s="13" t="inlineStr">
        <is>
          <t>N1 8LE</t>
        </is>
      </c>
      <c r="M430" s="13" t="inlineStr">
        <is>
          <t>Rosemary Gardens 3G - Islington</t>
        </is>
      </c>
      <c r="N430" s="13" t="n">
        <v>16</v>
      </c>
      <c r="O430" s="15">
        <f>IFERROR(INDEX(Venues!$C$2:$C$10,MATCH(M430,Venues!$A$2:$A$10,0)),"Not checked")</f>
        <v/>
      </c>
      <c r="P430" s="15">
        <f>IFERROR(INDEX(Venues!$D$2:$D$10,MATCH(M430,Venues!$A$2:$A$10,0)),0)</f>
        <v/>
      </c>
      <c r="Q430" s="42">
        <f>IFERROR(INDEX(Venues!$E$2:$E$10,MATCH(M430,Venues!$A$2:$A$10,0)),"")</f>
        <v/>
      </c>
      <c r="R430" s="15">
        <f>IF(P430&gt;0,"Yes","No")</f>
        <v/>
      </c>
      <c r="S430" s="13" t="inlineStr">
        <is>
          <t>COLA Shoreditch Park</t>
        </is>
      </c>
      <c r="T430" s="42">
        <f>IFERROR(INDEX(Venues!$E$2:$E$10,MATCH(S430,Venues!$A$2:$A$10,0)),"")</f>
        <v/>
      </c>
      <c r="U430" s="15">
        <f>IFERROR(INDEX(Venues!$F$2:$F$10,MATCH(S430,Venues!$A$2:$A$10,0)),"")</f>
        <v/>
      </c>
      <c r="V430" s="43">
        <f>IFERROR(INDEX(Venues!$H$2:$H$10,MATCH(S430,Venues!$A$2:$A$10,0)),"")</f>
        <v/>
      </c>
      <c r="W430" s="15">
        <f>IF('Pilot offer'!$C$24="Yes",'Pilot offer'!$C$3,S430)</f>
        <v/>
      </c>
      <c r="X430" s="42">
        <f>IF('Pilot offer'!$C$24="Yes",'Pilot offer'!$C$5+'Pilot offer'!$C$6,T430)</f>
        <v/>
      </c>
      <c r="Y430" s="15">
        <f>IF('Pilot offer'!$C$24="Yes",'Pilot offer'!$C$8,U430)</f>
        <v/>
      </c>
      <c r="Z430" s="43">
        <f>IF('Pilot offer'!$C$24="Yes",'Pilot offer'!$C$11,"")</f>
        <v/>
      </c>
      <c r="AA430" s="15">
        <f>IF(X430="","",W430&amp;" · "&amp;TEXT(X430,"ddd d mmm, hh:mm")&amp;" · "&amp;Y430&amp;IF(Z430&lt;&gt;""," · £"&amp;TEXT(Z430,"0.00")&amp;" per player"," · price TBC (cost £"&amp;TEXT(V430,"0.00")&amp;" pp)"))</f>
        <v/>
      </c>
      <c r="AD430" s="44" t="n"/>
    </row>
    <row r="431">
      <c r="A431" s="13" t="n">
        <v>429</v>
      </c>
      <c r="B431" s="13" t="inlineStr">
        <is>
          <t>2 · N1 Hoxton</t>
        </is>
      </c>
      <c r="C431" s="13" t="inlineStr">
        <is>
          <t>Hospitality</t>
        </is>
      </c>
      <c r="D431" s="13" t="inlineStr">
        <is>
          <t>Local businesses</t>
        </is>
      </c>
      <c r="E431" s="13" t="inlineStr">
        <is>
          <t>The Old Queen's Head</t>
        </is>
      </c>
      <c r="F431" s="13" t="inlineStr">
        <is>
          <t>amenity: pub</t>
        </is>
      </c>
      <c r="G431" s="13" t="inlineStr">
        <is>
          <t>bookings@theoldqueenshead.com</t>
        </is>
      </c>
      <c r="H431" s="13" t="inlineStr">
        <is>
          <t>commercial</t>
        </is>
      </c>
      <c r="I431" s="13" t="inlineStr">
        <is>
          <t>+44 20 7354 9993</t>
        </is>
      </c>
      <c r="J431" s="14" t="inlineStr">
        <is>
          <t>https://www.theoldqueenshead.com/</t>
        </is>
      </c>
      <c r="K431" s="13" t="inlineStr">
        <is>
          <t>Essex Road 44, London</t>
        </is>
      </c>
      <c r="L431" s="13" t="inlineStr">
        <is>
          <t>N1 8LN</t>
        </is>
      </c>
      <c r="M431" s="13" t="inlineStr">
        <is>
          <t>Rosemary Gardens 3G - Islington</t>
        </is>
      </c>
      <c r="N431" s="13" t="n">
        <v>14</v>
      </c>
      <c r="O431" s="15">
        <f>IFERROR(INDEX(Venues!$C$2:$C$10,MATCH(M431,Venues!$A$2:$A$10,0)),"Not checked")</f>
        <v/>
      </c>
      <c r="P431" s="15">
        <f>IFERROR(INDEX(Venues!$D$2:$D$10,MATCH(M431,Venues!$A$2:$A$10,0)),0)</f>
        <v/>
      </c>
      <c r="Q431" s="42">
        <f>IFERROR(INDEX(Venues!$E$2:$E$10,MATCH(M431,Venues!$A$2:$A$10,0)),"")</f>
        <v/>
      </c>
      <c r="R431" s="15">
        <f>IF(P431&gt;0,"Yes","No")</f>
        <v/>
      </c>
      <c r="S431" s="13" t="inlineStr">
        <is>
          <t>COLA Shoreditch Park</t>
        </is>
      </c>
      <c r="T431" s="42">
        <f>IFERROR(INDEX(Venues!$E$2:$E$10,MATCH(S431,Venues!$A$2:$A$10,0)),"")</f>
        <v/>
      </c>
      <c r="U431" s="15">
        <f>IFERROR(INDEX(Venues!$F$2:$F$10,MATCH(S431,Venues!$A$2:$A$10,0)),"")</f>
        <v/>
      </c>
      <c r="V431" s="43">
        <f>IFERROR(INDEX(Venues!$H$2:$H$10,MATCH(S431,Venues!$A$2:$A$10,0)),"")</f>
        <v/>
      </c>
      <c r="W431" s="15">
        <f>IF('Pilot offer'!$C$24="Yes",'Pilot offer'!$C$3,S431)</f>
        <v/>
      </c>
      <c r="X431" s="42">
        <f>IF('Pilot offer'!$C$24="Yes",'Pilot offer'!$C$5+'Pilot offer'!$C$6,T431)</f>
        <v/>
      </c>
      <c r="Y431" s="15">
        <f>IF('Pilot offer'!$C$24="Yes",'Pilot offer'!$C$8,U431)</f>
        <v/>
      </c>
      <c r="Z431" s="43">
        <f>IF('Pilot offer'!$C$24="Yes",'Pilot offer'!$C$11,"")</f>
        <v/>
      </c>
      <c r="AA431" s="15">
        <f>IF(X431="","",W431&amp;" · "&amp;TEXT(X431,"ddd d mmm, hh:mm")&amp;" · "&amp;Y431&amp;IF(Z431&lt;&gt;""," · £"&amp;TEXT(Z431,"0.00")&amp;" per player"," · price TBC (cost £"&amp;TEXT(V431,"0.00")&amp;" pp)"))</f>
        <v/>
      </c>
      <c r="AD431" s="44" t="n"/>
    </row>
    <row r="432">
      <c r="A432" s="13" t="n">
        <v>430</v>
      </c>
      <c r="B432" s="13" t="inlineStr">
        <is>
          <t>2 · N1 Hoxton</t>
        </is>
      </c>
      <c r="C432" s="13" t="inlineStr">
        <is>
          <t>Retail</t>
        </is>
      </c>
      <c r="D432" s="13" t="inlineStr">
        <is>
          <t>Local businesses</t>
        </is>
      </c>
      <c r="E432" s="13" t="inlineStr">
        <is>
          <t>Planet Organic</t>
        </is>
      </c>
      <c r="F432" s="13" t="inlineStr">
        <is>
          <t>shop: supermarket</t>
        </is>
      </c>
      <c r="G432" s="13" t="inlineStr">
        <is>
          <t>talktous@planetorganic.com</t>
        </is>
      </c>
      <c r="H432" s="13" t="inlineStr">
        <is>
          <t>person_or_other</t>
        </is>
      </c>
      <c r="I432" s="13" t="inlineStr">
        <is>
          <t>+44 20 7288 9460</t>
        </is>
      </c>
      <c r="J432" s="14" t="inlineStr">
        <is>
          <t>https://www.planetorganic.com/pages/islington</t>
        </is>
      </c>
      <c r="K432" s="13" t="inlineStr">
        <is>
          <t>Essex Road 64, London</t>
        </is>
      </c>
      <c r="L432" s="13" t="inlineStr">
        <is>
          <t>N1 8LR</t>
        </is>
      </c>
      <c r="M432" s="13" t="inlineStr">
        <is>
          <t>Rosemary Gardens 3G - Islington</t>
        </is>
      </c>
      <c r="N432" s="13" t="n">
        <v>13</v>
      </c>
      <c r="O432" s="15">
        <f>IFERROR(INDEX(Venues!$C$2:$C$10,MATCH(M432,Venues!$A$2:$A$10,0)),"Not checked")</f>
        <v/>
      </c>
      <c r="P432" s="15">
        <f>IFERROR(INDEX(Venues!$D$2:$D$10,MATCH(M432,Venues!$A$2:$A$10,0)),0)</f>
        <v/>
      </c>
      <c r="Q432" s="42">
        <f>IFERROR(INDEX(Venues!$E$2:$E$10,MATCH(M432,Venues!$A$2:$A$10,0)),"")</f>
        <v/>
      </c>
      <c r="R432" s="15">
        <f>IF(P432&gt;0,"Yes","No")</f>
        <v/>
      </c>
      <c r="S432" s="13" t="inlineStr">
        <is>
          <t>COLA Shoreditch Park</t>
        </is>
      </c>
      <c r="T432" s="42">
        <f>IFERROR(INDEX(Venues!$E$2:$E$10,MATCH(S432,Venues!$A$2:$A$10,0)),"")</f>
        <v/>
      </c>
      <c r="U432" s="15">
        <f>IFERROR(INDEX(Venues!$F$2:$F$10,MATCH(S432,Venues!$A$2:$A$10,0)),"")</f>
        <v/>
      </c>
      <c r="V432" s="43">
        <f>IFERROR(INDEX(Venues!$H$2:$H$10,MATCH(S432,Venues!$A$2:$A$10,0)),"")</f>
        <v/>
      </c>
      <c r="W432" s="15">
        <f>IF('Pilot offer'!$C$24="Yes",'Pilot offer'!$C$3,S432)</f>
        <v/>
      </c>
      <c r="X432" s="42">
        <f>IF('Pilot offer'!$C$24="Yes",'Pilot offer'!$C$5+'Pilot offer'!$C$6,T432)</f>
        <v/>
      </c>
      <c r="Y432" s="15">
        <f>IF('Pilot offer'!$C$24="Yes",'Pilot offer'!$C$8,U432)</f>
        <v/>
      </c>
      <c r="Z432" s="43">
        <f>IF('Pilot offer'!$C$24="Yes",'Pilot offer'!$C$11,"")</f>
        <v/>
      </c>
      <c r="AA432" s="15">
        <f>IF(X432="","",W432&amp;" · "&amp;TEXT(X432,"ddd d mmm, hh:mm")&amp;" · "&amp;Y432&amp;IF(Z432&lt;&gt;""," · £"&amp;TEXT(Z432,"0.00")&amp;" per player"," · price TBC (cost £"&amp;TEXT(V432,"0.00")&amp;" pp)"))</f>
        <v/>
      </c>
      <c r="AD432" s="44" t="n"/>
    </row>
    <row r="433">
      <c r="A433" s="13" t="n">
        <v>431</v>
      </c>
      <c r="B433" s="13" t="inlineStr">
        <is>
          <t>2 · N1 Hoxton</t>
        </is>
      </c>
      <c r="C433" s="13" t="inlineStr">
        <is>
          <t>Retail</t>
        </is>
      </c>
      <c r="D433" s="13" t="inlineStr">
        <is>
          <t>Local businesses</t>
        </is>
      </c>
      <c r="E433" s="13" t="inlineStr">
        <is>
          <t>Steve Hatt</t>
        </is>
      </c>
      <c r="F433" s="13" t="inlineStr">
        <is>
          <t>shop: seafood</t>
        </is>
      </c>
      <c r="G433" s="13" t="inlineStr">
        <is>
          <t>contact@stevehattfishmongers.co.uk</t>
        </is>
      </c>
      <c r="H433" s="13" t="inlineStr">
        <is>
          <t>general</t>
        </is>
      </c>
      <c r="I433" s="13" t="inlineStr">
        <is>
          <t>+44 20 7226 3963</t>
        </is>
      </c>
      <c r="J433" s="14" t="inlineStr">
        <is>
          <t>https://www.stevehattfishmongers.co.uk</t>
        </is>
      </c>
      <c r="K433" s="13" t="inlineStr">
        <is>
          <t>Essex Road 88, London</t>
        </is>
      </c>
      <c r="L433" s="13" t="inlineStr">
        <is>
          <t>N1 8LU</t>
        </is>
      </c>
      <c r="M433" s="13" t="inlineStr">
        <is>
          <t>Rosemary Gardens 3G - Islington</t>
        </is>
      </c>
      <c r="N433" s="13" t="n">
        <v>12</v>
      </c>
      <c r="O433" s="15">
        <f>IFERROR(INDEX(Venues!$C$2:$C$10,MATCH(M433,Venues!$A$2:$A$10,0)),"Not checked")</f>
        <v/>
      </c>
      <c r="P433" s="15">
        <f>IFERROR(INDEX(Venues!$D$2:$D$10,MATCH(M433,Venues!$A$2:$A$10,0)),0)</f>
        <v/>
      </c>
      <c r="Q433" s="42">
        <f>IFERROR(INDEX(Venues!$E$2:$E$10,MATCH(M433,Venues!$A$2:$A$10,0)),"")</f>
        <v/>
      </c>
      <c r="R433" s="15">
        <f>IF(P433&gt;0,"Yes","No")</f>
        <v/>
      </c>
      <c r="S433" s="13" t="inlineStr">
        <is>
          <t>COLA Shoreditch Park</t>
        </is>
      </c>
      <c r="T433" s="42">
        <f>IFERROR(INDEX(Venues!$E$2:$E$10,MATCH(S433,Venues!$A$2:$A$10,0)),"")</f>
        <v/>
      </c>
      <c r="U433" s="15">
        <f>IFERROR(INDEX(Venues!$F$2:$F$10,MATCH(S433,Venues!$A$2:$A$10,0)),"")</f>
        <v/>
      </c>
      <c r="V433" s="43">
        <f>IFERROR(INDEX(Venues!$H$2:$H$10,MATCH(S433,Venues!$A$2:$A$10,0)),"")</f>
        <v/>
      </c>
      <c r="W433" s="15">
        <f>IF('Pilot offer'!$C$24="Yes",'Pilot offer'!$C$3,S433)</f>
        <v/>
      </c>
      <c r="X433" s="42">
        <f>IF('Pilot offer'!$C$24="Yes",'Pilot offer'!$C$5+'Pilot offer'!$C$6,T433)</f>
        <v/>
      </c>
      <c r="Y433" s="15">
        <f>IF('Pilot offer'!$C$24="Yes",'Pilot offer'!$C$8,U433)</f>
        <v/>
      </c>
      <c r="Z433" s="43">
        <f>IF('Pilot offer'!$C$24="Yes",'Pilot offer'!$C$11,"")</f>
        <v/>
      </c>
      <c r="AA433" s="15">
        <f>IF(X433="","",W433&amp;" · "&amp;TEXT(X433,"ddd d mmm, hh:mm")&amp;" · "&amp;Y433&amp;IF(Z433&lt;&gt;""," · £"&amp;TEXT(Z433,"0.00")&amp;" per player"," · price TBC (cost £"&amp;TEXT(V433,"0.00")&amp;" pp)"))</f>
        <v/>
      </c>
      <c r="AD433" s="44" t="n"/>
    </row>
    <row r="434">
      <c r="A434" s="13" t="n">
        <v>432</v>
      </c>
      <c r="B434" s="13" t="inlineStr">
        <is>
          <t>2 · N1 Hoxton</t>
        </is>
      </c>
      <c r="C434" s="13" t="inlineStr">
        <is>
          <t>Hospitality</t>
        </is>
      </c>
      <c r="D434" s="13" t="inlineStr">
        <is>
          <t>Local businesses</t>
        </is>
      </c>
      <c r="E434" s="13" t="inlineStr">
        <is>
          <t>The Alpaca</t>
        </is>
      </c>
      <c r="F434" s="13" t="inlineStr">
        <is>
          <t>amenity: pub</t>
        </is>
      </c>
      <c r="G434" s="13" t="inlineStr">
        <is>
          <t>hello@thealpaca.co.uk</t>
        </is>
      </c>
      <c r="H434" s="13" t="inlineStr">
        <is>
          <t>general</t>
        </is>
      </c>
      <c r="I434" s="13" t="inlineStr">
        <is>
          <t>+44 20 3417 7224</t>
        </is>
      </c>
      <c r="J434" s="14" t="inlineStr">
        <is>
          <t>https://www.thealpaca.co.uk/</t>
        </is>
      </c>
      <c r="K434" s="13" t="inlineStr">
        <is>
          <t>Essex Road 84-86, London</t>
        </is>
      </c>
      <c r="L434" s="13" t="inlineStr">
        <is>
          <t>N1 8LU</t>
        </is>
      </c>
      <c r="M434" s="13" t="inlineStr">
        <is>
          <t>Rosemary Gardens 3G - Islington</t>
        </is>
      </c>
      <c r="N434" s="13" t="n">
        <v>12</v>
      </c>
      <c r="O434" s="15">
        <f>IFERROR(INDEX(Venues!$C$2:$C$10,MATCH(M434,Venues!$A$2:$A$10,0)),"Not checked")</f>
        <v/>
      </c>
      <c r="P434" s="15">
        <f>IFERROR(INDEX(Venues!$D$2:$D$10,MATCH(M434,Venues!$A$2:$A$10,0)),0)</f>
        <v/>
      </c>
      <c r="Q434" s="42">
        <f>IFERROR(INDEX(Venues!$E$2:$E$10,MATCH(M434,Venues!$A$2:$A$10,0)),"")</f>
        <v/>
      </c>
      <c r="R434" s="15">
        <f>IF(P434&gt;0,"Yes","No")</f>
        <v/>
      </c>
      <c r="S434" s="13" t="inlineStr">
        <is>
          <t>COLA Shoreditch Park</t>
        </is>
      </c>
      <c r="T434" s="42">
        <f>IFERROR(INDEX(Venues!$E$2:$E$10,MATCH(S434,Venues!$A$2:$A$10,0)),"")</f>
        <v/>
      </c>
      <c r="U434" s="15">
        <f>IFERROR(INDEX(Venues!$F$2:$F$10,MATCH(S434,Venues!$A$2:$A$10,0)),"")</f>
        <v/>
      </c>
      <c r="V434" s="43">
        <f>IFERROR(INDEX(Venues!$H$2:$H$10,MATCH(S434,Venues!$A$2:$A$10,0)),"")</f>
        <v/>
      </c>
      <c r="W434" s="15">
        <f>IF('Pilot offer'!$C$24="Yes",'Pilot offer'!$C$3,S434)</f>
        <v/>
      </c>
      <c r="X434" s="42">
        <f>IF('Pilot offer'!$C$24="Yes",'Pilot offer'!$C$5+'Pilot offer'!$C$6,T434)</f>
        <v/>
      </c>
      <c r="Y434" s="15">
        <f>IF('Pilot offer'!$C$24="Yes",'Pilot offer'!$C$8,U434)</f>
        <v/>
      </c>
      <c r="Z434" s="43">
        <f>IF('Pilot offer'!$C$24="Yes",'Pilot offer'!$C$11,"")</f>
        <v/>
      </c>
      <c r="AA434" s="15">
        <f>IF(X434="","",W434&amp;" · "&amp;TEXT(X434,"ddd d mmm, hh:mm")&amp;" · "&amp;Y434&amp;IF(Z434&lt;&gt;""," · £"&amp;TEXT(Z434,"0.00")&amp;" per player"," · price TBC (cost £"&amp;TEXT(V434,"0.00")&amp;" pp)"))</f>
        <v/>
      </c>
      <c r="AD434" s="44" t="n"/>
    </row>
    <row r="435">
      <c r="A435" s="13" t="n">
        <v>433</v>
      </c>
      <c r="B435" s="13" t="inlineStr">
        <is>
          <t>2 · N1 Hoxton</t>
        </is>
      </c>
      <c r="C435" s="13" t="inlineStr">
        <is>
          <t>Office &amp; professional</t>
        </is>
      </c>
      <c r="D435" s="13" t="inlineStr">
        <is>
          <t>Corporate</t>
        </is>
      </c>
      <c r="E435" s="13" t="inlineStr">
        <is>
          <t>Ellis David Ltd</t>
        </is>
      </c>
      <c r="F435" s="13" t="inlineStr">
        <is>
          <t>insurance_agency</t>
        </is>
      </c>
      <c r="G435" s="13" t="inlineStr">
        <is>
          <t>enquiries@ellisdavid.com</t>
        </is>
      </c>
      <c r="H435" s="13" t="inlineStr">
        <is>
          <t>general</t>
        </is>
      </c>
      <c r="I435" s="13" t="inlineStr">
        <is>
          <t>+44 20 7354 3881</t>
        </is>
      </c>
      <c r="J435" s="14" t="inlineStr">
        <is>
          <t>https://ellisdavid.com/</t>
        </is>
      </c>
      <c r="K435" s="13" t="inlineStr">
        <is>
          <t>Essex Rd, London N1 8LY, UK</t>
        </is>
      </c>
      <c r="L435" s="13" t="inlineStr">
        <is>
          <t>N1 8LY</t>
        </is>
      </c>
      <c r="M435" s="13" t="inlineStr">
        <is>
          <t>Rosemary Gardens 3G - Islington</t>
        </is>
      </c>
      <c r="N435" s="13" t="n">
        <v>10</v>
      </c>
      <c r="O435" s="15">
        <f>IFERROR(INDEX(Venues!$C$2:$C$10,MATCH(M435,Venues!$A$2:$A$10,0)),"Not checked")</f>
        <v/>
      </c>
      <c r="P435" s="15">
        <f>IFERROR(INDEX(Venues!$D$2:$D$10,MATCH(M435,Venues!$A$2:$A$10,0)),0)</f>
        <v/>
      </c>
      <c r="Q435" s="42">
        <f>IFERROR(INDEX(Venues!$E$2:$E$10,MATCH(M435,Venues!$A$2:$A$10,0)),"")</f>
        <v/>
      </c>
      <c r="R435" s="15">
        <f>IF(P435&gt;0,"Yes","No")</f>
        <v/>
      </c>
      <c r="S435" s="13" t="inlineStr">
        <is>
          <t>COLA Shoreditch Park</t>
        </is>
      </c>
      <c r="T435" s="42">
        <f>IFERROR(INDEX(Venues!$E$2:$E$10,MATCH(S435,Venues!$A$2:$A$10,0)),"")</f>
        <v/>
      </c>
      <c r="U435" s="15">
        <f>IFERROR(INDEX(Venues!$F$2:$F$10,MATCH(S435,Venues!$A$2:$A$10,0)),"")</f>
        <v/>
      </c>
      <c r="V435" s="43">
        <f>IFERROR(INDEX(Venues!$H$2:$H$10,MATCH(S435,Venues!$A$2:$A$10,0)),"")</f>
        <v/>
      </c>
      <c r="W435" s="15">
        <f>IF('Pilot offer'!$C$24="Yes",'Pilot offer'!$C$3,S435)</f>
        <v/>
      </c>
      <c r="X435" s="42">
        <f>IF('Pilot offer'!$C$24="Yes",'Pilot offer'!$C$5+'Pilot offer'!$C$6,T435)</f>
        <v/>
      </c>
      <c r="Y435" s="15">
        <f>IF('Pilot offer'!$C$24="Yes",'Pilot offer'!$C$8,U435)</f>
        <v/>
      </c>
      <c r="Z435" s="43">
        <f>IF('Pilot offer'!$C$24="Yes",'Pilot offer'!$C$11,"")</f>
        <v/>
      </c>
      <c r="AA435" s="15">
        <f>IF(X435="","",W435&amp;" · "&amp;TEXT(X435,"ddd d mmm, hh:mm")&amp;" · "&amp;Y435&amp;IF(Z435&lt;&gt;""," · £"&amp;TEXT(Z435,"0.00")&amp;" per player"," · price TBC (cost £"&amp;TEXT(V435,"0.00")&amp;" pp)"))</f>
        <v/>
      </c>
      <c r="AD435" s="44" t="n"/>
    </row>
    <row r="436">
      <c r="A436" s="13" t="n">
        <v>434</v>
      </c>
      <c r="B436" s="13" t="inlineStr">
        <is>
          <t>2 · N1 Hoxton</t>
        </is>
      </c>
      <c r="C436" s="13" t="inlineStr">
        <is>
          <t>Hospitality</t>
        </is>
      </c>
      <c r="D436" s="13" t="inlineStr">
        <is>
          <t>Local businesses</t>
        </is>
      </c>
      <c r="E436" s="13" t="inlineStr">
        <is>
          <t>The Bill Murray</t>
        </is>
      </c>
      <c r="F436" s="13" t="inlineStr">
        <is>
          <t>amenity: pub</t>
        </is>
      </c>
      <c r="G436" s="13" t="inlineStr">
        <is>
          <t>info@angelcomedy.co.uk</t>
        </is>
      </c>
      <c r="H436" s="13" t="inlineStr">
        <is>
          <t>general</t>
        </is>
      </c>
      <c r="I436" s="13" t="n"/>
      <c r="J436" s="14" t="inlineStr">
        <is>
          <t>https://www.angelcomedy.co.uk/</t>
        </is>
      </c>
      <c r="K436" s="13" t="inlineStr">
        <is>
          <t>Queen's Head Street 39, London</t>
        </is>
      </c>
      <c r="L436" s="13" t="inlineStr">
        <is>
          <t>N1 8NQ</t>
        </is>
      </c>
      <c r="M436" s="13" t="inlineStr">
        <is>
          <t>Rosemary Gardens 3G - Islington</t>
        </is>
      </c>
      <c r="N436" s="13" t="n">
        <v>13</v>
      </c>
      <c r="O436" s="15">
        <f>IFERROR(INDEX(Venues!$C$2:$C$10,MATCH(M436,Venues!$A$2:$A$10,0)),"Not checked")</f>
        <v/>
      </c>
      <c r="P436" s="15">
        <f>IFERROR(INDEX(Venues!$D$2:$D$10,MATCH(M436,Venues!$A$2:$A$10,0)),0)</f>
        <v/>
      </c>
      <c r="Q436" s="42">
        <f>IFERROR(INDEX(Venues!$E$2:$E$10,MATCH(M436,Venues!$A$2:$A$10,0)),"")</f>
        <v/>
      </c>
      <c r="R436" s="15">
        <f>IF(P436&gt;0,"Yes","No")</f>
        <v/>
      </c>
      <c r="S436" s="13" t="inlineStr">
        <is>
          <t>COLA Shoreditch Park</t>
        </is>
      </c>
      <c r="T436" s="42">
        <f>IFERROR(INDEX(Venues!$E$2:$E$10,MATCH(S436,Venues!$A$2:$A$10,0)),"")</f>
        <v/>
      </c>
      <c r="U436" s="15">
        <f>IFERROR(INDEX(Venues!$F$2:$F$10,MATCH(S436,Venues!$A$2:$A$10,0)),"")</f>
        <v/>
      </c>
      <c r="V436" s="43">
        <f>IFERROR(INDEX(Venues!$H$2:$H$10,MATCH(S436,Venues!$A$2:$A$10,0)),"")</f>
        <v/>
      </c>
      <c r="W436" s="15">
        <f>IF('Pilot offer'!$C$24="Yes",'Pilot offer'!$C$3,S436)</f>
        <v/>
      </c>
      <c r="X436" s="42">
        <f>IF('Pilot offer'!$C$24="Yes",'Pilot offer'!$C$5+'Pilot offer'!$C$6,T436)</f>
        <v/>
      </c>
      <c r="Y436" s="15">
        <f>IF('Pilot offer'!$C$24="Yes",'Pilot offer'!$C$8,U436)</f>
        <v/>
      </c>
      <c r="Z436" s="43">
        <f>IF('Pilot offer'!$C$24="Yes",'Pilot offer'!$C$11,"")</f>
        <v/>
      </c>
      <c r="AA436" s="15">
        <f>IF(X436="","",W436&amp;" · "&amp;TEXT(X436,"ddd d mmm, hh:mm")&amp;" · "&amp;Y436&amp;IF(Z436&lt;&gt;""," · £"&amp;TEXT(Z436,"0.00")&amp;" per player"," · price TBC (cost £"&amp;TEXT(V436,"0.00")&amp;" pp)"))</f>
        <v/>
      </c>
      <c r="AD436" s="44" t="n"/>
    </row>
    <row r="437">
      <c r="A437" s="13" t="n">
        <v>435</v>
      </c>
      <c r="B437" s="13" t="inlineStr">
        <is>
          <t>2 · N1 Hoxton</t>
        </is>
      </c>
      <c r="C437" s="13" t="inlineStr">
        <is>
          <t>Education</t>
        </is>
      </c>
      <c r="D437" s="13" t="inlineStr">
        <is>
          <t>Local businesses</t>
        </is>
      </c>
      <c r="E437" s="13" t="inlineStr">
        <is>
          <t>City of London Academy Islington</t>
        </is>
      </c>
      <c r="F437" s="13" t="inlineStr">
        <is>
          <t>amenity: school</t>
        </is>
      </c>
      <c r="G437" s="13" t="inlineStr">
        <is>
          <t>info@colai.org.uk</t>
        </is>
      </c>
      <c r="H437" s="13" t="inlineStr">
        <is>
          <t>general</t>
        </is>
      </c>
      <c r="I437" s="13" t="inlineStr">
        <is>
          <t>+44 20 7226 8611</t>
        </is>
      </c>
      <c r="J437" s="14" t="inlineStr">
        <is>
          <t>https://www.colai.org.uk/</t>
        </is>
      </c>
      <c r="K437" s="13" t="inlineStr">
        <is>
          <t>Prebend Street, London</t>
        </is>
      </c>
      <c r="L437" s="13" t="inlineStr">
        <is>
          <t>N1 8PQ</t>
        </is>
      </c>
      <c r="M437" s="13" t="inlineStr">
        <is>
          <t>Rosemary Gardens 3G - Islington</t>
        </is>
      </c>
      <c r="N437" s="13" t="n">
        <v>12</v>
      </c>
      <c r="O437" s="15">
        <f>IFERROR(INDEX(Venues!$C$2:$C$10,MATCH(M437,Venues!$A$2:$A$10,0)),"Not checked")</f>
        <v/>
      </c>
      <c r="P437" s="15">
        <f>IFERROR(INDEX(Venues!$D$2:$D$10,MATCH(M437,Venues!$A$2:$A$10,0)),0)</f>
        <v/>
      </c>
      <c r="Q437" s="42">
        <f>IFERROR(INDEX(Venues!$E$2:$E$10,MATCH(M437,Venues!$A$2:$A$10,0)),"")</f>
        <v/>
      </c>
      <c r="R437" s="15">
        <f>IF(P437&gt;0,"Yes","No")</f>
        <v/>
      </c>
      <c r="S437" s="13" t="inlineStr">
        <is>
          <t>COLA Shoreditch Park</t>
        </is>
      </c>
      <c r="T437" s="42">
        <f>IFERROR(INDEX(Venues!$E$2:$E$10,MATCH(S437,Venues!$A$2:$A$10,0)),"")</f>
        <v/>
      </c>
      <c r="U437" s="15">
        <f>IFERROR(INDEX(Venues!$F$2:$F$10,MATCH(S437,Venues!$A$2:$A$10,0)),"")</f>
        <v/>
      </c>
      <c r="V437" s="43">
        <f>IFERROR(INDEX(Venues!$H$2:$H$10,MATCH(S437,Venues!$A$2:$A$10,0)),"")</f>
        <v/>
      </c>
      <c r="W437" s="15">
        <f>IF('Pilot offer'!$C$24="Yes",'Pilot offer'!$C$3,S437)</f>
        <v/>
      </c>
      <c r="X437" s="42">
        <f>IF('Pilot offer'!$C$24="Yes",'Pilot offer'!$C$5+'Pilot offer'!$C$6,T437)</f>
        <v/>
      </c>
      <c r="Y437" s="15">
        <f>IF('Pilot offer'!$C$24="Yes",'Pilot offer'!$C$8,U437)</f>
        <v/>
      </c>
      <c r="Z437" s="43">
        <f>IF('Pilot offer'!$C$24="Yes",'Pilot offer'!$C$11,"")</f>
        <v/>
      </c>
      <c r="AA437" s="15">
        <f>IF(X437="","",W437&amp;" · "&amp;TEXT(X437,"ddd d mmm, hh:mm")&amp;" · "&amp;Y437&amp;IF(Z437&lt;&gt;""," · £"&amp;TEXT(Z437,"0.00")&amp;" per player"," · price TBC (cost £"&amp;TEXT(V437,"0.00")&amp;" pp)"))</f>
        <v/>
      </c>
      <c r="AD437" s="44" t="n"/>
    </row>
    <row r="438">
      <c r="A438" s="13" t="n">
        <v>436</v>
      </c>
      <c r="B438" s="13" t="inlineStr">
        <is>
          <t>2 · N1 Hoxton</t>
        </is>
      </c>
      <c r="C438" s="13" t="inlineStr">
        <is>
          <t>Education</t>
        </is>
      </c>
      <c r="D438" s="13" t="inlineStr">
        <is>
          <t>Local businesses</t>
        </is>
      </c>
      <c r="E438" s="13" t="inlineStr">
        <is>
          <t>Richard Cloudesley School</t>
        </is>
      </c>
      <c r="F438" s="13" t="inlineStr">
        <is>
          <t>amenity: school</t>
        </is>
      </c>
      <c r="G438" s="13" t="inlineStr">
        <is>
          <t>admin@cloudesley.islington.sch.uk</t>
        </is>
      </c>
      <c r="H438" s="13" t="inlineStr">
        <is>
          <t>general</t>
        </is>
      </c>
      <c r="I438" s="13" t="inlineStr">
        <is>
          <t>+44 20 7704 8127</t>
        </is>
      </c>
      <c r="J438" s="14" t="inlineStr">
        <is>
          <t>https://www.cloudesley.islington.sch.uk/</t>
        </is>
      </c>
      <c r="K438" s="13" t="inlineStr">
        <is>
          <t>Prebend Street 1, London</t>
        </is>
      </c>
      <c r="L438" s="13" t="inlineStr">
        <is>
          <t>N1 8RE</t>
        </is>
      </c>
      <c r="M438" s="13" t="inlineStr">
        <is>
          <t>Rosemary Gardens 3G - Islington</t>
        </is>
      </c>
      <c r="N438" s="13" t="n">
        <v>13</v>
      </c>
      <c r="O438" s="15">
        <f>IFERROR(INDEX(Venues!$C$2:$C$10,MATCH(M438,Venues!$A$2:$A$10,0)),"Not checked")</f>
        <v/>
      </c>
      <c r="P438" s="15">
        <f>IFERROR(INDEX(Venues!$D$2:$D$10,MATCH(M438,Venues!$A$2:$A$10,0)),0)</f>
        <v/>
      </c>
      <c r="Q438" s="42">
        <f>IFERROR(INDEX(Venues!$E$2:$E$10,MATCH(M438,Venues!$A$2:$A$10,0)),"")</f>
        <v/>
      </c>
      <c r="R438" s="15">
        <f>IF(P438&gt;0,"Yes","No")</f>
        <v/>
      </c>
      <c r="S438" s="13" t="inlineStr">
        <is>
          <t>COLA Shoreditch Park</t>
        </is>
      </c>
      <c r="T438" s="42">
        <f>IFERROR(INDEX(Venues!$E$2:$E$10,MATCH(S438,Venues!$A$2:$A$10,0)),"")</f>
        <v/>
      </c>
      <c r="U438" s="15">
        <f>IFERROR(INDEX(Venues!$F$2:$F$10,MATCH(S438,Venues!$A$2:$A$10,0)),"")</f>
        <v/>
      </c>
      <c r="V438" s="43">
        <f>IFERROR(INDEX(Venues!$H$2:$H$10,MATCH(S438,Venues!$A$2:$A$10,0)),"")</f>
        <v/>
      </c>
      <c r="W438" s="15">
        <f>IF('Pilot offer'!$C$24="Yes",'Pilot offer'!$C$3,S438)</f>
        <v/>
      </c>
      <c r="X438" s="42">
        <f>IF('Pilot offer'!$C$24="Yes",'Pilot offer'!$C$5+'Pilot offer'!$C$6,T438)</f>
        <v/>
      </c>
      <c r="Y438" s="15">
        <f>IF('Pilot offer'!$C$24="Yes",'Pilot offer'!$C$8,U438)</f>
        <v/>
      </c>
      <c r="Z438" s="43">
        <f>IF('Pilot offer'!$C$24="Yes",'Pilot offer'!$C$11,"")</f>
        <v/>
      </c>
      <c r="AA438" s="15">
        <f>IF(X438="","",W438&amp;" · "&amp;TEXT(X438,"ddd d mmm, hh:mm")&amp;" · "&amp;Y438&amp;IF(Z438&lt;&gt;""," · £"&amp;TEXT(Z438,"0.00")&amp;" per player"," · price TBC (cost £"&amp;TEXT(V438,"0.00")&amp;" pp)"))</f>
        <v/>
      </c>
      <c r="AD438" s="44" t="n"/>
    </row>
    <row r="439">
      <c r="A439" s="13" t="n">
        <v>437</v>
      </c>
      <c r="B439" s="13" t="inlineStr">
        <is>
          <t>2 · N1 Hoxton</t>
        </is>
      </c>
      <c r="C439" s="13" t="inlineStr">
        <is>
          <t>Coworking / shared office</t>
        </is>
      </c>
      <c r="D439" s="13" t="inlineStr">
        <is>
          <t>Corporate</t>
        </is>
      </c>
      <c r="E439" s="13" t="inlineStr">
        <is>
          <t>Impact Hub</t>
        </is>
      </c>
      <c r="F439" s="13" t="inlineStr">
        <is>
          <t>coworking</t>
        </is>
      </c>
      <c r="G439" s="13" t="inlineStr">
        <is>
          <t>london.euston@impacthub.net</t>
        </is>
      </c>
      <c r="H439" s="13" t="inlineStr">
        <is>
          <t>person_or_other</t>
        </is>
      </c>
      <c r="I439" s="13" t="inlineStr">
        <is>
          <t>+44 20 7841 3450</t>
        </is>
      </c>
      <c r="J439" s="14" t="inlineStr">
        <is>
          <t>https://kingscross.impacthub.net/</t>
        </is>
      </c>
      <c r="K439" s="13" t="inlineStr">
        <is>
          <t>34b York Way, London</t>
        </is>
      </c>
      <c r="L439" s="13" t="inlineStr">
        <is>
          <t>N1 9AB</t>
        </is>
      </c>
      <c r="M439" s="13" t="inlineStr">
        <is>
          <t>Market Road</t>
        </is>
      </c>
      <c r="N439" s="13" t="n">
        <v>22</v>
      </c>
      <c r="O439" s="15">
        <f>IFERROR(INDEX(Venues!$C$2:$C$10,MATCH(M439,Venues!$A$2:$A$10,0)),"Not checked")</f>
        <v/>
      </c>
      <c r="P439" s="15">
        <f>IFERROR(INDEX(Venues!$D$2:$D$10,MATCH(M439,Venues!$A$2:$A$10,0)),0)</f>
        <v/>
      </c>
      <c r="Q439" s="42">
        <f>IFERROR(INDEX(Venues!$E$2:$E$10,MATCH(M439,Venues!$A$2:$A$10,0)),"")</f>
        <v/>
      </c>
      <c r="R439" s="15">
        <f>IF(P439&gt;0,"Yes","No")</f>
        <v/>
      </c>
      <c r="S439" s="13" t="inlineStr">
        <is>
          <t>Market Road</t>
        </is>
      </c>
      <c r="T439" s="42">
        <f>IFERROR(INDEX(Venues!$E$2:$E$10,MATCH(S439,Venues!$A$2:$A$10,0)),"")</f>
        <v/>
      </c>
      <c r="U439" s="15">
        <f>IFERROR(INDEX(Venues!$F$2:$F$10,MATCH(S439,Venues!$A$2:$A$10,0)),"")</f>
        <v/>
      </c>
      <c r="V439" s="43">
        <f>IFERROR(INDEX(Venues!$H$2:$H$10,MATCH(S439,Venues!$A$2:$A$10,0)),"")</f>
        <v/>
      </c>
      <c r="W439" s="15">
        <f>IF('Pilot offer'!$C$24="Yes",'Pilot offer'!$C$3,S439)</f>
        <v/>
      </c>
      <c r="X439" s="42">
        <f>IF('Pilot offer'!$C$24="Yes",'Pilot offer'!$C$5+'Pilot offer'!$C$6,T439)</f>
        <v/>
      </c>
      <c r="Y439" s="15">
        <f>IF('Pilot offer'!$C$24="Yes",'Pilot offer'!$C$8,U439)</f>
        <v/>
      </c>
      <c r="Z439" s="43">
        <f>IF('Pilot offer'!$C$24="Yes",'Pilot offer'!$C$11,"")</f>
        <v/>
      </c>
      <c r="AA439" s="15">
        <f>IF(X439="","",W439&amp;" · "&amp;TEXT(X439,"ddd d mmm, hh:mm")&amp;" · "&amp;Y439&amp;IF(Z439&lt;&gt;""," · £"&amp;TEXT(Z439,"0.00")&amp;" per player"," · price TBC (cost £"&amp;TEXT(V439,"0.00")&amp;" pp)"))</f>
        <v/>
      </c>
      <c r="AD439" s="44" t="n"/>
    </row>
    <row r="440">
      <c r="A440" s="13" t="n">
        <v>438</v>
      </c>
      <c r="B440" s="13" t="inlineStr">
        <is>
          <t>2 · N1 Hoxton</t>
        </is>
      </c>
      <c r="C440" s="13" t="inlineStr">
        <is>
          <t>Office &amp; professional</t>
        </is>
      </c>
      <c r="D440" s="13" t="inlineStr">
        <is>
          <t>Corporate</t>
        </is>
      </c>
      <c r="E440" s="13" t="inlineStr">
        <is>
          <t>Paddle</t>
        </is>
      </c>
      <c r="F440" s="13" t="inlineStr">
        <is>
          <t>service</t>
        </is>
      </c>
      <c r="G440" s="13" t="inlineStr">
        <is>
          <t>procurement@paddle.com</t>
        </is>
      </c>
      <c r="H440" s="13" t="inlineStr">
        <is>
          <t>person_or_other</t>
        </is>
      </c>
      <c r="I440" s="13" t="n"/>
      <c r="J440" s="14" t="inlineStr">
        <is>
          <t>https://www.paddle.com/</t>
        </is>
      </c>
      <c r="K440" s="13" t="inlineStr">
        <is>
          <t>50 York Wy, London N1 9AB, UK</t>
        </is>
      </c>
      <c r="L440" s="13" t="inlineStr">
        <is>
          <t>N1 9AB</t>
        </is>
      </c>
      <c r="M440" s="13" t="inlineStr">
        <is>
          <t>Market Road</t>
        </is>
      </c>
      <c r="N440" s="13" t="n">
        <v>21</v>
      </c>
      <c r="O440" s="15">
        <f>IFERROR(INDEX(Venues!$C$2:$C$10,MATCH(M440,Venues!$A$2:$A$10,0)),"Not checked")</f>
        <v/>
      </c>
      <c r="P440" s="15">
        <f>IFERROR(INDEX(Venues!$D$2:$D$10,MATCH(M440,Venues!$A$2:$A$10,0)),0)</f>
        <v/>
      </c>
      <c r="Q440" s="42">
        <f>IFERROR(INDEX(Venues!$E$2:$E$10,MATCH(M440,Venues!$A$2:$A$10,0)),"")</f>
        <v/>
      </c>
      <c r="R440" s="15">
        <f>IF(P440&gt;0,"Yes","No")</f>
        <v/>
      </c>
      <c r="S440" s="13" t="inlineStr">
        <is>
          <t>Market Road</t>
        </is>
      </c>
      <c r="T440" s="42">
        <f>IFERROR(INDEX(Venues!$E$2:$E$10,MATCH(S440,Venues!$A$2:$A$10,0)),"")</f>
        <v/>
      </c>
      <c r="U440" s="15">
        <f>IFERROR(INDEX(Venues!$F$2:$F$10,MATCH(S440,Venues!$A$2:$A$10,0)),"")</f>
        <v/>
      </c>
      <c r="V440" s="43">
        <f>IFERROR(INDEX(Venues!$H$2:$H$10,MATCH(S440,Venues!$A$2:$A$10,0)),"")</f>
        <v/>
      </c>
      <c r="W440" s="15">
        <f>IF('Pilot offer'!$C$24="Yes",'Pilot offer'!$C$3,S440)</f>
        <v/>
      </c>
      <c r="X440" s="42">
        <f>IF('Pilot offer'!$C$24="Yes",'Pilot offer'!$C$5+'Pilot offer'!$C$6,T440)</f>
        <v/>
      </c>
      <c r="Y440" s="15">
        <f>IF('Pilot offer'!$C$24="Yes",'Pilot offer'!$C$8,U440)</f>
        <v/>
      </c>
      <c r="Z440" s="43">
        <f>IF('Pilot offer'!$C$24="Yes",'Pilot offer'!$C$11,"")</f>
        <v/>
      </c>
      <c r="AA440" s="15">
        <f>IF(X440="","",W440&amp;" · "&amp;TEXT(X440,"ddd d mmm, hh:mm")&amp;" · "&amp;Y440&amp;IF(Z440&lt;&gt;""," · £"&amp;TEXT(Z440,"0.00")&amp;" per player"," · price TBC (cost £"&amp;TEXT(V440,"0.00")&amp;" pp)"))</f>
        <v/>
      </c>
      <c r="AD440" s="44" t="n"/>
    </row>
    <row r="441">
      <c r="A441" s="13" t="n">
        <v>439</v>
      </c>
      <c r="B441" s="13" t="inlineStr">
        <is>
          <t>2 · N1 Hoxton</t>
        </is>
      </c>
      <c r="C441" s="13" t="inlineStr">
        <is>
          <t>Hospitality</t>
        </is>
      </c>
      <c r="D441" s="13" t="inlineStr">
        <is>
          <t>Local businesses</t>
        </is>
      </c>
      <c r="E441" s="13" t="inlineStr">
        <is>
          <t>Ekachai</t>
        </is>
      </c>
      <c r="F441" s="13" t="inlineStr">
        <is>
          <t>amenity: restaurant</t>
        </is>
      </c>
      <c r="G441" s="13" t="inlineStr">
        <is>
          <t>info@ekachai.co.uk</t>
        </is>
      </c>
      <c r="H441" s="13" t="inlineStr">
        <is>
          <t>general</t>
        </is>
      </c>
      <c r="I441" s="13" t="inlineStr">
        <is>
          <t>+44 7719 193780</t>
        </is>
      </c>
      <c r="J441" s="14" t="inlineStr">
        <is>
          <t>https://www.ekachai.co.uk/</t>
        </is>
      </c>
      <c r="K441" s="13" t="inlineStr">
        <is>
          <t>York Way 66, London</t>
        </is>
      </c>
      <c r="L441" s="13" t="inlineStr">
        <is>
          <t>N1 9AG</t>
        </is>
      </c>
      <c r="M441" s="13" t="inlineStr">
        <is>
          <t>Market Road</t>
        </is>
      </c>
      <c r="N441" s="13" t="n">
        <v>20</v>
      </c>
      <c r="O441" s="15">
        <f>IFERROR(INDEX(Venues!$C$2:$C$10,MATCH(M441,Venues!$A$2:$A$10,0)),"Not checked")</f>
        <v/>
      </c>
      <c r="P441" s="15">
        <f>IFERROR(INDEX(Venues!$D$2:$D$10,MATCH(M441,Venues!$A$2:$A$10,0)),0)</f>
        <v/>
      </c>
      <c r="Q441" s="42">
        <f>IFERROR(INDEX(Venues!$E$2:$E$10,MATCH(M441,Venues!$A$2:$A$10,0)),"")</f>
        <v/>
      </c>
      <c r="R441" s="15">
        <f>IF(P441&gt;0,"Yes","No")</f>
        <v/>
      </c>
      <c r="S441" s="13" t="inlineStr">
        <is>
          <t>Market Road</t>
        </is>
      </c>
      <c r="T441" s="42">
        <f>IFERROR(INDEX(Venues!$E$2:$E$10,MATCH(S441,Venues!$A$2:$A$10,0)),"")</f>
        <v/>
      </c>
      <c r="U441" s="15">
        <f>IFERROR(INDEX(Venues!$F$2:$F$10,MATCH(S441,Venues!$A$2:$A$10,0)),"")</f>
        <v/>
      </c>
      <c r="V441" s="43">
        <f>IFERROR(INDEX(Venues!$H$2:$H$10,MATCH(S441,Venues!$A$2:$A$10,0)),"")</f>
        <v/>
      </c>
      <c r="W441" s="15">
        <f>IF('Pilot offer'!$C$24="Yes",'Pilot offer'!$C$3,S441)</f>
        <v/>
      </c>
      <c r="X441" s="42">
        <f>IF('Pilot offer'!$C$24="Yes",'Pilot offer'!$C$5+'Pilot offer'!$C$6,T441)</f>
        <v/>
      </c>
      <c r="Y441" s="15">
        <f>IF('Pilot offer'!$C$24="Yes",'Pilot offer'!$C$8,U441)</f>
        <v/>
      </c>
      <c r="Z441" s="43">
        <f>IF('Pilot offer'!$C$24="Yes",'Pilot offer'!$C$11,"")</f>
        <v/>
      </c>
      <c r="AA441" s="15">
        <f>IF(X441="","",W441&amp;" · "&amp;TEXT(X441,"ddd d mmm, hh:mm")&amp;" · "&amp;Y441&amp;IF(Z441&lt;&gt;""," · £"&amp;TEXT(Z441,"0.00")&amp;" per player"," · price TBC (cost £"&amp;TEXT(V441,"0.00")&amp;" pp)"))</f>
        <v/>
      </c>
      <c r="AD441" s="44" t="n"/>
    </row>
    <row r="442">
      <c r="A442" s="13" t="n">
        <v>440</v>
      </c>
      <c r="B442" s="13" t="inlineStr">
        <is>
          <t>2 · N1 Hoxton</t>
        </is>
      </c>
      <c r="C442" s="13" t="inlineStr">
        <is>
          <t>Hospitality</t>
        </is>
      </c>
      <c r="D442" s="13" t="inlineStr">
        <is>
          <t>Local businesses</t>
        </is>
      </c>
      <c r="E442" s="13" t="inlineStr">
        <is>
          <t>Rotunda</t>
        </is>
      </c>
      <c r="F442" s="13" t="inlineStr">
        <is>
          <t>amenity: restaurant</t>
        </is>
      </c>
      <c r="G442" s="13" t="inlineStr">
        <is>
          <t>enquiries@rotundabarandrestaurant.co.uk</t>
        </is>
      </c>
      <c r="H442" s="13" t="inlineStr">
        <is>
          <t>general</t>
        </is>
      </c>
      <c r="I442" s="13" t="inlineStr">
        <is>
          <t>+44 20 7014 2840</t>
        </is>
      </c>
      <c r="J442" s="14" t="inlineStr">
        <is>
          <t>https://rotundabarandrestaurant.co.uk/</t>
        </is>
      </c>
      <c r="K442" s="13" t="inlineStr">
        <is>
          <t>York way 90, London</t>
        </is>
      </c>
      <c r="L442" s="13" t="inlineStr">
        <is>
          <t>N1 9AG</t>
        </is>
      </c>
      <c r="M442" s="13" t="inlineStr">
        <is>
          <t>Market Road</t>
        </is>
      </c>
      <c r="N442" s="13" t="n">
        <v>18</v>
      </c>
      <c r="O442" s="15">
        <f>IFERROR(INDEX(Venues!$C$2:$C$10,MATCH(M442,Venues!$A$2:$A$10,0)),"Not checked")</f>
        <v/>
      </c>
      <c r="P442" s="15">
        <f>IFERROR(INDEX(Venues!$D$2:$D$10,MATCH(M442,Venues!$A$2:$A$10,0)),0)</f>
        <v/>
      </c>
      <c r="Q442" s="42">
        <f>IFERROR(INDEX(Venues!$E$2:$E$10,MATCH(M442,Venues!$A$2:$A$10,0)),"")</f>
        <v/>
      </c>
      <c r="R442" s="15">
        <f>IF(P442&gt;0,"Yes","No")</f>
        <v/>
      </c>
      <c r="S442" s="13" t="inlineStr">
        <is>
          <t>Market Road</t>
        </is>
      </c>
      <c r="T442" s="42">
        <f>IFERROR(INDEX(Venues!$E$2:$E$10,MATCH(S442,Venues!$A$2:$A$10,0)),"")</f>
        <v/>
      </c>
      <c r="U442" s="15">
        <f>IFERROR(INDEX(Venues!$F$2:$F$10,MATCH(S442,Venues!$A$2:$A$10,0)),"")</f>
        <v/>
      </c>
      <c r="V442" s="43">
        <f>IFERROR(INDEX(Venues!$H$2:$H$10,MATCH(S442,Venues!$A$2:$A$10,0)),"")</f>
        <v/>
      </c>
      <c r="W442" s="15">
        <f>IF('Pilot offer'!$C$24="Yes",'Pilot offer'!$C$3,S442)</f>
        <v/>
      </c>
      <c r="X442" s="42">
        <f>IF('Pilot offer'!$C$24="Yes",'Pilot offer'!$C$5+'Pilot offer'!$C$6,T442)</f>
        <v/>
      </c>
      <c r="Y442" s="15">
        <f>IF('Pilot offer'!$C$24="Yes",'Pilot offer'!$C$8,U442)</f>
        <v/>
      </c>
      <c r="Z442" s="43">
        <f>IF('Pilot offer'!$C$24="Yes",'Pilot offer'!$C$11,"")</f>
        <v/>
      </c>
      <c r="AA442" s="15">
        <f>IF(X442="","",W442&amp;" · "&amp;TEXT(X442,"ddd d mmm, hh:mm")&amp;" · "&amp;Y442&amp;IF(Z442&lt;&gt;""," · £"&amp;TEXT(Z442,"0.00")&amp;" per player"," · price TBC (cost £"&amp;TEXT(V442,"0.00")&amp;" pp)"))</f>
        <v/>
      </c>
      <c r="AD442" s="44" t="n"/>
    </row>
    <row r="443">
      <c r="A443" s="13" t="n">
        <v>441</v>
      </c>
      <c r="B443" s="13" t="inlineStr">
        <is>
          <t>2 · N1 Hoxton</t>
        </is>
      </c>
      <c r="C443" s="13" t="inlineStr">
        <is>
          <t>Office &amp; professional</t>
        </is>
      </c>
      <c r="D443" s="13" t="inlineStr">
        <is>
          <t>Corporate</t>
        </is>
      </c>
      <c r="E443" s="13" t="inlineStr">
        <is>
          <t>ROXi</t>
        </is>
      </c>
      <c r="F443" s="13" t="inlineStr">
        <is>
          <t>corporate_office</t>
        </is>
      </c>
      <c r="G443" s="13" t="inlineStr">
        <is>
          <t>support@roxi.tv</t>
        </is>
      </c>
      <c r="H443" s="13" t="inlineStr">
        <is>
          <t>commercial</t>
        </is>
      </c>
      <c r="I443" s="13" t="inlineStr">
        <is>
          <t>+44 20 7099 2751</t>
        </is>
      </c>
      <c r="J443" s="14" t="inlineStr">
        <is>
          <t>http://www.roxi.tv/</t>
        </is>
      </c>
      <c r="K443" s="13" t="inlineStr">
        <is>
          <t>3 Bravingtons Walk, London N1 9AJ, UK</t>
        </is>
      </c>
      <c r="L443" s="13" t="inlineStr">
        <is>
          <t>N1 9AJ</t>
        </is>
      </c>
      <c r="M443" s="13" t="inlineStr">
        <is>
          <t>Market Road</t>
        </is>
      </c>
      <c r="N443" s="13" t="n">
        <v>24</v>
      </c>
      <c r="O443" s="15">
        <f>IFERROR(INDEX(Venues!$C$2:$C$10,MATCH(M443,Venues!$A$2:$A$10,0)),"Not checked")</f>
        <v/>
      </c>
      <c r="P443" s="15">
        <f>IFERROR(INDEX(Venues!$D$2:$D$10,MATCH(M443,Venues!$A$2:$A$10,0)),0)</f>
        <v/>
      </c>
      <c r="Q443" s="42">
        <f>IFERROR(INDEX(Venues!$E$2:$E$10,MATCH(M443,Venues!$A$2:$A$10,0)),"")</f>
        <v/>
      </c>
      <c r="R443" s="15">
        <f>IF(P443&gt;0,"Yes","No")</f>
        <v/>
      </c>
      <c r="S443" s="13" t="inlineStr">
        <is>
          <t>Market Road</t>
        </is>
      </c>
      <c r="T443" s="42">
        <f>IFERROR(INDEX(Venues!$E$2:$E$10,MATCH(S443,Venues!$A$2:$A$10,0)),"")</f>
        <v/>
      </c>
      <c r="U443" s="15">
        <f>IFERROR(INDEX(Venues!$F$2:$F$10,MATCH(S443,Venues!$A$2:$A$10,0)),"")</f>
        <v/>
      </c>
      <c r="V443" s="43">
        <f>IFERROR(INDEX(Venues!$H$2:$H$10,MATCH(S443,Venues!$A$2:$A$10,0)),"")</f>
        <v/>
      </c>
      <c r="W443" s="15">
        <f>IF('Pilot offer'!$C$24="Yes",'Pilot offer'!$C$3,S443)</f>
        <v/>
      </c>
      <c r="X443" s="42">
        <f>IF('Pilot offer'!$C$24="Yes",'Pilot offer'!$C$5+'Pilot offer'!$C$6,T443)</f>
        <v/>
      </c>
      <c r="Y443" s="15">
        <f>IF('Pilot offer'!$C$24="Yes",'Pilot offer'!$C$8,U443)</f>
        <v/>
      </c>
      <c r="Z443" s="43">
        <f>IF('Pilot offer'!$C$24="Yes",'Pilot offer'!$C$11,"")</f>
        <v/>
      </c>
      <c r="AA443" s="15">
        <f>IF(X443="","",W443&amp;" · "&amp;TEXT(X443,"ddd d mmm, hh:mm")&amp;" · "&amp;Y443&amp;IF(Z443&lt;&gt;""," · £"&amp;TEXT(Z443,"0.00")&amp;" per player"," · price TBC (cost £"&amp;TEXT(V443,"0.00")&amp;" pp)"))</f>
        <v/>
      </c>
      <c r="AD443" s="44" t="n"/>
    </row>
    <row r="444">
      <c r="A444" s="13" t="n">
        <v>442</v>
      </c>
      <c r="B444" s="13" t="inlineStr">
        <is>
          <t>2 · N1 Hoxton</t>
        </is>
      </c>
      <c r="C444" s="13" t="inlineStr">
        <is>
          <t>Office &amp; professional</t>
        </is>
      </c>
      <c r="D444" s="13" t="inlineStr">
        <is>
          <t>Corporate</t>
        </is>
      </c>
      <c r="E444" s="13" t="inlineStr">
        <is>
          <t>Wzone Ltd</t>
        </is>
      </c>
      <c r="F444" s="13" t="inlineStr">
        <is>
          <t>advertising_agency</t>
        </is>
      </c>
      <c r="G444" s="13" t="inlineStr">
        <is>
          <t>info@wzone.london</t>
        </is>
      </c>
      <c r="H444" s="13" t="inlineStr">
        <is>
          <t>openstreetmap_tag</t>
        </is>
      </c>
      <c r="I444" s="13" t="inlineStr">
        <is>
          <t>+44 7733 366986</t>
        </is>
      </c>
      <c r="J444" s="14" t="inlineStr">
        <is>
          <t>https://www.wzone.london/</t>
        </is>
      </c>
      <c r="K444" s="13" t="inlineStr">
        <is>
          <t>61 Caledonian Road, London</t>
        </is>
      </c>
      <c r="L444" s="13" t="inlineStr">
        <is>
          <t>N1 9BT</t>
        </is>
      </c>
      <c r="M444" s="13" t="inlineStr">
        <is>
          <t>Market Road</t>
        </is>
      </c>
      <c r="N444" s="13" t="n">
        <v>22</v>
      </c>
      <c r="O444" s="15">
        <f>IFERROR(INDEX(Venues!$C$2:$C$10,MATCH(M444,Venues!$A$2:$A$10,0)),"Not checked")</f>
        <v/>
      </c>
      <c r="P444" s="15">
        <f>IFERROR(INDEX(Venues!$D$2:$D$10,MATCH(M444,Venues!$A$2:$A$10,0)),0)</f>
        <v/>
      </c>
      <c r="Q444" s="42">
        <f>IFERROR(INDEX(Venues!$E$2:$E$10,MATCH(M444,Venues!$A$2:$A$10,0)),"")</f>
        <v/>
      </c>
      <c r="R444" s="15">
        <f>IF(P444&gt;0,"Yes","No")</f>
        <v/>
      </c>
      <c r="S444" s="13" t="inlineStr">
        <is>
          <t>Market Road</t>
        </is>
      </c>
      <c r="T444" s="42">
        <f>IFERROR(INDEX(Venues!$E$2:$E$10,MATCH(S444,Venues!$A$2:$A$10,0)),"")</f>
        <v/>
      </c>
      <c r="U444" s="15">
        <f>IFERROR(INDEX(Venues!$F$2:$F$10,MATCH(S444,Venues!$A$2:$A$10,0)),"")</f>
        <v/>
      </c>
      <c r="V444" s="43">
        <f>IFERROR(INDEX(Venues!$H$2:$H$10,MATCH(S444,Venues!$A$2:$A$10,0)),"")</f>
        <v/>
      </c>
      <c r="W444" s="15">
        <f>IF('Pilot offer'!$C$24="Yes",'Pilot offer'!$C$3,S444)</f>
        <v/>
      </c>
      <c r="X444" s="42">
        <f>IF('Pilot offer'!$C$24="Yes",'Pilot offer'!$C$5+'Pilot offer'!$C$6,T444)</f>
        <v/>
      </c>
      <c r="Y444" s="15">
        <f>IF('Pilot offer'!$C$24="Yes",'Pilot offer'!$C$8,U444)</f>
        <v/>
      </c>
      <c r="Z444" s="43">
        <f>IF('Pilot offer'!$C$24="Yes",'Pilot offer'!$C$11,"")</f>
        <v/>
      </c>
      <c r="AA444" s="15">
        <f>IF(X444="","",W444&amp;" · "&amp;TEXT(X444,"ddd d mmm, hh:mm")&amp;" · "&amp;Y444&amp;IF(Z444&lt;&gt;""," · £"&amp;TEXT(Z444,"0.00")&amp;" per player"," · price TBC (cost £"&amp;TEXT(V444,"0.00")&amp;" pp)"))</f>
        <v/>
      </c>
      <c r="AD444" s="44" t="n"/>
    </row>
    <row r="445">
      <c r="A445" s="13" t="n">
        <v>443</v>
      </c>
      <c r="B445" s="13" t="inlineStr">
        <is>
          <t>2 · N1 Hoxton</t>
        </is>
      </c>
      <c r="C445" s="13" t="inlineStr">
        <is>
          <t>Office &amp; professional</t>
        </is>
      </c>
      <c r="D445" s="13" t="inlineStr">
        <is>
          <t>Corporate</t>
        </is>
      </c>
      <c r="E445" s="13" t="inlineStr">
        <is>
          <t>Rolls-Royce Holdings</t>
        </is>
      </c>
      <c r="F445" s="13" t="inlineStr">
        <is>
          <t>manufacturer</t>
        </is>
      </c>
      <c r="G445" s="13" t="inlineStr">
        <is>
          <t>jon.skelson@rolls-royce.com</t>
        </is>
      </c>
      <c r="H445" s="13" t="inlineStr">
        <is>
          <t>person_or_other</t>
        </is>
      </c>
      <c r="I445" s="13" t="inlineStr">
        <is>
          <t>+44 1332 242424</t>
        </is>
      </c>
      <c r="J445" s="14" t="inlineStr">
        <is>
          <t>http://www.rolls-royce.com/</t>
        </is>
      </c>
      <c r="K445" s="13" t="inlineStr">
        <is>
          <t>90 York Wy, London N1 9FX, UK</t>
        </is>
      </c>
      <c r="L445" s="13" t="inlineStr">
        <is>
          <t>N1 9FX</t>
        </is>
      </c>
      <c r="M445" s="13" t="inlineStr">
        <is>
          <t>Market Road</t>
        </is>
      </c>
      <c r="N445" s="13" t="n">
        <v>18</v>
      </c>
      <c r="O445" s="15">
        <f>IFERROR(INDEX(Venues!$C$2:$C$10,MATCH(M445,Venues!$A$2:$A$10,0)),"Not checked")</f>
        <v/>
      </c>
      <c r="P445" s="15">
        <f>IFERROR(INDEX(Venues!$D$2:$D$10,MATCH(M445,Venues!$A$2:$A$10,0)),0)</f>
        <v/>
      </c>
      <c r="Q445" s="42">
        <f>IFERROR(INDEX(Venues!$E$2:$E$10,MATCH(M445,Venues!$A$2:$A$10,0)),"")</f>
        <v/>
      </c>
      <c r="R445" s="15">
        <f>IF(P445&gt;0,"Yes","No")</f>
        <v/>
      </c>
      <c r="S445" s="13" t="inlineStr">
        <is>
          <t>Market Road</t>
        </is>
      </c>
      <c r="T445" s="42">
        <f>IFERROR(INDEX(Venues!$E$2:$E$10,MATCH(S445,Venues!$A$2:$A$10,0)),"")</f>
        <v/>
      </c>
      <c r="U445" s="15">
        <f>IFERROR(INDEX(Venues!$F$2:$F$10,MATCH(S445,Venues!$A$2:$A$10,0)),"")</f>
        <v/>
      </c>
      <c r="V445" s="43">
        <f>IFERROR(INDEX(Venues!$H$2:$H$10,MATCH(S445,Venues!$A$2:$A$10,0)),"")</f>
        <v/>
      </c>
      <c r="W445" s="15">
        <f>IF('Pilot offer'!$C$24="Yes",'Pilot offer'!$C$3,S445)</f>
        <v/>
      </c>
      <c r="X445" s="42">
        <f>IF('Pilot offer'!$C$24="Yes",'Pilot offer'!$C$5+'Pilot offer'!$C$6,T445)</f>
        <v/>
      </c>
      <c r="Y445" s="15">
        <f>IF('Pilot offer'!$C$24="Yes",'Pilot offer'!$C$8,U445)</f>
        <v/>
      </c>
      <c r="Z445" s="43">
        <f>IF('Pilot offer'!$C$24="Yes",'Pilot offer'!$C$11,"")</f>
        <v/>
      </c>
      <c r="AA445" s="15">
        <f>IF(X445="","",W445&amp;" · "&amp;TEXT(X445,"ddd d mmm, hh:mm")&amp;" · "&amp;Y445&amp;IF(Z445&lt;&gt;""," · £"&amp;TEXT(Z445,"0.00")&amp;" per player"," · price TBC (cost £"&amp;TEXT(V445,"0.00")&amp;" pp)"))</f>
        <v/>
      </c>
      <c r="AD445" s="44" t="n"/>
    </row>
    <row r="446">
      <c r="A446" s="13" t="n">
        <v>444</v>
      </c>
      <c r="B446" s="13" t="inlineStr">
        <is>
          <t>2 · N1 Hoxton</t>
        </is>
      </c>
      <c r="C446" s="13" t="inlineStr">
        <is>
          <t>Other</t>
        </is>
      </c>
      <c r="D446" s="13" t="inlineStr">
        <is>
          <t>Corporate</t>
        </is>
      </c>
      <c r="E446" s="13" t="inlineStr">
        <is>
          <t>The Guardian</t>
        </is>
      </c>
      <c r="F446" s="13" t="inlineStr">
        <is>
          <t>newspaper</t>
        </is>
      </c>
      <c r="G446" s="13" t="inlineStr">
        <is>
          <t>guardian.letters@theguardian.com</t>
        </is>
      </c>
      <c r="H446" s="13" t="inlineStr">
        <is>
          <t>openstreetmap_tag</t>
        </is>
      </c>
      <c r="I446" s="13" t="inlineStr">
        <is>
          <t>+44 20 3353 2000</t>
        </is>
      </c>
      <c r="J446" s="14" t="inlineStr">
        <is>
          <t>https://www.theguardian.com/</t>
        </is>
      </c>
      <c r="K446" s="13" t="inlineStr">
        <is>
          <t>90 York Way, London</t>
        </is>
      </c>
      <c r="L446" s="13" t="inlineStr">
        <is>
          <t>N1 9GU</t>
        </is>
      </c>
      <c r="M446" s="13" t="inlineStr">
        <is>
          <t>Market Road</t>
        </is>
      </c>
      <c r="N446" s="13" t="n">
        <v>18</v>
      </c>
      <c r="O446" s="15">
        <f>IFERROR(INDEX(Venues!$C$2:$C$10,MATCH(M446,Venues!$A$2:$A$10,0)),"Not checked")</f>
        <v/>
      </c>
      <c r="P446" s="15">
        <f>IFERROR(INDEX(Venues!$D$2:$D$10,MATCH(M446,Venues!$A$2:$A$10,0)),0)</f>
        <v/>
      </c>
      <c r="Q446" s="42">
        <f>IFERROR(INDEX(Venues!$E$2:$E$10,MATCH(M446,Venues!$A$2:$A$10,0)),"")</f>
        <v/>
      </c>
      <c r="R446" s="15">
        <f>IF(P446&gt;0,"Yes","No")</f>
        <v/>
      </c>
      <c r="S446" s="13" t="inlineStr">
        <is>
          <t>Market Road</t>
        </is>
      </c>
      <c r="T446" s="42">
        <f>IFERROR(INDEX(Venues!$E$2:$E$10,MATCH(S446,Venues!$A$2:$A$10,0)),"")</f>
        <v/>
      </c>
      <c r="U446" s="15">
        <f>IFERROR(INDEX(Venues!$F$2:$F$10,MATCH(S446,Venues!$A$2:$A$10,0)),"")</f>
        <v/>
      </c>
      <c r="V446" s="43">
        <f>IFERROR(INDEX(Venues!$H$2:$H$10,MATCH(S446,Venues!$A$2:$A$10,0)),"")</f>
        <v/>
      </c>
      <c r="W446" s="15">
        <f>IF('Pilot offer'!$C$24="Yes",'Pilot offer'!$C$3,S446)</f>
        <v/>
      </c>
      <c r="X446" s="42">
        <f>IF('Pilot offer'!$C$24="Yes",'Pilot offer'!$C$5+'Pilot offer'!$C$6,T446)</f>
        <v/>
      </c>
      <c r="Y446" s="15">
        <f>IF('Pilot offer'!$C$24="Yes",'Pilot offer'!$C$8,U446)</f>
        <v/>
      </c>
      <c r="Z446" s="43">
        <f>IF('Pilot offer'!$C$24="Yes",'Pilot offer'!$C$11,"")</f>
        <v/>
      </c>
      <c r="AA446" s="15">
        <f>IF(X446="","",W446&amp;" · "&amp;TEXT(X446,"ddd d mmm, hh:mm")&amp;" · "&amp;Y446&amp;IF(Z446&lt;&gt;""," · £"&amp;TEXT(Z446,"0.00")&amp;" per player"," · price TBC (cost £"&amp;TEXT(V446,"0.00")&amp;" pp)"))</f>
        <v/>
      </c>
      <c r="AD446" s="44" t="n"/>
    </row>
    <row r="447">
      <c r="A447" s="13" t="n">
        <v>445</v>
      </c>
      <c r="B447" s="13" t="inlineStr">
        <is>
          <t>2 · N1 Hoxton</t>
        </is>
      </c>
      <c r="C447" s="13" t="inlineStr">
        <is>
          <t>Coworking / shared office</t>
        </is>
      </c>
      <c r="D447" s="13" t="inlineStr">
        <is>
          <t>Corporate</t>
        </is>
      </c>
      <c r="E447" s="13" t="inlineStr">
        <is>
          <t>Anomalous Space</t>
        </is>
      </c>
      <c r="F447" s="13" t="inlineStr">
        <is>
          <t>coworking_space</t>
        </is>
      </c>
      <c r="G447" s="13" t="inlineStr">
        <is>
          <t>info@anomalous.co.uk</t>
        </is>
      </c>
      <c r="H447" s="13" t="inlineStr">
        <is>
          <t>general</t>
        </is>
      </c>
      <c r="I447" s="13" t="inlineStr">
        <is>
          <t>+44 20 7837 3025</t>
        </is>
      </c>
      <c r="J447" s="14" t="inlineStr">
        <is>
          <t>http://www.anomalous.co.uk/space</t>
        </is>
      </c>
      <c r="K447" s="13" t="inlineStr">
        <is>
          <t>36 Pentonville Rd, London N1 9HF, UK</t>
        </is>
      </c>
      <c r="L447" s="13" t="inlineStr">
        <is>
          <t>N1 9HF</t>
        </is>
      </c>
      <c r="M447" s="13" t="inlineStr">
        <is>
          <t>Old St - Moreland Primary School</t>
        </is>
      </c>
      <c r="N447" s="13" t="n">
        <v>12</v>
      </c>
      <c r="O447" s="15">
        <f>IFERROR(INDEX(Venues!$C$2:$C$10,MATCH(M447,Venues!$A$2:$A$10,0)),"Not checked")</f>
        <v/>
      </c>
      <c r="P447" s="15">
        <f>IFERROR(INDEX(Venues!$D$2:$D$10,MATCH(M447,Venues!$A$2:$A$10,0)),0)</f>
        <v/>
      </c>
      <c r="Q447" s="42">
        <f>IFERROR(INDEX(Venues!$E$2:$E$10,MATCH(M447,Venues!$A$2:$A$10,0)),"")</f>
        <v/>
      </c>
      <c r="R447" s="15">
        <f>IF(P447&gt;0,"Yes","No")</f>
        <v/>
      </c>
      <c r="S447" s="13" t="inlineStr">
        <is>
          <t>Old St - Moreland Primary School</t>
        </is>
      </c>
      <c r="T447" s="42">
        <f>IFERROR(INDEX(Venues!$E$2:$E$10,MATCH(S447,Venues!$A$2:$A$10,0)),"")</f>
        <v/>
      </c>
      <c r="U447" s="15">
        <f>IFERROR(INDEX(Venues!$F$2:$F$10,MATCH(S447,Venues!$A$2:$A$10,0)),"")</f>
        <v/>
      </c>
      <c r="V447" s="43">
        <f>IFERROR(INDEX(Venues!$H$2:$H$10,MATCH(S447,Venues!$A$2:$A$10,0)),"")</f>
        <v/>
      </c>
      <c r="W447" s="15">
        <f>IF('Pilot offer'!$C$24="Yes",'Pilot offer'!$C$3,S447)</f>
        <v/>
      </c>
      <c r="X447" s="42">
        <f>IF('Pilot offer'!$C$24="Yes",'Pilot offer'!$C$5+'Pilot offer'!$C$6,T447)</f>
        <v/>
      </c>
      <c r="Y447" s="15">
        <f>IF('Pilot offer'!$C$24="Yes",'Pilot offer'!$C$8,U447)</f>
        <v/>
      </c>
      <c r="Z447" s="43">
        <f>IF('Pilot offer'!$C$24="Yes",'Pilot offer'!$C$11,"")</f>
        <v/>
      </c>
      <c r="AA447" s="15">
        <f>IF(X447="","",W447&amp;" · "&amp;TEXT(X447,"ddd d mmm, hh:mm")&amp;" · "&amp;Y447&amp;IF(Z447&lt;&gt;""," · £"&amp;TEXT(Z447,"0.00")&amp;" per player"," · price TBC (cost £"&amp;TEXT(V447,"0.00")&amp;" pp)"))</f>
        <v/>
      </c>
      <c r="AD447" s="44" t="n"/>
    </row>
    <row r="448">
      <c r="A448" s="13" t="n">
        <v>446</v>
      </c>
      <c r="B448" s="13" t="inlineStr">
        <is>
          <t>2 · N1 Hoxton</t>
        </is>
      </c>
      <c r="C448" s="13" t="inlineStr">
        <is>
          <t>Hospitality</t>
        </is>
      </c>
      <c r="D448" s="13" t="inlineStr">
        <is>
          <t>Local businesses</t>
        </is>
      </c>
      <c r="E448" s="13" t="inlineStr">
        <is>
          <t>Mayvn Cafe</t>
        </is>
      </c>
      <c r="F448" s="13" t="inlineStr">
        <is>
          <t>amenity: cafe</t>
        </is>
      </c>
      <c r="G448" s="13" t="inlineStr">
        <is>
          <t>info@mayvn.co.uk</t>
        </is>
      </c>
      <c r="H448" s="13" t="inlineStr">
        <is>
          <t>general</t>
        </is>
      </c>
      <c r="I448" s="13" t="n"/>
      <c r="J448" s="14" t="inlineStr">
        <is>
          <t>https://www.mayvn.co.uk/</t>
        </is>
      </c>
      <c r="K448" s="13" t="inlineStr">
        <is>
          <t>Pentonville Road 4, London</t>
        </is>
      </c>
      <c r="L448" s="13" t="inlineStr">
        <is>
          <t>N1 9HF</t>
        </is>
      </c>
      <c r="M448" s="13" t="inlineStr">
        <is>
          <t>Old St - Moreland Primary School</t>
        </is>
      </c>
      <c r="N448" s="13" t="n">
        <v>11</v>
      </c>
      <c r="O448" s="15">
        <f>IFERROR(INDEX(Venues!$C$2:$C$10,MATCH(M448,Venues!$A$2:$A$10,0)),"Not checked")</f>
        <v/>
      </c>
      <c r="P448" s="15">
        <f>IFERROR(INDEX(Venues!$D$2:$D$10,MATCH(M448,Venues!$A$2:$A$10,0)),0)</f>
        <v/>
      </c>
      <c r="Q448" s="42">
        <f>IFERROR(INDEX(Venues!$E$2:$E$10,MATCH(M448,Venues!$A$2:$A$10,0)),"")</f>
        <v/>
      </c>
      <c r="R448" s="15">
        <f>IF(P448&gt;0,"Yes","No")</f>
        <v/>
      </c>
      <c r="S448" s="13" t="inlineStr">
        <is>
          <t>Old St - Moreland Primary School</t>
        </is>
      </c>
      <c r="T448" s="42">
        <f>IFERROR(INDEX(Venues!$E$2:$E$10,MATCH(S448,Venues!$A$2:$A$10,0)),"")</f>
        <v/>
      </c>
      <c r="U448" s="15">
        <f>IFERROR(INDEX(Venues!$F$2:$F$10,MATCH(S448,Venues!$A$2:$A$10,0)),"")</f>
        <v/>
      </c>
      <c r="V448" s="43">
        <f>IFERROR(INDEX(Venues!$H$2:$H$10,MATCH(S448,Venues!$A$2:$A$10,0)),"")</f>
        <v/>
      </c>
      <c r="W448" s="15">
        <f>IF('Pilot offer'!$C$24="Yes",'Pilot offer'!$C$3,S448)</f>
        <v/>
      </c>
      <c r="X448" s="42">
        <f>IF('Pilot offer'!$C$24="Yes",'Pilot offer'!$C$5+'Pilot offer'!$C$6,T448)</f>
        <v/>
      </c>
      <c r="Y448" s="15">
        <f>IF('Pilot offer'!$C$24="Yes",'Pilot offer'!$C$8,U448)</f>
        <v/>
      </c>
      <c r="Z448" s="43">
        <f>IF('Pilot offer'!$C$24="Yes",'Pilot offer'!$C$11,"")</f>
        <v/>
      </c>
      <c r="AA448" s="15">
        <f>IF(X448="","",W448&amp;" · "&amp;TEXT(X448,"ddd d mmm, hh:mm")&amp;" · "&amp;Y448&amp;IF(Z448&lt;&gt;""," · £"&amp;TEXT(Z448,"0.00")&amp;" per player"," · price TBC (cost £"&amp;TEXT(V448,"0.00")&amp;" pp)"))</f>
        <v/>
      </c>
      <c r="AD448" s="44" t="n"/>
    </row>
    <row r="449">
      <c r="A449" s="13" t="n">
        <v>447</v>
      </c>
      <c r="B449" s="13" t="inlineStr">
        <is>
          <t>2 · N1 Hoxton</t>
        </is>
      </c>
      <c r="C449" s="13" t="inlineStr">
        <is>
          <t>Other</t>
        </is>
      </c>
      <c r="D449" s="13" t="inlineStr">
        <is>
          <t>Local businesses</t>
        </is>
      </c>
      <c r="E449" s="13" t="inlineStr">
        <is>
          <t>Paris Dauphine University - London Campus</t>
        </is>
      </c>
      <c r="F449" s="13" t="inlineStr">
        <is>
          <t>amenity: university</t>
        </is>
      </c>
      <c r="G449" s="13" t="inlineStr">
        <is>
          <t>contact.master-ddo@dauphine.psl.eu</t>
        </is>
      </c>
      <c r="H449" s="13" t="inlineStr">
        <is>
          <t>person_or_other</t>
        </is>
      </c>
      <c r="I449" s="13" t="inlineStr">
        <is>
          <t>+44 7930 861259</t>
        </is>
      </c>
      <c r="J449" s="14" t="inlineStr">
        <is>
          <t>https://london.dauphine.psl.eu/</t>
        </is>
      </c>
      <c r="K449" s="13" t="inlineStr">
        <is>
          <t>Pentonville Road 46-52, London</t>
        </is>
      </c>
      <c r="L449" s="13" t="inlineStr">
        <is>
          <t>N1 9HF</t>
        </is>
      </c>
      <c r="M449" s="13" t="inlineStr">
        <is>
          <t>Old St - Moreland Primary School</t>
        </is>
      </c>
      <c r="N449" s="13" t="n">
        <v>12</v>
      </c>
      <c r="O449" s="15">
        <f>IFERROR(INDEX(Venues!$C$2:$C$10,MATCH(M449,Venues!$A$2:$A$10,0)),"Not checked")</f>
        <v/>
      </c>
      <c r="P449" s="15">
        <f>IFERROR(INDEX(Venues!$D$2:$D$10,MATCH(M449,Venues!$A$2:$A$10,0)),0)</f>
        <v/>
      </c>
      <c r="Q449" s="42">
        <f>IFERROR(INDEX(Venues!$E$2:$E$10,MATCH(M449,Venues!$A$2:$A$10,0)),"")</f>
        <v/>
      </c>
      <c r="R449" s="15">
        <f>IF(P449&gt;0,"Yes","No")</f>
        <v/>
      </c>
      <c r="S449" s="13" t="inlineStr">
        <is>
          <t>Old St - Moreland Primary School</t>
        </is>
      </c>
      <c r="T449" s="42">
        <f>IFERROR(INDEX(Venues!$E$2:$E$10,MATCH(S449,Venues!$A$2:$A$10,0)),"")</f>
        <v/>
      </c>
      <c r="U449" s="15">
        <f>IFERROR(INDEX(Venues!$F$2:$F$10,MATCH(S449,Venues!$A$2:$A$10,0)),"")</f>
        <v/>
      </c>
      <c r="V449" s="43">
        <f>IFERROR(INDEX(Venues!$H$2:$H$10,MATCH(S449,Venues!$A$2:$A$10,0)),"")</f>
        <v/>
      </c>
      <c r="W449" s="15">
        <f>IF('Pilot offer'!$C$24="Yes",'Pilot offer'!$C$3,S449)</f>
        <v/>
      </c>
      <c r="X449" s="42">
        <f>IF('Pilot offer'!$C$24="Yes",'Pilot offer'!$C$5+'Pilot offer'!$C$6,T449)</f>
        <v/>
      </c>
      <c r="Y449" s="15">
        <f>IF('Pilot offer'!$C$24="Yes",'Pilot offer'!$C$8,U449)</f>
        <v/>
      </c>
      <c r="Z449" s="43">
        <f>IF('Pilot offer'!$C$24="Yes",'Pilot offer'!$C$11,"")</f>
        <v/>
      </c>
      <c r="AA449" s="15">
        <f>IF(X449="","",W449&amp;" · "&amp;TEXT(X449,"ddd d mmm, hh:mm")&amp;" · "&amp;Y449&amp;IF(Z449&lt;&gt;""," · £"&amp;TEXT(Z449,"0.00")&amp;" per player"," · price TBC (cost £"&amp;TEXT(V449,"0.00")&amp;" pp)"))</f>
        <v/>
      </c>
      <c r="AD449" s="44" t="n"/>
    </row>
    <row r="450">
      <c r="A450" s="13" t="n">
        <v>448</v>
      </c>
      <c r="B450" s="13" t="inlineStr">
        <is>
          <t>2 · N1 Hoxton</t>
        </is>
      </c>
      <c r="C450" s="13" t="inlineStr">
        <is>
          <t>Retail</t>
        </is>
      </c>
      <c r="D450" s="13" t="inlineStr">
        <is>
          <t>Local businesses</t>
        </is>
      </c>
      <c r="E450" s="13" t="inlineStr">
        <is>
          <t>Fara Charity Shop</t>
        </is>
      </c>
      <c r="F450" s="13" t="inlineStr">
        <is>
          <t>shop: furniture</t>
        </is>
      </c>
      <c r="G450" s="13" t="inlineStr">
        <is>
          <t>mail@faracharity.org</t>
        </is>
      </c>
      <c r="H450" s="13" t="inlineStr">
        <is>
          <t>general</t>
        </is>
      </c>
      <c r="I450" s="13" t="inlineStr">
        <is>
          <t>+44 20 7713 0931</t>
        </is>
      </c>
      <c r="J450" s="14" t="inlineStr">
        <is>
          <t>https://www.faracharityshops.org/</t>
        </is>
      </c>
      <c r="K450" s="13" t="inlineStr">
        <is>
          <t>Pentonville Road 28-32, London</t>
        </is>
      </c>
      <c r="L450" s="13" t="inlineStr">
        <is>
          <t>N1 9HJ</t>
        </is>
      </c>
      <c r="M450" s="13" t="inlineStr">
        <is>
          <t>Old St - Moreland Primary School</t>
        </is>
      </c>
      <c r="N450" s="13" t="n">
        <v>11</v>
      </c>
      <c r="O450" s="15">
        <f>IFERROR(INDEX(Venues!$C$2:$C$10,MATCH(M450,Venues!$A$2:$A$10,0)),"Not checked")</f>
        <v/>
      </c>
      <c r="P450" s="15">
        <f>IFERROR(INDEX(Venues!$D$2:$D$10,MATCH(M450,Venues!$A$2:$A$10,0)),0)</f>
        <v/>
      </c>
      <c r="Q450" s="42">
        <f>IFERROR(INDEX(Venues!$E$2:$E$10,MATCH(M450,Venues!$A$2:$A$10,0)),"")</f>
        <v/>
      </c>
      <c r="R450" s="15">
        <f>IF(P450&gt;0,"Yes","No")</f>
        <v/>
      </c>
      <c r="S450" s="13" t="inlineStr">
        <is>
          <t>Old St - Moreland Primary School</t>
        </is>
      </c>
      <c r="T450" s="42">
        <f>IFERROR(INDEX(Venues!$E$2:$E$10,MATCH(S450,Venues!$A$2:$A$10,0)),"")</f>
        <v/>
      </c>
      <c r="U450" s="15">
        <f>IFERROR(INDEX(Venues!$F$2:$F$10,MATCH(S450,Venues!$A$2:$A$10,0)),"")</f>
        <v/>
      </c>
      <c r="V450" s="43">
        <f>IFERROR(INDEX(Venues!$H$2:$H$10,MATCH(S450,Venues!$A$2:$A$10,0)),"")</f>
        <v/>
      </c>
      <c r="W450" s="15">
        <f>IF('Pilot offer'!$C$24="Yes",'Pilot offer'!$C$3,S450)</f>
        <v/>
      </c>
      <c r="X450" s="42">
        <f>IF('Pilot offer'!$C$24="Yes",'Pilot offer'!$C$5+'Pilot offer'!$C$6,T450)</f>
        <v/>
      </c>
      <c r="Y450" s="15">
        <f>IF('Pilot offer'!$C$24="Yes",'Pilot offer'!$C$8,U450)</f>
        <v/>
      </c>
      <c r="Z450" s="43">
        <f>IF('Pilot offer'!$C$24="Yes",'Pilot offer'!$C$11,"")</f>
        <v/>
      </c>
      <c r="AA450" s="15">
        <f>IF(X450="","",W450&amp;" · "&amp;TEXT(X450,"ddd d mmm, hh:mm")&amp;" · "&amp;Y450&amp;IF(Z450&lt;&gt;""," · £"&amp;TEXT(Z450,"0.00")&amp;" per player"," · price TBC (cost £"&amp;TEXT(V450,"0.00")&amp;" pp)"))</f>
        <v/>
      </c>
      <c r="AD450" s="44" t="n"/>
    </row>
    <row r="451">
      <c r="A451" s="13" t="n">
        <v>449</v>
      </c>
      <c r="B451" s="13" t="inlineStr">
        <is>
          <t>2 · N1 Hoxton</t>
        </is>
      </c>
      <c r="C451" s="13" t="inlineStr">
        <is>
          <t>Hospitality</t>
        </is>
      </c>
      <c r="D451" s="13" t="inlineStr">
        <is>
          <t>Local businesses</t>
        </is>
      </c>
      <c r="E451" s="13" t="inlineStr">
        <is>
          <t>Saint Espresso</t>
        </is>
      </c>
      <c r="F451" s="13" t="inlineStr">
        <is>
          <t>amenity: cafe</t>
        </is>
      </c>
      <c r="G451" s="13" t="inlineStr">
        <is>
          <t>hello@saintespresso.com</t>
        </is>
      </c>
      <c r="H451" s="13" t="inlineStr">
        <is>
          <t>openstreetmap_tag</t>
        </is>
      </c>
      <c r="I451" s="13" t="n"/>
      <c r="J451" s="14" t="inlineStr">
        <is>
          <t>https://www.saintespresso.com/</t>
        </is>
      </c>
      <c r="K451" s="13" t="inlineStr">
        <is>
          <t>Pentonville Road 26, London</t>
        </is>
      </c>
      <c r="L451" s="13" t="inlineStr">
        <is>
          <t>N1 9HJ</t>
        </is>
      </c>
      <c r="M451" s="13" t="inlineStr">
        <is>
          <t>Old St - Moreland Primary School</t>
        </is>
      </c>
      <c r="N451" s="13" t="n">
        <v>11</v>
      </c>
      <c r="O451" s="15">
        <f>IFERROR(INDEX(Venues!$C$2:$C$10,MATCH(M451,Venues!$A$2:$A$10,0)),"Not checked")</f>
        <v/>
      </c>
      <c r="P451" s="15">
        <f>IFERROR(INDEX(Venues!$D$2:$D$10,MATCH(M451,Venues!$A$2:$A$10,0)),0)</f>
        <v/>
      </c>
      <c r="Q451" s="42">
        <f>IFERROR(INDEX(Venues!$E$2:$E$10,MATCH(M451,Venues!$A$2:$A$10,0)),"")</f>
        <v/>
      </c>
      <c r="R451" s="15">
        <f>IF(P451&gt;0,"Yes","No")</f>
        <v/>
      </c>
      <c r="S451" s="13" t="inlineStr">
        <is>
          <t>Old St - Moreland Primary School</t>
        </is>
      </c>
      <c r="T451" s="42">
        <f>IFERROR(INDEX(Venues!$E$2:$E$10,MATCH(S451,Venues!$A$2:$A$10,0)),"")</f>
        <v/>
      </c>
      <c r="U451" s="15">
        <f>IFERROR(INDEX(Venues!$F$2:$F$10,MATCH(S451,Venues!$A$2:$A$10,0)),"")</f>
        <v/>
      </c>
      <c r="V451" s="43">
        <f>IFERROR(INDEX(Venues!$H$2:$H$10,MATCH(S451,Venues!$A$2:$A$10,0)),"")</f>
        <v/>
      </c>
      <c r="W451" s="15">
        <f>IF('Pilot offer'!$C$24="Yes",'Pilot offer'!$C$3,S451)</f>
        <v/>
      </c>
      <c r="X451" s="42">
        <f>IF('Pilot offer'!$C$24="Yes",'Pilot offer'!$C$5+'Pilot offer'!$C$6,T451)</f>
        <v/>
      </c>
      <c r="Y451" s="15">
        <f>IF('Pilot offer'!$C$24="Yes",'Pilot offer'!$C$8,U451)</f>
        <v/>
      </c>
      <c r="Z451" s="43">
        <f>IF('Pilot offer'!$C$24="Yes",'Pilot offer'!$C$11,"")</f>
        <v/>
      </c>
      <c r="AA451" s="15">
        <f>IF(X451="","",W451&amp;" · "&amp;TEXT(X451,"ddd d mmm, hh:mm")&amp;" · "&amp;Y451&amp;IF(Z451&lt;&gt;""," · £"&amp;TEXT(Z451,"0.00")&amp;" per player"," · price TBC (cost £"&amp;TEXT(V451,"0.00")&amp;" pp)"))</f>
        <v/>
      </c>
      <c r="AD451" s="44" t="n"/>
    </row>
    <row r="452">
      <c r="A452" s="13" t="n">
        <v>450</v>
      </c>
      <c r="B452" s="13" t="inlineStr">
        <is>
          <t>2 · N1 Hoxton</t>
        </is>
      </c>
      <c r="C452" s="13" t="inlineStr">
        <is>
          <t>Office &amp; professional</t>
        </is>
      </c>
      <c r="D452" s="13" t="inlineStr">
        <is>
          <t>Corporate</t>
        </is>
      </c>
      <c r="E452" s="13" t="inlineStr">
        <is>
          <t>Applied Information Group</t>
        </is>
      </c>
      <c r="F452" s="13" t="inlineStr">
        <is>
          <t>graphic_design</t>
        </is>
      </c>
      <c r="G452" s="13" t="inlineStr">
        <is>
          <t>info@appliedinformation.group</t>
        </is>
      </c>
      <c r="H452" s="13" t="inlineStr">
        <is>
          <t>openstreetmap_tag</t>
        </is>
      </c>
      <c r="I452" s="13" t="inlineStr">
        <is>
          <t>+44 20 7017 8488</t>
        </is>
      </c>
      <c r="J452" s="14" t="inlineStr">
        <is>
          <t>https://www.appliedinformation.group/</t>
        </is>
      </c>
      <c r="K452" s="13" t="inlineStr">
        <is>
          <t>90–92 Pentonville Road, London</t>
        </is>
      </c>
      <c r="L452" s="13" t="inlineStr">
        <is>
          <t>N1 9HS</t>
        </is>
      </c>
      <c r="M452" s="13" t="inlineStr">
        <is>
          <t>Old St - Moreland Primary School</t>
        </is>
      </c>
      <c r="N452" s="13" t="n">
        <v>14</v>
      </c>
      <c r="O452" s="15">
        <f>IFERROR(INDEX(Venues!$C$2:$C$10,MATCH(M452,Venues!$A$2:$A$10,0)),"Not checked")</f>
        <v/>
      </c>
      <c r="P452" s="15">
        <f>IFERROR(INDEX(Venues!$D$2:$D$10,MATCH(M452,Venues!$A$2:$A$10,0)),0)</f>
        <v/>
      </c>
      <c r="Q452" s="42">
        <f>IFERROR(INDEX(Venues!$E$2:$E$10,MATCH(M452,Venues!$A$2:$A$10,0)),"")</f>
        <v/>
      </c>
      <c r="R452" s="15">
        <f>IF(P452&gt;0,"Yes","No")</f>
        <v/>
      </c>
      <c r="S452" s="13" t="inlineStr">
        <is>
          <t>Old St - Moreland Primary School</t>
        </is>
      </c>
      <c r="T452" s="42">
        <f>IFERROR(INDEX(Venues!$E$2:$E$10,MATCH(S452,Venues!$A$2:$A$10,0)),"")</f>
        <v/>
      </c>
      <c r="U452" s="15">
        <f>IFERROR(INDEX(Venues!$F$2:$F$10,MATCH(S452,Venues!$A$2:$A$10,0)),"")</f>
        <v/>
      </c>
      <c r="V452" s="43">
        <f>IFERROR(INDEX(Venues!$H$2:$H$10,MATCH(S452,Venues!$A$2:$A$10,0)),"")</f>
        <v/>
      </c>
      <c r="W452" s="15">
        <f>IF('Pilot offer'!$C$24="Yes",'Pilot offer'!$C$3,S452)</f>
        <v/>
      </c>
      <c r="X452" s="42">
        <f>IF('Pilot offer'!$C$24="Yes",'Pilot offer'!$C$5+'Pilot offer'!$C$6,T452)</f>
        <v/>
      </c>
      <c r="Y452" s="15">
        <f>IF('Pilot offer'!$C$24="Yes",'Pilot offer'!$C$8,U452)</f>
        <v/>
      </c>
      <c r="Z452" s="43">
        <f>IF('Pilot offer'!$C$24="Yes",'Pilot offer'!$C$11,"")</f>
        <v/>
      </c>
      <c r="AA452" s="15">
        <f>IF(X452="","",W452&amp;" · "&amp;TEXT(X452,"ddd d mmm, hh:mm")&amp;" · "&amp;Y452&amp;IF(Z452&lt;&gt;""," · £"&amp;TEXT(Z452,"0.00")&amp;" per player"," · price TBC (cost £"&amp;TEXT(V452,"0.00")&amp;" pp)"))</f>
        <v/>
      </c>
      <c r="AD452" s="44" t="n"/>
    </row>
    <row r="453">
      <c r="A453" s="13" t="n">
        <v>451</v>
      </c>
      <c r="B453" s="13" t="inlineStr">
        <is>
          <t>2 · N1 Hoxton</t>
        </is>
      </c>
      <c r="C453" s="13" t="inlineStr">
        <is>
          <t>Hospitality</t>
        </is>
      </c>
      <c r="D453" s="13" t="inlineStr">
        <is>
          <t>Local businesses</t>
        </is>
      </c>
      <c r="E453" s="13" t="inlineStr">
        <is>
          <t>The Lexington</t>
        </is>
      </c>
      <c r="F453" s="13" t="inlineStr">
        <is>
          <t>amenity: pub</t>
        </is>
      </c>
      <c r="G453" s="13" t="inlineStr">
        <is>
          <t>info@thelexington.co.uk</t>
        </is>
      </c>
      <c r="H453" s="13" t="inlineStr">
        <is>
          <t>general</t>
        </is>
      </c>
      <c r="I453" s="13" t="inlineStr">
        <is>
          <t>+44 20 7837 5371</t>
        </is>
      </c>
      <c r="J453" s="14" t="inlineStr">
        <is>
          <t>https://thelexington.co.uk/</t>
        </is>
      </c>
      <c r="K453" s="13" t="inlineStr">
        <is>
          <t>Pentonville Road 96-98, London</t>
        </is>
      </c>
      <c r="L453" s="13" t="inlineStr">
        <is>
          <t>N1 9JB</t>
        </is>
      </c>
      <c r="M453" s="13" t="inlineStr">
        <is>
          <t>Old St - Moreland Primary School</t>
        </is>
      </c>
      <c r="N453" s="13" t="n">
        <v>15</v>
      </c>
      <c r="O453" s="15">
        <f>IFERROR(INDEX(Venues!$C$2:$C$10,MATCH(M453,Venues!$A$2:$A$10,0)),"Not checked")</f>
        <v/>
      </c>
      <c r="P453" s="15">
        <f>IFERROR(INDEX(Venues!$D$2:$D$10,MATCH(M453,Venues!$A$2:$A$10,0)),0)</f>
        <v/>
      </c>
      <c r="Q453" s="42">
        <f>IFERROR(INDEX(Venues!$E$2:$E$10,MATCH(M453,Venues!$A$2:$A$10,0)),"")</f>
        <v/>
      </c>
      <c r="R453" s="15">
        <f>IF(P453&gt;0,"Yes","No")</f>
        <v/>
      </c>
      <c r="S453" s="13" t="inlineStr">
        <is>
          <t>Old St - Moreland Primary School</t>
        </is>
      </c>
      <c r="T453" s="42">
        <f>IFERROR(INDEX(Venues!$E$2:$E$10,MATCH(S453,Venues!$A$2:$A$10,0)),"")</f>
        <v/>
      </c>
      <c r="U453" s="15">
        <f>IFERROR(INDEX(Venues!$F$2:$F$10,MATCH(S453,Venues!$A$2:$A$10,0)),"")</f>
        <v/>
      </c>
      <c r="V453" s="43">
        <f>IFERROR(INDEX(Venues!$H$2:$H$10,MATCH(S453,Venues!$A$2:$A$10,0)),"")</f>
        <v/>
      </c>
      <c r="W453" s="15">
        <f>IF('Pilot offer'!$C$24="Yes",'Pilot offer'!$C$3,S453)</f>
        <v/>
      </c>
      <c r="X453" s="42">
        <f>IF('Pilot offer'!$C$24="Yes",'Pilot offer'!$C$5+'Pilot offer'!$C$6,T453)</f>
        <v/>
      </c>
      <c r="Y453" s="15">
        <f>IF('Pilot offer'!$C$24="Yes",'Pilot offer'!$C$8,U453)</f>
        <v/>
      </c>
      <c r="Z453" s="43">
        <f>IF('Pilot offer'!$C$24="Yes",'Pilot offer'!$C$11,"")</f>
        <v/>
      </c>
      <c r="AA453" s="15">
        <f>IF(X453="","",W453&amp;" · "&amp;TEXT(X453,"ddd d mmm, hh:mm")&amp;" · "&amp;Y453&amp;IF(Z453&lt;&gt;""," · £"&amp;TEXT(Z453,"0.00")&amp;" per player"," · price TBC (cost £"&amp;TEXT(V453,"0.00")&amp;" pp)"))</f>
        <v/>
      </c>
      <c r="AD453" s="44" t="n"/>
    </row>
    <row r="454">
      <c r="A454" s="13" t="n">
        <v>452</v>
      </c>
      <c r="B454" s="13" t="inlineStr">
        <is>
          <t>2 · N1 Hoxton</t>
        </is>
      </c>
      <c r="C454" s="13" t="inlineStr">
        <is>
          <t>Education</t>
        </is>
      </c>
      <c r="D454" s="13" t="inlineStr">
        <is>
          <t>Local businesses</t>
        </is>
      </c>
      <c r="E454" s="13" t="inlineStr">
        <is>
          <t>The Pears Family School</t>
        </is>
      </c>
      <c r="F454" s="13" t="inlineStr">
        <is>
          <t>amenity: school</t>
        </is>
      </c>
      <c r="G454" s="13" t="inlineStr">
        <is>
          <t>reception@thefamilyschoollondon.org</t>
        </is>
      </c>
      <c r="H454" s="13" t="inlineStr">
        <is>
          <t>general</t>
        </is>
      </c>
      <c r="I454" s="13" t="inlineStr">
        <is>
          <t>+44 20 3693 4911</t>
        </is>
      </c>
      <c r="J454" s="14" t="inlineStr">
        <is>
          <t>https://www.thefamilyschoollondon.org/</t>
        </is>
      </c>
      <c r="K454" s="13" t="inlineStr">
        <is>
          <t>Bradley Close 1-15, London</t>
        </is>
      </c>
      <c r="L454" s="13" t="inlineStr">
        <is>
          <t>N1 9JH</t>
        </is>
      </c>
      <c r="M454" s="13" t="inlineStr">
        <is>
          <t>Old St - Moreland Primary School</t>
        </is>
      </c>
      <c r="N454" s="13" t="n">
        <v>13</v>
      </c>
      <c r="O454" s="15">
        <f>IFERROR(INDEX(Venues!$C$2:$C$10,MATCH(M454,Venues!$A$2:$A$10,0)),"Not checked")</f>
        <v/>
      </c>
      <c r="P454" s="15">
        <f>IFERROR(INDEX(Venues!$D$2:$D$10,MATCH(M454,Venues!$A$2:$A$10,0)),0)</f>
        <v/>
      </c>
      <c r="Q454" s="42">
        <f>IFERROR(INDEX(Venues!$E$2:$E$10,MATCH(M454,Venues!$A$2:$A$10,0)),"")</f>
        <v/>
      </c>
      <c r="R454" s="15">
        <f>IF(P454&gt;0,"Yes","No")</f>
        <v/>
      </c>
      <c r="S454" s="13" t="inlineStr">
        <is>
          <t>Old St - Moreland Primary School</t>
        </is>
      </c>
      <c r="T454" s="42">
        <f>IFERROR(INDEX(Venues!$E$2:$E$10,MATCH(S454,Venues!$A$2:$A$10,0)),"")</f>
        <v/>
      </c>
      <c r="U454" s="15">
        <f>IFERROR(INDEX(Venues!$F$2:$F$10,MATCH(S454,Venues!$A$2:$A$10,0)),"")</f>
        <v/>
      </c>
      <c r="V454" s="43">
        <f>IFERROR(INDEX(Venues!$H$2:$H$10,MATCH(S454,Venues!$A$2:$A$10,0)),"")</f>
        <v/>
      </c>
      <c r="W454" s="15">
        <f>IF('Pilot offer'!$C$24="Yes",'Pilot offer'!$C$3,S454)</f>
        <v/>
      </c>
      <c r="X454" s="42">
        <f>IF('Pilot offer'!$C$24="Yes",'Pilot offer'!$C$5+'Pilot offer'!$C$6,T454)</f>
        <v/>
      </c>
      <c r="Y454" s="15">
        <f>IF('Pilot offer'!$C$24="Yes",'Pilot offer'!$C$8,U454)</f>
        <v/>
      </c>
      <c r="Z454" s="43">
        <f>IF('Pilot offer'!$C$24="Yes",'Pilot offer'!$C$11,"")</f>
        <v/>
      </c>
      <c r="AA454" s="15">
        <f>IF(X454="","",W454&amp;" · "&amp;TEXT(X454,"ddd d mmm, hh:mm")&amp;" · "&amp;Y454&amp;IF(Z454&lt;&gt;""," · £"&amp;TEXT(Z454,"0.00")&amp;" per player"," · price TBC (cost £"&amp;TEXT(V454,"0.00")&amp;" pp)"))</f>
        <v/>
      </c>
      <c r="AD454" s="44" t="n"/>
    </row>
    <row r="455">
      <c r="A455" s="13" t="n">
        <v>453</v>
      </c>
      <c r="B455" s="13" t="inlineStr">
        <is>
          <t>2 · N1 Hoxton</t>
        </is>
      </c>
      <c r="C455" s="13" t="inlineStr">
        <is>
          <t>Office &amp; professional</t>
        </is>
      </c>
      <c r="D455" s="13" t="inlineStr">
        <is>
          <t>Corporate</t>
        </is>
      </c>
      <c r="E455" s="13" t="inlineStr">
        <is>
          <t>British Marketing Agency</t>
        </is>
      </c>
      <c r="F455" s="13" t="inlineStr">
        <is>
          <t>consultant</t>
        </is>
      </c>
      <c r="G455" s="13" t="inlineStr">
        <is>
          <t>support@xpfreelancer.com</t>
        </is>
      </c>
      <c r="H455" s="13" t="inlineStr">
        <is>
          <t>commercial</t>
        </is>
      </c>
      <c r="I455" s="13" t="inlineStr">
        <is>
          <t>+44 7470 623563</t>
        </is>
      </c>
      <c r="J455" s="14" t="inlineStr">
        <is>
          <t>https://www.xpfreelancer.com/</t>
        </is>
      </c>
      <c r="K455" s="13" t="inlineStr">
        <is>
          <t>Pentonville Rd, London N1 9JP, UK</t>
        </is>
      </c>
      <c r="L455" s="13" t="inlineStr">
        <is>
          <t>N1 9JP</t>
        </is>
      </c>
      <c r="M455" s="13" t="inlineStr">
        <is>
          <t>Old St - Moreland Primary School</t>
        </is>
      </c>
      <c r="N455" s="13" t="n">
        <v>21</v>
      </c>
      <c r="O455" s="15">
        <f>IFERROR(INDEX(Venues!$C$2:$C$10,MATCH(M455,Venues!$A$2:$A$10,0)),"Not checked")</f>
        <v/>
      </c>
      <c r="P455" s="15">
        <f>IFERROR(INDEX(Venues!$D$2:$D$10,MATCH(M455,Venues!$A$2:$A$10,0)),0)</f>
        <v/>
      </c>
      <c r="Q455" s="42">
        <f>IFERROR(INDEX(Venues!$E$2:$E$10,MATCH(M455,Venues!$A$2:$A$10,0)),"")</f>
        <v/>
      </c>
      <c r="R455" s="15">
        <f>IF(P455&gt;0,"Yes","No")</f>
        <v/>
      </c>
      <c r="S455" s="13" t="inlineStr">
        <is>
          <t>Old St - Moreland Primary School</t>
        </is>
      </c>
      <c r="T455" s="42">
        <f>IFERROR(INDEX(Venues!$E$2:$E$10,MATCH(S455,Venues!$A$2:$A$10,0)),"")</f>
        <v/>
      </c>
      <c r="U455" s="15">
        <f>IFERROR(INDEX(Venues!$F$2:$F$10,MATCH(S455,Venues!$A$2:$A$10,0)),"")</f>
        <v/>
      </c>
      <c r="V455" s="43">
        <f>IFERROR(INDEX(Venues!$H$2:$H$10,MATCH(S455,Venues!$A$2:$A$10,0)),"")</f>
        <v/>
      </c>
      <c r="W455" s="15">
        <f>IF('Pilot offer'!$C$24="Yes",'Pilot offer'!$C$3,S455)</f>
        <v/>
      </c>
      <c r="X455" s="42">
        <f>IF('Pilot offer'!$C$24="Yes",'Pilot offer'!$C$5+'Pilot offer'!$C$6,T455)</f>
        <v/>
      </c>
      <c r="Y455" s="15">
        <f>IF('Pilot offer'!$C$24="Yes",'Pilot offer'!$C$8,U455)</f>
        <v/>
      </c>
      <c r="Z455" s="43">
        <f>IF('Pilot offer'!$C$24="Yes",'Pilot offer'!$C$11,"")</f>
        <v/>
      </c>
      <c r="AA455" s="15">
        <f>IF(X455="","",W455&amp;" · "&amp;TEXT(X455,"ddd d mmm, hh:mm")&amp;" · "&amp;Y455&amp;IF(Z455&lt;&gt;""," · £"&amp;TEXT(Z455,"0.00")&amp;" per player"," · price TBC (cost £"&amp;TEXT(V455,"0.00")&amp;" pp)"))</f>
        <v/>
      </c>
      <c r="AD455" s="44" t="n"/>
    </row>
    <row r="456">
      <c r="A456" s="13" t="n">
        <v>454</v>
      </c>
      <c r="B456" s="13" t="inlineStr">
        <is>
          <t>2 · N1 Hoxton</t>
        </is>
      </c>
      <c r="C456" s="13" t="inlineStr">
        <is>
          <t>Hospitality</t>
        </is>
      </c>
      <c r="D456" s="13" t="inlineStr">
        <is>
          <t>Local businesses</t>
        </is>
      </c>
      <c r="E456" s="13" t="inlineStr">
        <is>
          <t>DoubleTree by Hilton London Angel Kings Cross</t>
        </is>
      </c>
      <c r="F456" s="13" t="inlineStr">
        <is>
          <t>tourism: hotel</t>
        </is>
      </c>
      <c r="G456" s="13" t="inlineStr">
        <is>
          <t>information@dtislington.com</t>
        </is>
      </c>
      <c r="H456" s="13" t="inlineStr">
        <is>
          <t>openstreetmap_tag</t>
        </is>
      </c>
      <c r="I456" s="13" t="inlineStr">
        <is>
          <t>+44 20 7282 5500</t>
        </is>
      </c>
      <c r="J456" s="14" t="inlineStr">
        <is>
          <t>https://www.hilton.com/en/hotels/lonlidi-doubletree-london-angel-kings-cross/</t>
        </is>
      </c>
      <c r="K456" s="13" t="inlineStr">
        <is>
          <t>Pentonville Road 60, London</t>
        </is>
      </c>
      <c r="L456" s="13" t="inlineStr">
        <is>
          <t>N1 9LA</t>
        </is>
      </c>
      <c r="M456" s="13" t="inlineStr">
        <is>
          <t>Old St - Moreland Primary School</t>
        </is>
      </c>
      <c r="N456" s="13" t="n">
        <v>13</v>
      </c>
      <c r="O456" s="15">
        <f>IFERROR(INDEX(Venues!$C$2:$C$10,MATCH(M456,Venues!$A$2:$A$10,0)),"Not checked")</f>
        <v/>
      </c>
      <c r="P456" s="15">
        <f>IFERROR(INDEX(Venues!$D$2:$D$10,MATCH(M456,Venues!$A$2:$A$10,0)),0)</f>
        <v/>
      </c>
      <c r="Q456" s="42">
        <f>IFERROR(INDEX(Venues!$E$2:$E$10,MATCH(M456,Venues!$A$2:$A$10,0)),"")</f>
        <v/>
      </c>
      <c r="R456" s="15">
        <f>IF(P456&gt;0,"Yes","No")</f>
        <v/>
      </c>
      <c r="S456" s="13" t="inlineStr">
        <is>
          <t>Old St - Moreland Primary School</t>
        </is>
      </c>
      <c r="T456" s="42">
        <f>IFERROR(INDEX(Venues!$E$2:$E$10,MATCH(S456,Venues!$A$2:$A$10,0)),"")</f>
        <v/>
      </c>
      <c r="U456" s="15">
        <f>IFERROR(INDEX(Venues!$F$2:$F$10,MATCH(S456,Venues!$A$2:$A$10,0)),"")</f>
        <v/>
      </c>
      <c r="V456" s="43">
        <f>IFERROR(INDEX(Venues!$H$2:$H$10,MATCH(S456,Venues!$A$2:$A$10,0)),"")</f>
        <v/>
      </c>
      <c r="W456" s="15">
        <f>IF('Pilot offer'!$C$24="Yes",'Pilot offer'!$C$3,S456)</f>
        <v/>
      </c>
      <c r="X456" s="42">
        <f>IF('Pilot offer'!$C$24="Yes",'Pilot offer'!$C$5+'Pilot offer'!$C$6,T456)</f>
        <v/>
      </c>
      <c r="Y456" s="15">
        <f>IF('Pilot offer'!$C$24="Yes",'Pilot offer'!$C$8,U456)</f>
        <v/>
      </c>
      <c r="Z456" s="43">
        <f>IF('Pilot offer'!$C$24="Yes",'Pilot offer'!$C$11,"")</f>
        <v/>
      </c>
      <c r="AA456" s="15">
        <f>IF(X456="","",W456&amp;" · "&amp;TEXT(X456,"ddd d mmm, hh:mm")&amp;" · "&amp;Y456&amp;IF(Z456&lt;&gt;""," · £"&amp;TEXT(Z456,"0.00")&amp;" per player"," · price TBC (cost £"&amp;TEXT(V456,"0.00")&amp;" pp)"))</f>
        <v/>
      </c>
      <c r="AD456" s="44" t="n"/>
    </row>
    <row r="457">
      <c r="A457" s="13" t="n">
        <v>455</v>
      </c>
      <c r="B457" s="13" t="inlineStr">
        <is>
          <t>2 · N1 Hoxton</t>
        </is>
      </c>
      <c r="C457" s="13" t="inlineStr">
        <is>
          <t>Hospitality</t>
        </is>
      </c>
      <c r="D457" s="13" t="inlineStr">
        <is>
          <t>Local businesses</t>
        </is>
      </c>
      <c r="E457" s="13" t="inlineStr">
        <is>
          <t>Pandas Kitchen</t>
        </is>
      </c>
      <c r="F457" s="13" t="inlineStr">
        <is>
          <t>amenity: restaurant</t>
        </is>
      </c>
      <c r="G457" s="13" t="inlineStr">
        <is>
          <t>hello@pandas.kitchen</t>
        </is>
      </c>
      <c r="H457" s="13" t="inlineStr">
        <is>
          <t>general</t>
        </is>
      </c>
      <c r="I457" s="13" t="inlineStr">
        <is>
          <t>+44 20 7278 8666</t>
        </is>
      </c>
      <c r="J457" s="14" t="inlineStr">
        <is>
          <t>https://www.pandas.kitchen/angel</t>
        </is>
      </c>
      <c r="K457" s="13" t="inlineStr">
        <is>
          <t>Islington High Street 11, London</t>
        </is>
      </c>
      <c r="L457" s="13" t="inlineStr">
        <is>
          <t>N1 9LQ</t>
        </is>
      </c>
      <c r="M457" s="13" t="inlineStr">
        <is>
          <t>Old St - Moreland Primary School</t>
        </is>
      </c>
      <c r="N457" s="13" t="n">
        <v>10</v>
      </c>
      <c r="O457" s="15">
        <f>IFERROR(INDEX(Venues!$C$2:$C$10,MATCH(M457,Venues!$A$2:$A$10,0)),"Not checked")</f>
        <v/>
      </c>
      <c r="P457" s="15">
        <f>IFERROR(INDEX(Venues!$D$2:$D$10,MATCH(M457,Venues!$A$2:$A$10,0)),0)</f>
        <v/>
      </c>
      <c r="Q457" s="42">
        <f>IFERROR(INDEX(Venues!$E$2:$E$10,MATCH(M457,Venues!$A$2:$A$10,0)),"")</f>
        <v/>
      </c>
      <c r="R457" s="15">
        <f>IF(P457&gt;0,"Yes","No")</f>
        <v/>
      </c>
      <c r="S457" s="13" t="inlineStr">
        <is>
          <t>Old St - Moreland Primary School</t>
        </is>
      </c>
      <c r="T457" s="42">
        <f>IFERROR(INDEX(Venues!$E$2:$E$10,MATCH(S457,Venues!$A$2:$A$10,0)),"")</f>
        <v/>
      </c>
      <c r="U457" s="15">
        <f>IFERROR(INDEX(Venues!$F$2:$F$10,MATCH(S457,Venues!$A$2:$A$10,0)),"")</f>
        <v/>
      </c>
      <c r="V457" s="43">
        <f>IFERROR(INDEX(Venues!$H$2:$H$10,MATCH(S457,Venues!$A$2:$A$10,0)),"")</f>
        <v/>
      </c>
      <c r="W457" s="15">
        <f>IF('Pilot offer'!$C$24="Yes",'Pilot offer'!$C$3,S457)</f>
        <v/>
      </c>
      <c r="X457" s="42">
        <f>IF('Pilot offer'!$C$24="Yes",'Pilot offer'!$C$5+'Pilot offer'!$C$6,T457)</f>
        <v/>
      </c>
      <c r="Y457" s="15">
        <f>IF('Pilot offer'!$C$24="Yes",'Pilot offer'!$C$8,U457)</f>
        <v/>
      </c>
      <c r="Z457" s="43">
        <f>IF('Pilot offer'!$C$24="Yes",'Pilot offer'!$C$11,"")</f>
        <v/>
      </c>
      <c r="AA457" s="15">
        <f>IF(X457="","",W457&amp;" · "&amp;TEXT(X457,"ddd d mmm, hh:mm")&amp;" · "&amp;Y457&amp;IF(Z457&lt;&gt;""," · £"&amp;TEXT(Z457,"0.00")&amp;" per player"," · price TBC (cost £"&amp;TEXT(V457,"0.00")&amp;" pp)"))</f>
        <v/>
      </c>
      <c r="AD457" s="44" t="n"/>
    </row>
    <row r="458">
      <c r="A458" s="13" t="n">
        <v>456</v>
      </c>
      <c r="B458" s="13" t="inlineStr">
        <is>
          <t>2 · N1 Hoxton</t>
        </is>
      </c>
      <c r="C458" s="13" t="inlineStr">
        <is>
          <t>Office &amp; professional</t>
        </is>
      </c>
      <c r="D458" s="13" t="inlineStr">
        <is>
          <t>Corporate</t>
        </is>
      </c>
      <c r="E458" s="13" t="inlineStr">
        <is>
          <t>T-Tech</t>
        </is>
      </c>
      <c r="F458" s="13" t="inlineStr">
        <is>
          <t>consultant</t>
        </is>
      </c>
      <c r="G458" s="13" t="inlineStr">
        <is>
          <t>info@ttech.uk.com</t>
        </is>
      </c>
      <c r="H458" s="13" t="inlineStr">
        <is>
          <t>general</t>
        </is>
      </c>
      <c r="I458" s="13" t="inlineStr">
        <is>
          <t>+44 20 7472 5444</t>
        </is>
      </c>
      <c r="J458" s="14" t="inlineStr">
        <is>
          <t>http://www.ttech.uk.com/</t>
        </is>
      </c>
      <c r="K458" s="13" t="inlineStr">
        <is>
          <t>94 White Lion St, London N1 9PF, UK</t>
        </is>
      </c>
      <c r="L458" s="13" t="inlineStr">
        <is>
          <t>N1 9PF</t>
        </is>
      </c>
      <c r="M458" s="13" t="inlineStr">
        <is>
          <t>Old St - Moreland Primary School</t>
        </is>
      </c>
      <c r="N458" s="13" t="n">
        <v>12</v>
      </c>
      <c r="O458" s="15">
        <f>IFERROR(INDEX(Venues!$C$2:$C$10,MATCH(M458,Venues!$A$2:$A$10,0)),"Not checked")</f>
        <v/>
      </c>
      <c r="P458" s="15">
        <f>IFERROR(INDEX(Venues!$D$2:$D$10,MATCH(M458,Venues!$A$2:$A$10,0)),0)</f>
        <v/>
      </c>
      <c r="Q458" s="42">
        <f>IFERROR(INDEX(Venues!$E$2:$E$10,MATCH(M458,Venues!$A$2:$A$10,0)),"")</f>
        <v/>
      </c>
      <c r="R458" s="15">
        <f>IF(P458&gt;0,"Yes","No")</f>
        <v/>
      </c>
      <c r="S458" s="13" t="inlineStr">
        <is>
          <t>Old St - Moreland Primary School</t>
        </is>
      </c>
      <c r="T458" s="42">
        <f>IFERROR(INDEX(Venues!$E$2:$E$10,MATCH(S458,Venues!$A$2:$A$10,0)),"")</f>
        <v/>
      </c>
      <c r="U458" s="15">
        <f>IFERROR(INDEX(Venues!$F$2:$F$10,MATCH(S458,Venues!$A$2:$A$10,0)),"")</f>
        <v/>
      </c>
      <c r="V458" s="43">
        <f>IFERROR(INDEX(Venues!$H$2:$H$10,MATCH(S458,Venues!$A$2:$A$10,0)),"")</f>
        <v/>
      </c>
      <c r="W458" s="15">
        <f>IF('Pilot offer'!$C$24="Yes",'Pilot offer'!$C$3,S458)</f>
        <v/>
      </c>
      <c r="X458" s="42">
        <f>IF('Pilot offer'!$C$24="Yes",'Pilot offer'!$C$5+'Pilot offer'!$C$6,T458)</f>
        <v/>
      </c>
      <c r="Y458" s="15">
        <f>IF('Pilot offer'!$C$24="Yes",'Pilot offer'!$C$8,U458)</f>
        <v/>
      </c>
      <c r="Z458" s="43">
        <f>IF('Pilot offer'!$C$24="Yes",'Pilot offer'!$C$11,"")</f>
        <v/>
      </c>
      <c r="AA458" s="15">
        <f>IF(X458="","",W458&amp;" · "&amp;TEXT(X458,"ddd d mmm, hh:mm")&amp;" · "&amp;Y458&amp;IF(Z458&lt;&gt;""," · £"&amp;TEXT(Z458,"0.00")&amp;" per player"," · price TBC (cost £"&amp;TEXT(V458,"0.00")&amp;" pp)"))</f>
        <v/>
      </c>
      <c r="AD458" s="44" t="n"/>
    </row>
    <row r="459">
      <c r="A459" s="13" t="n">
        <v>457</v>
      </c>
      <c r="B459" s="13" t="inlineStr">
        <is>
          <t>2 · N1 Hoxton</t>
        </is>
      </c>
      <c r="C459" s="13" t="inlineStr">
        <is>
          <t>Hospitality</t>
        </is>
      </c>
      <c r="D459" s="13" t="inlineStr">
        <is>
          <t>Local businesses</t>
        </is>
      </c>
      <c r="E459" s="13" t="inlineStr">
        <is>
          <t>The Chapel Bar</t>
        </is>
      </c>
      <c r="F459" s="13" t="inlineStr">
        <is>
          <t>amenity: bar</t>
        </is>
      </c>
      <c r="G459" s="13" t="inlineStr">
        <is>
          <t>info@thechapelbar.co.uk</t>
        </is>
      </c>
      <c r="H459" s="13" t="inlineStr">
        <is>
          <t>general</t>
        </is>
      </c>
      <c r="I459" s="13" t="inlineStr">
        <is>
          <t>+44 20 7833 4090</t>
        </is>
      </c>
      <c r="J459" s="14" t="inlineStr">
        <is>
          <t>https://thechapelbar.co.uk/</t>
        </is>
      </c>
      <c r="K459" s="13" t="inlineStr">
        <is>
          <t>Penton Street 29, London</t>
        </is>
      </c>
      <c r="L459" s="13" t="inlineStr">
        <is>
          <t>N1 9PX</t>
        </is>
      </c>
      <c r="M459" s="13" t="inlineStr">
        <is>
          <t>Old St - Moreland Primary School</t>
        </is>
      </c>
      <c r="N459" s="13" t="n">
        <v>16</v>
      </c>
      <c r="O459" s="15">
        <f>IFERROR(INDEX(Venues!$C$2:$C$10,MATCH(M459,Venues!$A$2:$A$10,0)),"Not checked")</f>
        <v/>
      </c>
      <c r="P459" s="15">
        <f>IFERROR(INDEX(Venues!$D$2:$D$10,MATCH(M459,Venues!$A$2:$A$10,0)),0)</f>
        <v/>
      </c>
      <c r="Q459" s="42">
        <f>IFERROR(INDEX(Venues!$E$2:$E$10,MATCH(M459,Venues!$A$2:$A$10,0)),"")</f>
        <v/>
      </c>
      <c r="R459" s="15">
        <f>IF(P459&gt;0,"Yes","No")</f>
        <v/>
      </c>
      <c r="S459" s="13" t="inlineStr">
        <is>
          <t>Old St - Moreland Primary School</t>
        </is>
      </c>
      <c r="T459" s="42">
        <f>IFERROR(INDEX(Venues!$E$2:$E$10,MATCH(S459,Venues!$A$2:$A$10,0)),"")</f>
        <v/>
      </c>
      <c r="U459" s="15">
        <f>IFERROR(INDEX(Venues!$F$2:$F$10,MATCH(S459,Venues!$A$2:$A$10,0)),"")</f>
        <v/>
      </c>
      <c r="V459" s="43">
        <f>IFERROR(INDEX(Venues!$H$2:$H$10,MATCH(S459,Venues!$A$2:$A$10,0)),"")</f>
        <v/>
      </c>
      <c r="W459" s="15">
        <f>IF('Pilot offer'!$C$24="Yes",'Pilot offer'!$C$3,S459)</f>
        <v/>
      </c>
      <c r="X459" s="42">
        <f>IF('Pilot offer'!$C$24="Yes",'Pilot offer'!$C$5+'Pilot offer'!$C$6,T459)</f>
        <v/>
      </c>
      <c r="Y459" s="15">
        <f>IF('Pilot offer'!$C$24="Yes",'Pilot offer'!$C$8,U459)</f>
        <v/>
      </c>
      <c r="Z459" s="43">
        <f>IF('Pilot offer'!$C$24="Yes",'Pilot offer'!$C$11,"")</f>
        <v/>
      </c>
      <c r="AA459" s="15">
        <f>IF(X459="","",W459&amp;" · "&amp;TEXT(X459,"ddd d mmm, hh:mm")&amp;" · "&amp;Y459&amp;IF(Z459&lt;&gt;""," · £"&amp;TEXT(Z459,"0.00")&amp;" per player"," · price TBC (cost £"&amp;TEXT(V459,"0.00")&amp;" pp)"))</f>
        <v/>
      </c>
      <c r="AD459" s="44" t="n"/>
    </row>
    <row r="460">
      <c r="A460" s="13" t="n">
        <v>458</v>
      </c>
      <c r="B460" s="13" t="inlineStr">
        <is>
          <t>2 · N1 Hoxton</t>
        </is>
      </c>
      <c r="C460" s="13" t="inlineStr">
        <is>
          <t>Office &amp; professional</t>
        </is>
      </c>
      <c r="D460" s="13" t="inlineStr">
        <is>
          <t>Corporate</t>
        </is>
      </c>
      <c r="E460" s="13" t="inlineStr">
        <is>
          <t>NCVO</t>
        </is>
      </c>
      <c r="F460" s="13" t="inlineStr">
        <is>
          <t>charity</t>
        </is>
      </c>
      <c r="G460" s="13" t="inlineStr">
        <is>
          <t>hello@ncvo.org.uk</t>
        </is>
      </c>
      <c r="H460" s="13" t="inlineStr">
        <is>
          <t>general</t>
        </is>
      </c>
      <c r="I460" s="13" t="inlineStr">
        <is>
          <t>+44 20 7520 2590</t>
        </is>
      </c>
      <c r="J460" s="14" t="inlineStr">
        <is>
          <t>https://www.ncvo.org.uk/</t>
        </is>
      </c>
      <c r="K460" s="13" t="inlineStr">
        <is>
          <t>8 All Saints Street, London</t>
        </is>
      </c>
      <c r="L460" s="13" t="inlineStr">
        <is>
          <t>N1 9RL</t>
        </is>
      </c>
      <c r="M460" s="13" t="inlineStr">
        <is>
          <t>Market Road</t>
        </is>
      </c>
      <c r="N460" s="13" t="n">
        <v>20</v>
      </c>
      <c r="O460" s="15">
        <f>IFERROR(INDEX(Venues!$C$2:$C$10,MATCH(M460,Venues!$A$2:$A$10,0)),"Not checked")</f>
        <v/>
      </c>
      <c r="P460" s="15">
        <f>IFERROR(INDEX(Venues!$D$2:$D$10,MATCH(M460,Venues!$A$2:$A$10,0)),0)</f>
        <v/>
      </c>
      <c r="Q460" s="42">
        <f>IFERROR(INDEX(Venues!$E$2:$E$10,MATCH(M460,Venues!$A$2:$A$10,0)),"")</f>
        <v/>
      </c>
      <c r="R460" s="15">
        <f>IF(P460&gt;0,"Yes","No")</f>
        <v/>
      </c>
      <c r="S460" s="13" t="inlineStr">
        <is>
          <t>Market Road</t>
        </is>
      </c>
      <c r="T460" s="42">
        <f>IFERROR(INDEX(Venues!$E$2:$E$10,MATCH(S460,Venues!$A$2:$A$10,0)),"")</f>
        <v/>
      </c>
      <c r="U460" s="15">
        <f>IFERROR(INDEX(Venues!$F$2:$F$10,MATCH(S460,Venues!$A$2:$A$10,0)),"")</f>
        <v/>
      </c>
      <c r="V460" s="43">
        <f>IFERROR(INDEX(Venues!$H$2:$H$10,MATCH(S460,Venues!$A$2:$A$10,0)),"")</f>
        <v/>
      </c>
      <c r="W460" s="15">
        <f>IF('Pilot offer'!$C$24="Yes",'Pilot offer'!$C$3,S460)</f>
        <v/>
      </c>
      <c r="X460" s="42">
        <f>IF('Pilot offer'!$C$24="Yes",'Pilot offer'!$C$5+'Pilot offer'!$C$6,T460)</f>
        <v/>
      </c>
      <c r="Y460" s="15">
        <f>IF('Pilot offer'!$C$24="Yes",'Pilot offer'!$C$8,U460)</f>
        <v/>
      </c>
      <c r="Z460" s="43">
        <f>IF('Pilot offer'!$C$24="Yes",'Pilot offer'!$C$11,"")</f>
        <v/>
      </c>
      <c r="AA460" s="15">
        <f>IF(X460="","",W460&amp;" · "&amp;TEXT(X460,"ddd d mmm, hh:mm")&amp;" · "&amp;Y460&amp;IF(Z460&lt;&gt;""," · £"&amp;TEXT(Z460,"0.00")&amp;" per player"," · price TBC (cost £"&amp;TEXT(V460,"0.00")&amp;" pp)"))</f>
        <v/>
      </c>
      <c r="AD460" s="44" t="n"/>
    </row>
    <row r="461">
      <c r="A461" s="13" t="n">
        <v>459</v>
      </c>
      <c r="B461" s="13" t="inlineStr">
        <is>
          <t>2 · N1 Hoxton</t>
        </is>
      </c>
      <c r="C461" s="13" t="inlineStr">
        <is>
          <t>Office &amp; professional</t>
        </is>
      </c>
      <c r="D461" s="13" t="inlineStr">
        <is>
          <t>Corporate</t>
        </is>
      </c>
      <c r="E461" s="13" t="inlineStr">
        <is>
          <t>cinch Cars Ltd.</t>
        </is>
      </c>
      <c r="F461" s="13" t="inlineStr">
        <is>
          <t>corporate_office</t>
        </is>
      </c>
      <c r="G461" s="13" t="inlineStr">
        <is>
          <t>hello@cinch.co.uk</t>
        </is>
      </c>
      <c r="H461" s="13" t="inlineStr">
        <is>
          <t>general</t>
        </is>
      </c>
      <c r="I461" s="13" t="inlineStr">
        <is>
          <t>+44 333 015 4101</t>
        </is>
      </c>
      <c r="J461" s="14" t="inlineStr">
        <is>
          <t>https://www.cinch.co.uk/</t>
        </is>
      </c>
      <c r="K461" s="13" t="inlineStr">
        <is>
          <t>Constellation House, 20 New Wharf Rd, London N1 9RR, UK</t>
        </is>
      </c>
      <c r="L461" s="13" t="inlineStr">
        <is>
          <t>N1 9RR</t>
        </is>
      </c>
      <c r="M461" s="13" t="inlineStr">
        <is>
          <t>Market Road</t>
        </is>
      </c>
      <c r="N461" s="13" t="n">
        <v>20</v>
      </c>
      <c r="O461" s="15">
        <f>IFERROR(INDEX(Venues!$C$2:$C$10,MATCH(M461,Venues!$A$2:$A$10,0)),"Not checked")</f>
        <v/>
      </c>
      <c r="P461" s="15">
        <f>IFERROR(INDEX(Venues!$D$2:$D$10,MATCH(M461,Venues!$A$2:$A$10,0)),0)</f>
        <v/>
      </c>
      <c r="Q461" s="42">
        <f>IFERROR(INDEX(Venues!$E$2:$E$10,MATCH(M461,Venues!$A$2:$A$10,0)),"")</f>
        <v/>
      </c>
      <c r="R461" s="15">
        <f>IF(P461&gt;0,"Yes","No")</f>
        <v/>
      </c>
      <c r="S461" s="13" t="inlineStr">
        <is>
          <t>Market Road</t>
        </is>
      </c>
      <c r="T461" s="42">
        <f>IFERROR(INDEX(Venues!$E$2:$E$10,MATCH(S461,Venues!$A$2:$A$10,0)),"")</f>
        <v/>
      </c>
      <c r="U461" s="15">
        <f>IFERROR(INDEX(Venues!$F$2:$F$10,MATCH(S461,Venues!$A$2:$A$10,0)),"")</f>
        <v/>
      </c>
      <c r="V461" s="43">
        <f>IFERROR(INDEX(Venues!$H$2:$H$10,MATCH(S461,Venues!$A$2:$A$10,0)),"")</f>
        <v/>
      </c>
      <c r="W461" s="15">
        <f>IF('Pilot offer'!$C$24="Yes",'Pilot offer'!$C$3,S461)</f>
        <v/>
      </c>
      <c r="X461" s="42">
        <f>IF('Pilot offer'!$C$24="Yes",'Pilot offer'!$C$5+'Pilot offer'!$C$6,T461)</f>
        <v/>
      </c>
      <c r="Y461" s="15">
        <f>IF('Pilot offer'!$C$24="Yes",'Pilot offer'!$C$8,U461)</f>
        <v/>
      </c>
      <c r="Z461" s="43">
        <f>IF('Pilot offer'!$C$24="Yes",'Pilot offer'!$C$11,"")</f>
        <v/>
      </c>
      <c r="AA461" s="15">
        <f>IF(X461="","",W461&amp;" · "&amp;TEXT(X461,"ddd d mmm, hh:mm")&amp;" · "&amp;Y461&amp;IF(Z461&lt;&gt;""," · £"&amp;TEXT(Z461,"0.00")&amp;" per player"," · price TBC (cost £"&amp;TEXT(V461,"0.00")&amp;" pp)"))</f>
        <v/>
      </c>
      <c r="AD461" s="44" t="n"/>
    </row>
    <row r="462">
      <c r="A462" s="13" t="n">
        <v>460</v>
      </c>
      <c r="B462" s="13" t="inlineStr">
        <is>
          <t>2 · N1 Hoxton</t>
        </is>
      </c>
      <c r="C462" s="13" t="inlineStr">
        <is>
          <t>Leisure &amp; culture</t>
        </is>
      </c>
      <c r="D462" s="13" t="inlineStr">
        <is>
          <t>Local businesses</t>
        </is>
      </c>
      <c r="E462" s="13" t="inlineStr">
        <is>
          <t>London Canal Museum</t>
        </is>
      </c>
      <c r="F462" s="13" t="inlineStr">
        <is>
          <t>tourism: museum</t>
        </is>
      </c>
      <c r="G462" s="13" t="inlineStr">
        <is>
          <t>info@canalmuseum.org.uk</t>
        </is>
      </c>
      <c r="H462" s="13" t="inlineStr">
        <is>
          <t>general</t>
        </is>
      </c>
      <c r="I462" s="13" t="inlineStr">
        <is>
          <t>+44 20 7713 0836</t>
        </is>
      </c>
      <c r="J462" s="14" t="inlineStr">
        <is>
          <t>https://canalmuseum.org.uk/</t>
        </is>
      </c>
      <c r="K462" s="13" t="inlineStr">
        <is>
          <t>New Wharf Road 12-13, London</t>
        </is>
      </c>
      <c r="L462" s="13" t="inlineStr">
        <is>
          <t>N1 9RT</t>
        </is>
      </c>
      <c r="M462" s="13" t="inlineStr">
        <is>
          <t>Market Road</t>
        </is>
      </c>
      <c r="N462" s="13" t="n">
        <v>20</v>
      </c>
      <c r="O462" s="15">
        <f>IFERROR(INDEX(Venues!$C$2:$C$10,MATCH(M462,Venues!$A$2:$A$10,0)),"Not checked")</f>
        <v/>
      </c>
      <c r="P462" s="15">
        <f>IFERROR(INDEX(Venues!$D$2:$D$10,MATCH(M462,Venues!$A$2:$A$10,0)),0)</f>
        <v/>
      </c>
      <c r="Q462" s="42">
        <f>IFERROR(INDEX(Venues!$E$2:$E$10,MATCH(M462,Venues!$A$2:$A$10,0)),"")</f>
        <v/>
      </c>
      <c r="R462" s="15">
        <f>IF(P462&gt;0,"Yes","No")</f>
        <v/>
      </c>
      <c r="S462" s="13" t="inlineStr">
        <is>
          <t>Market Road</t>
        </is>
      </c>
      <c r="T462" s="42">
        <f>IFERROR(INDEX(Venues!$E$2:$E$10,MATCH(S462,Venues!$A$2:$A$10,0)),"")</f>
        <v/>
      </c>
      <c r="U462" s="15">
        <f>IFERROR(INDEX(Venues!$F$2:$F$10,MATCH(S462,Venues!$A$2:$A$10,0)),"")</f>
        <v/>
      </c>
      <c r="V462" s="43">
        <f>IFERROR(INDEX(Venues!$H$2:$H$10,MATCH(S462,Venues!$A$2:$A$10,0)),"")</f>
        <v/>
      </c>
      <c r="W462" s="15">
        <f>IF('Pilot offer'!$C$24="Yes",'Pilot offer'!$C$3,S462)</f>
        <v/>
      </c>
      <c r="X462" s="42">
        <f>IF('Pilot offer'!$C$24="Yes",'Pilot offer'!$C$5+'Pilot offer'!$C$6,T462)</f>
        <v/>
      </c>
      <c r="Y462" s="15">
        <f>IF('Pilot offer'!$C$24="Yes",'Pilot offer'!$C$8,U462)</f>
        <v/>
      </c>
      <c r="Z462" s="43">
        <f>IF('Pilot offer'!$C$24="Yes",'Pilot offer'!$C$11,"")</f>
        <v/>
      </c>
      <c r="AA462" s="15">
        <f>IF(X462="","",W462&amp;" · "&amp;TEXT(X462,"ddd d mmm, hh:mm")&amp;" · "&amp;Y462&amp;IF(Z462&lt;&gt;""," · £"&amp;TEXT(Z462,"0.00")&amp;" per player"," · price TBC (cost £"&amp;TEXT(V462,"0.00")&amp;" pp)"))</f>
        <v/>
      </c>
      <c r="AD462" s="44" t="n"/>
    </row>
    <row r="463">
      <c r="A463" s="13" t="n">
        <v>461</v>
      </c>
      <c r="B463" s="13" t="inlineStr">
        <is>
          <t>3 · E1 Whitechapel</t>
        </is>
      </c>
      <c r="C463" s="13" t="inlineStr">
        <is>
          <t>Office &amp; professional</t>
        </is>
      </c>
      <c r="D463" s="13" t="inlineStr">
        <is>
          <t>Corporate</t>
        </is>
      </c>
      <c r="E463" s="13" t="inlineStr">
        <is>
          <t>City Realtor</t>
        </is>
      </c>
      <c r="F463" s="13" t="inlineStr">
        <is>
          <t>estate_agent</t>
        </is>
      </c>
      <c r="G463" s="13" t="inlineStr">
        <is>
          <t>sales@cityrealtor.co.uk</t>
        </is>
      </c>
      <c r="H463" s="13" t="inlineStr">
        <is>
          <t>commercial</t>
        </is>
      </c>
      <c r="I463" s="13" t="inlineStr">
        <is>
          <t>+44 20 7790 7702</t>
        </is>
      </c>
      <c r="J463" s="14" t="inlineStr">
        <is>
          <t>https://www.cityrealtor.co.uk/</t>
        </is>
      </c>
      <c r="K463" s="13" t="inlineStr">
        <is>
          <t>52 Cannon Street Road, London</t>
        </is>
      </c>
      <c r="L463" s="13" t="inlineStr">
        <is>
          <t>E1 0BH</t>
        </is>
      </c>
      <c r="M463" s="13" t="inlineStr">
        <is>
          <t>Whitechapel</t>
        </is>
      </c>
      <c r="N463" s="13" t="n">
        <v>6</v>
      </c>
      <c r="O463" s="15">
        <f>IFERROR(INDEX(Venues!$C$2:$C$10,MATCH(M463,Venues!$A$2:$A$10,0)),"Not checked")</f>
        <v/>
      </c>
      <c r="P463" s="15">
        <f>IFERROR(INDEX(Venues!$D$2:$D$10,MATCH(M463,Venues!$A$2:$A$10,0)),0)</f>
        <v/>
      </c>
      <c r="Q463" s="42">
        <f>IFERROR(INDEX(Venues!$E$2:$E$10,MATCH(M463,Venues!$A$2:$A$10,0)),"")</f>
        <v/>
      </c>
      <c r="R463" s="15">
        <f>IF(P463&gt;0,"Yes","No")</f>
        <v/>
      </c>
      <c r="S463" s="13" t="inlineStr">
        <is>
          <t>COLA Shoreditch Park</t>
        </is>
      </c>
      <c r="T463" s="42">
        <f>IFERROR(INDEX(Venues!$E$2:$E$10,MATCH(S463,Venues!$A$2:$A$10,0)),"")</f>
        <v/>
      </c>
      <c r="U463" s="15">
        <f>IFERROR(INDEX(Venues!$F$2:$F$10,MATCH(S463,Venues!$A$2:$A$10,0)),"")</f>
        <v/>
      </c>
      <c r="V463" s="43">
        <f>IFERROR(INDEX(Venues!$H$2:$H$10,MATCH(S463,Venues!$A$2:$A$10,0)),"")</f>
        <v/>
      </c>
      <c r="W463" s="15">
        <f>IF('Pilot offer'!$C$24="Yes",'Pilot offer'!$C$3,S463)</f>
        <v/>
      </c>
      <c r="X463" s="42">
        <f>IF('Pilot offer'!$C$24="Yes",'Pilot offer'!$C$5+'Pilot offer'!$C$6,T463)</f>
        <v/>
      </c>
      <c r="Y463" s="15">
        <f>IF('Pilot offer'!$C$24="Yes",'Pilot offer'!$C$8,U463)</f>
        <v/>
      </c>
      <c r="Z463" s="43">
        <f>IF('Pilot offer'!$C$24="Yes",'Pilot offer'!$C$11,"")</f>
        <v/>
      </c>
      <c r="AA463" s="15">
        <f>IF(X463="","",W463&amp;" · "&amp;TEXT(X463,"ddd d mmm, hh:mm")&amp;" · "&amp;Y463&amp;IF(Z463&lt;&gt;""," · £"&amp;TEXT(Z463,"0.00")&amp;" per player"," · price TBC (cost £"&amp;TEXT(V463,"0.00")&amp;" pp)"))</f>
        <v/>
      </c>
      <c r="AD463" s="44" t="n"/>
    </row>
    <row r="464">
      <c r="A464" s="13" t="n">
        <v>462</v>
      </c>
      <c r="B464" s="13" t="inlineStr">
        <is>
          <t>3 · E1 Whitechapel</t>
        </is>
      </c>
      <c r="C464" s="13" t="inlineStr">
        <is>
          <t>Hospitality</t>
        </is>
      </c>
      <c r="D464" s="13" t="inlineStr">
        <is>
          <t>Local businesses</t>
        </is>
      </c>
      <c r="E464" s="13" t="inlineStr">
        <is>
          <t>Cable Street Inn</t>
        </is>
      </c>
      <c r="F464" s="13" t="inlineStr">
        <is>
          <t>tourism: guest house</t>
        </is>
      </c>
      <c r="G464" s="13" t="inlineStr">
        <is>
          <t>info@cablestreetinn.co.uk</t>
        </is>
      </c>
      <c r="H464" s="13" t="inlineStr">
        <is>
          <t>openstreetmap_tag</t>
        </is>
      </c>
      <c r="I464" s="13" t="inlineStr">
        <is>
          <t>+44 20 7790 4019</t>
        </is>
      </c>
      <c r="J464" s="14" t="inlineStr">
        <is>
          <t>https://www.cablestreetinn.co.uk/</t>
        </is>
      </c>
      <c r="K464" s="13" t="inlineStr">
        <is>
          <t>Cable Street 232, London</t>
        </is>
      </c>
      <c r="L464" s="13" t="inlineStr">
        <is>
          <t>E1 0BL</t>
        </is>
      </c>
      <c r="M464" s="13" t="inlineStr">
        <is>
          <t>Whitechapel</t>
        </is>
      </c>
      <c r="N464" s="13" t="n">
        <v>6</v>
      </c>
      <c r="O464" s="15">
        <f>IFERROR(INDEX(Venues!$C$2:$C$10,MATCH(M464,Venues!$A$2:$A$10,0)),"Not checked")</f>
        <v/>
      </c>
      <c r="P464" s="15">
        <f>IFERROR(INDEX(Venues!$D$2:$D$10,MATCH(M464,Venues!$A$2:$A$10,0)),0)</f>
        <v/>
      </c>
      <c r="Q464" s="42">
        <f>IFERROR(INDEX(Venues!$E$2:$E$10,MATCH(M464,Venues!$A$2:$A$10,0)),"")</f>
        <v/>
      </c>
      <c r="R464" s="15">
        <f>IF(P464&gt;0,"Yes","No")</f>
        <v/>
      </c>
      <c r="S464" s="13" t="inlineStr">
        <is>
          <t>COLA Shoreditch Park</t>
        </is>
      </c>
      <c r="T464" s="42">
        <f>IFERROR(INDEX(Venues!$E$2:$E$10,MATCH(S464,Venues!$A$2:$A$10,0)),"")</f>
        <v/>
      </c>
      <c r="U464" s="15">
        <f>IFERROR(INDEX(Venues!$F$2:$F$10,MATCH(S464,Venues!$A$2:$A$10,0)),"")</f>
        <v/>
      </c>
      <c r="V464" s="43">
        <f>IFERROR(INDEX(Venues!$H$2:$H$10,MATCH(S464,Venues!$A$2:$A$10,0)),"")</f>
        <v/>
      </c>
      <c r="W464" s="15">
        <f>IF('Pilot offer'!$C$24="Yes",'Pilot offer'!$C$3,S464)</f>
        <v/>
      </c>
      <c r="X464" s="42">
        <f>IF('Pilot offer'!$C$24="Yes",'Pilot offer'!$C$5+'Pilot offer'!$C$6,T464)</f>
        <v/>
      </c>
      <c r="Y464" s="15">
        <f>IF('Pilot offer'!$C$24="Yes",'Pilot offer'!$C$8,U464)</f>
        <v/>
      </c>
      <c r="Z464" s="43">
        <f>IF('Pilot offer'!$C$24="Yes",'Pilot offer'!$C$11,"")</f>
        <v/>
      </c>
      <c r="AA464" s="15">
        <f>IF(X464="","",W464&amp;" · "&amp;TEXT(X464,"ddd d mmm, hh:mm")&amp;" · "&amp;Y464&amp;IF(Z464&lt;&gt;""," · £"&amp;TEXT(Z464,"0.00")&amp;" per player"," · price TBC (cost £"&amp;TEXT(V464,"0.00")&amp;" pp)"))</f>
        <v/>
      </c>
      <c r="AD464" s="44" t="n"/>
    </row>
    <row r="465">
      <c r="A465" s="13" t="n">
        <v>463</v>
      </c>
      <c r="B465" s="13" t="inlineStr">
        <is>
          <t>3 · E1 Whitechapel</t>
        </is>
      </c>
      <c r="C465" s="13" t="inlineStr">
        <is>
          <t>Hospitality</t>
        </is>
      </c>
      <c r="D465" s="13" t="inlineStr">
        <is>
          <t>Local businesses</t>
        </is>
      </c>
      <c r="E465" s="13" t="inlineStr">
        <is>
          <t>Troxy</t>
        </is>
      </c>
      <c r="F465" s="13" t="inlineStr">
        <is>
          <t>amenity: nightclub</t>
        </is>
      </c>
      <c r="G465" s="13" t="inlineStr">
        <is>
          <t>hello@troxy.co.uk</t>
        </is>
      </c>
      <c r="H465" s="13" t="inlineStr">
        <is>
          <t>general</t>
        </is>
      </c>
      <c r="I465" s="13" t="inlineStr">
        <is>
          <t>+44 20 7790 9000</t>
        </is>
      </c>
      <c r="J465" s="14" t="inlineStr">
        <is>
          <t>https://troxy.co.uk/</t>
        </is>
      </c>
      <c r="K465" s="13" t="inlineStr">
        <is>
          <t>Commercial Road 490, London</t>
        </is>
      </c>
      <c r="L465" s="13" t="inlineStr">
        <is>
          <t>E1 0HX</t>
        </is>
      </c>
      <c r="M465" s="13" t="inlineStr">
        <is>
          <t>Stepney 3G</t>
        </is>
      </c>
      <c r="N465" s="13" t="n">
        <v>20</v>
      </c>
      <c r="O465" s="15">
        <f>IFERROR(INDEX(Venues!$C$2:$C$10,MATCH(M465,Venues!$A$2:$A$10,0)),"Not checked")</f>
        <v/>
      </c>
      <c r="P465" s="15">
        <f>IFERROR(INDEX(Venues!$D$2:$D$10,MATCH(M465,Venues!$A$2:$A$10,0)),0)</f>
        <v/>
      </c>
      <c r="Q465" s="42">
        <f>IFERROR(INDEX(Venues!$E$2:$E$10,MATCH(M465,Venues!$A$2:$A$10,0)),"")</f>
        <v/>
      </c>
      <c r="R465" s="15">
        <f>IF(P465&gt;0,"Yes","No")</f>
        <v/>
      </c>
      <c r="S465" s="13" t="inlineStr">
        <is>
          <t>COLA Shoreditch Park</t>
        </is>
      </c>
      <c r="T465" s="42">
        <f>IFERROR(INDEX(Venues!$E$2:$E$10,MATCH(S465,Venues!$A$2:$A$10,0)),"")</f>
        <v/>
      </c>
      <c r="U465" s="15">
        <f>IFERROR(INDEX(Venues!$F$2:$F$10,MATCH(S465,Venues!$A$2:$A$10,0)),"")</f>
        <v/>
      </c>
      <c r="V465" s="43">
        <f>IFERROR(INDEX(Venues!$H$2:$H$10,MATCH(S465,Venues!$A$2:$A$10,0)),"")</f>
        <v/>
      </c>
      <c r="W465" s="15">
        <f>IF('Pilot offer'!$C$24="Yes",'Pilot offer'!$C$3,S465)</f>
        <v/>
      </c>
      <c r="X465" s="42">
        <f>IF('Pilot offer'!$C$24="Yes",'Pilot offer'!$C$5+'Pilot offer'!$C$6,T465)</f>
        <v/>
      </c>
      <c r="Y465" s="15">
        <f>IF('Pilot offer'!$C$24="Yes",'Pilot offer'!$C$8,U465)</f>
        <v/>
      </c>
      <c r="Z465" s="43">
        <f>IF('Pilot offer'!$C$24="Yes",'Pilot offer'!$C$11,"")</f>
        <v/>
      </c>
      <c r="AA465" s="15">
        <f>IF(X465="","",W465&amp;" · "&amp;TEXT(X465,"ddd d mmm, hh:mm")&amp;" · "&amp;Y465&amp;IF(Z465&lt;&gt;""," · £"&amp;TEXT(Z465,"0.00")&amp;" per player"," · price TBC (cost £"&amp;TEXT(V465,"0.00")&amp;" pp)"))</f>
        <v/>
      </c>
      <c r="AD465" s="44" t="n"/>
    </row>
    <row r="466">
      <c r="A466" s="13" t="n">
        <v>464</v>
      </c>
      <c r="B466" s="13" t="inlineStr">
        <is>
          <t>3 · E1 Whitechapel</t>
        </is>
      </c>
      <c r="C466" s="13" t="inlineStr">
        <is>
          <t>Office &amp; professional</t>
        </is>
      </c>
      <c r="D466" s="13" t="inlineStr">
        <is>
          <t>Corporate</t>
        </is>
      </c>
      <c r="E466" s="13" t="inlineStr">
        <is>
          <t>HSR Solicitors</t>
        </is>
      </c>
      <c r="F466" s="13" t="inlineStr">
        <is>
          <t>lawyer</t>
        </is>
      </c>
      <c r="G466" s="13" t="inlineStr">
        <is>
          <t>info@hsrsolicitors.com</t>
        </is>
      </c>
      <c r="H466" s="13" t="inlineStr">
        <is>
          <t>general</t>
        </is>
      </c>
      <c r="I466" s="13" t="inlineStr">
        <is>
          <t>+44 20 7791 1111</t>
        </is>
      </c>
      <c r="J466" s="14" t="inlineStr">
        <is>
          <t>http://www.hsrsolicitors.com/</t>
        </is>
      </c>
      <c r="K466" s="13" t="inlineStr">
        <is>
          <t>526 Commercial Rd, London E1 0HY, UK</t>
        </is>
      </c>
      <c r="L466" s="13" t="inlineStr">
        <is>
          <t>E1 0HY</t>
        </is>
      </c>
      <c r="M466" s="13" t="inlineStr">
        <is>
          <t>Whitechapel</t>
        </is>
      </c>
      <c r="N466" s="13" t="n">
        <v>18</v>
      </c>
      <c r="O466" s="15">
        <f>IFERROR(INDEX(Venues!$C$2:$C$10,MATCH(M466,Venues!$A$2:$A$10,0)),"Not checked")</f>
        <v/>
      </c>
      <c r="P466" s="15">
        <f>IFERROR(INDEX(Venues!$D$2:$D$10,MATCH(M466,Venues!$A$2:$A$10,0)),0)</f>
        <v/>
      </c>
      <c r="Q466" s="42">
        <f>IFERROR(INDEX(Venues!$E$2:$E$10,MATCH(M466,Venues!$A$2:$A$10,0)),"")</f>
        <v/>
      </c>
      <c r="R466" s="15">
        <f>IF(P466&gt;0,"Yes","No")</f>
        <v/>
      </c>
      <c r="S466" s="13" t="inlineStr">
        <is>
          <t>COLA Shoreditch Park</t>
        </is>
      </c>
      <c r="T466" s="42">
        <f>IFERROR(INDEX(Venues!$E$2:$E$10,MATCH(S466,Venues!$A$2:$A$10,0)),"")</f>
        <v/>
      </c>
      <c r="U466" s="15">
        <f>IFERROR(INDEX(Venues!$F$2:$F$10,MATCH(S466,Venues!$A$2:$A$10,0)),"")</f>
        <v/>
      </c>
      <c r="V466" s="43">
        <f>IFERROR(INDEX(Venues!$H$2:$H$10,MATCH(S466,Venues!$A$2:$A$10,0)),"")</f>
        <v/>
      </c>
      <c r="W466" s="15">
        <f>IF('Pilot offer'!$C$24="Yes",'Pilot offer'!$C$3,S466)</f>
        <v/>
      </c>
      <c r="X466" s="42">
        <f>IF('Pilot offer'!$C$24="Yes",'Pilot offer'!$C$5+'Pilot offer'!$C$6,T466)</f>
        <v/>
      </c>
      <c r="Y466" s="15">
        <f>IF('Pilot offer'!$C$24="Yes",'Pilot offer'!$C$8,U466)</f>
        <v/>
      </c>
      <c r="Z466" s="43">
        <f>IF('Pilot offer'!$C$24="Yes",'Pilot offer'!$C$11,"")</f>
        <v/>
      </c>
      <c r="AA466" s="15">
        <f>IF(X466="","",W466&amp;" · "&amp;TEXT(X466,"ddd d mmm, hh:mm")&amp;" · "&amp;Y466&amp;IF(Z466&lt;&gt;""," · £"&amp;TEXT(Z466,"0.00")&amp;" per player"," · price TBC (cost £"&amp;TEXT(V466,"0.00")&amp;" pp)"))</f>
        <v/>
      </c>
      <c r="AD466" s="44" t="n"/>
    </row>
    <row r="467">
      <c r="A467" s="13" t="n">
        <v>465</v>
      </c>
      <c r="B467" s="13" t="inlineStr">
        <is>
          <t>3 · E1 Whitechapel</t>
        </is>
      </c>
      <c r="C467" s="13" t="inlineStr">
        <is>
          <t>Office &amp; professional</t>
        </is>
      </c>
      <c r="D467" s="13" t="inlineStr">
        <is>
          <t>Corporate</t>
        </is>
      </c>
      <c r="E467" s="13" t="inlineStr">
        <is>
          <t>IBW Solicitors</t>
        </is>
      </c>
      <c r="F467" s="13" t="inlineStr">
        <is>
          <t>lawyer</t>
        </is>
      </c>
      <c r="G467" s="13" t="inlineStr">
        <is>
          <t>info@ibwsolicitors.co.uk</t>
        </is>
      </c>
      <c r="H467" s="13" t="inlineStr">
        <is>
          <t>general</t>
        </is>
      </c>
      <c r="I467" s="13" t="inlineStr">
        <is>
          <t>+44 20 3500 4594</t>
        </is>
      </c>
      <c r="J467" s="14" t="inlineStr">
        <is>
          <t>http://www.ibwsolicitors.co.uk/</t>
        </is>
      </c>
      <c r="K467" s="13" t="inlineStr">
        <is>
          <t>51 Caroline St, London E1 0JG, UK</t>
        </is>
      </c>
      <c r="L467" s="13" t="inlineStr">
        <is>
          <t>E1 0JG</t>
        </is>
      </c>
      <c r="M467" s="13" t="inlineStr">
        <is>
          <t>Whitechapel</t>
        </is>
      </c>
      <c r="N467" s="13" t="n">
        <v>18</v>
      </c>
      <c r="O467" s="15">
        <f>IFERROR(INDEX(Venues!$C$2:$C$10,MATCH(M467,Venues!$A$2:$A$10,0)),"Not checked")</f>
        <v/>
      </c>
      <c r="P467" s="15">
        <f>IFERROR(INDEX(Venues!$D$2:$D$10,MATCH(M467,Venues!$A$2:$A$10,0)),0)</f>
        <v/>
      </c>
      <c r="Q467" s="42">
        <f>IFERROR(INDEX(Venues!$E$2:$E$10,MATCH(M467,Venues!$A$2:$A$10,0)),"")</f>
        <v/>
      </c>
      <c r="R467" s="15">
        <f>IF(P467&gt;0,"Yes","No")</f>
        <v/>
      </c>
      <c r="S467" s="13" t="inlineStr">
        <is>
          <t>COLA Shoreditch Park</t>
        </is>
      </c>
      <c r="T467" s="42">
        <f>IFERROR(INDEX(Venues!$E$2:$E$10,MATCH(S467,Venues!$A$2:$A$10,0)),"")</f>
        <v/>
      </c>
      <c r="U467" s="15">
        <f>IFERROR(INDEX(Venues!$F$2:$F$10,MATCH(S467,Venues!$A$2:$A$10,0)),"")</f>
        <v/>
      </c>
      <c r="V467" s="43">
        <f>IFERROR(INDEX(Venues!$H$2:$H$10,MATCH(S467,Venues!$A$2:$A$10,0)),"")</f>
        <v/>
      </c>
      <c r="W467" s="15">
        <f>IF('Pilot offer'!$C$24="Yes",'Pilot offer'!$C$3,S467)</f>
        <v/>
      </c>
      <c r="X467" s="42">
        <f>IF('Pilot offer'!$C$24="Yes",'Pilot offer'!$C$5+'Pilot offer'!$C$6,T467)</f>
        <v/>
      </c>
      <c r="Y467" s="15">
        <f>IF('Pilot offer'!$C$24="Yes",'Pilot offer'!$C$8,U467)</f>
        <v/>
      </c>
      <c r="Z467" s="43">
        <f>IF('Pilot offer'!$C$24="Yes",'Pilot offer'!$C$11,"")</f>
        <v/>
      </c>
      <c r="AA467" s="15">
        <f>IF(X467="","",W467&amp;" · "&amp;TEXT(X467,"ddd d mmm, hh:mm")&amp;" · "&amp;Y467&amp;IF(Z467&lt;&gt;""," · £"&amp;TEXT(Z467,"0.00")&amp;" per player"," · price TBC (cost £"&amp;TEXT(V467,"0.00")&amp;" pp)"))</f>
        <v/>
      </c>
      <c r="AD467" s="44" t="n"/>
    </row>
    <row r="468">
      <c r="A468" s="13" t="n">
        <v>466</v>
      </c>
      <c r="B468" s="13" t="inlineStr">
        <is>
          <t>3 · E1 Whitechapel</t>
        </is>
      </c>
      <c r="C468" s="13" t="inlineStr">
        <is>
          <t>Hospitality</t>
        </is>
      </c>
      <c r="D468" s="13" t="inlineStr">
        <is>
          <t>Local businesses</t>
        </is>
      </c>
      <c r="E468" s="13" t="inlineStr">
        <is>
          <t>The George Tavern</t>
        </is>
      </c>
      <c r="F468" s="13" t="inlineStr">
        <is>
          <t>amenity: pub</t>
        </is>
      </c>
      <c r="G468" s="13" t="inlineStr">
        <is>
          <t>georgetavernbookings@gmail.com</t>
        </is>
      </c>
      <c r="H468" s="13" t="inlineStr">
        <is>
          <t>freemail</t>
        </is>
      </c>
      <c r="I468" s="13" t="inlineStr">
        <is>
          <t>+44 20 7790 7335</t>
        </is>
      </c>
      <c r="J468" s="14" t="inlineStr">
        <is>
          <t>https://thegeorgetavern.london/</t>
        </is>
      </c>
      <c r="K468" s="13" t="inlineStr">
        <is>
          <t>Commercial Road 373, London</t>
        </is>
      </c>
      <c r="L468" s="13" t="inlineStr">
        <is>
          <t>E1 0LA</t>
        </is>
      </c>
      <c r="M468" s="13" t="inlineStr">
        <is>
          <t>Stepney 3G</t>
        </is>
      </c>
      <c r="N468" s="13" t="n">
        <v>17</v>
      </c>
      <c r="O468" s="15">
        <f>IFERROR(INDEX(Venues!$C$2:$C$10,MATCH(M468,Venues!$A$2:$A$10,0)),"Not checked")</f>
        <v/>
      </c>
      <c r="P468" s="15">
        <f>IFERROR(INDEX(Venues!$D$2:$D$10,MATCH(M468,Venues!$A$2:$A$10,0)),0)</f>
        <v/>
      </c>
      <c r="Q468" s="42">
        <f>IFERROR(INDEX(Venues!$E$2:$E$10,MATCH(M468,Venues!$A$2:$A$10,0)),"")</f>
        <v/>
      </c>
      <c r="R468" s="15">
        <f>IF(P468&gt;0,"Yes","No")</f>
        <v/>
      </c>
      <c r="S468" s="13" t="inlineStr">
        <is>
          <t>COLA Shoreditch Park</t>
        </is>
      </c>
      <c r="T468" s="42">
        <f>IFERROR(INDEX(Venues!$E$2:$E$10,MATCH(S468,Venues!$A$2:$A$10,0)),"")</f>
        <v/>
      </c>
      <c r="U468" s="15">
        <f>IFERROR(INDEX(Venues!$F$2:$F$10,MATCH(S468,Venues!$A$2:$A$10,0)),"")</f>
        <v/>
      </c>
      <c r="V468" s="43">
        <f>IFERROR(INDEX(Venues!$H$2:$H$10,MATCH(S468,Venues!$A$2:$A$10,0)),"")</f>
        <v/>
      </c>
      <c r="W468" s="15">
        <f>IF('Pilot offer'!$C$24="Yes",'Pilot offer'!$C$3,S468)</f>
        <v/>
      </c>
      <c r="X468" s="42">
        <f>IF('Pilot offer'!$C$24="Yes",'Pilot offer'!$C$5+'Pilot offer'!$C$6,T468)</f>
        <v/>
      </c>
      <c r="Y468" s="15">
        <f>IF('Pilot offer'!$C$24="Yes",'Pilot offer'!$C$8,U468)</f>
        <v/>
      </c>
      <c r="Z468" s="43">
        <f>IF('Pilot offer'!$C$24="Yes",'Pilot offer'!$C$11,"")</f>
        <v/>
      </c>
      <c r="AA468" s="15">
        <f>IF(X468="","",W468&amp;" · "&amp;TEXT(X468,"ddd d mmm, hh:mm")&amp;" · "&amp;Y468&amp;IF(Z468&lt;&gt;""," · £"&amp;TEXT(Z468,"0.00")&amp;" per player"," · price TBC (cost £"&amp;TEXT(V468,"0.00")&amp;" pp)"))</f>
        <v/>
      </c>
      <c r="AD468" s="44" t="n"/>
    </row>
    <row r="469">
      <c r="A469" s="13" t="n">
        <v>467</v>
      </c>
      <c r="B469" s="13" t="inlineStr">
        <is>
          <t>3 · E1 Whitechapel</t>
        </is>
      </c>
      <c r="C469" s="13" t="inlineStr">
        <is>
          <t>Education</t>
        </is>
      </c>
      <c r="D469" s="13" t="inlineStr">
        <is>
          <t>Local businesses</t>
        </is>
      </c>
      <c r="E469" s="13" t="inlineStr">
        <is>
          <t>Marion Richardson Primary School</t>
        </is>
      </c>
      <c r="F469" s="13" t="inlineStr">
        <is>
          <t>amenity: school</t>
        </is>
      </c>
      <c r="G469" s="13" t="inlineStr">
        <is>
          <t>admin@marionrichardson.towerhamlets.sch.uk</t>
        </is>
      </c>
      <c r="H469" s="13" t="inlineStr">
        <is>
          <t>general</t>
        </is>
      </c>
      <c r="I469" s="13" t="inlineStr">
        <is>
          <t>+44 20 7790 1441</t>
        </is>
      </c>
      <c r="J469" s="14" t="inlineStr">
        <is>
          <t>https://www.marionrichardson.towerhamlets.sch.uk/</t>
        </is>
      </c>
      <c r="K469" s="13" t="inlineStr">
        <is>
          <t>Senrab Street, London</t>
        </is>
      </c>
      <c r="L469" s="13" t="inlineStr">
        <is>
          <t>E1 0QF</t>
        </is>
      </c>
      <c r="M469" s="13" t="inlineStr">
        <is>
          <t>Stepney 3G</t>
        </is>
      </c>
      <c r="N469" s="13" t="n">
        <v>18</v>
      </c>
      <c r="O469" s="15">
        <f>IFERROR(INDEX(Venues!$C$2:$C$10,MATCH(M469,Venues!$A$2:$A$10,0)),"Not checked")</f>
        <v/>
      </c>
      <c r="P469" s="15">
        <f>IFERROR(INDEX(Venues!$D$2:$D$10,MATCH(M469,Venues!$A$2:$A$10,0)),0)</f>
        <v/>
      </c>
      <c r="Q469" s="42">
        <f>IFERROR(INDEX(Venues!$E$2:$E$10,MATCH(M469,Venues!$A$2:$A$10,0)),"")</f>
        <v/>
      </c>
      <c r="R469" s="15">
        <f>IF(P469&gt;0,"Yes","No")</f>
        <v/>
      </c>
      <c r="S469" s="13" t="inlineStr">
        <is>
          <t>COLA Shoreditch Park</t>
        </is>
      </c>
      <c r="T469" s="42">
        <f>IFERROR(INDEX(Venues!$E$2:$E$10,MATCH(S469,Venues!$A$2:$A$10,0)),"")</f>
        <v/>
      </c>
      <c r="U469" s="15">
        <f>IFERROR(INDEX(Venues!$F$2:$F$10,MATCH(S469,Venues!$A$2:$A$10,0)),"")</f>
        <v/>
      </c>
      <c r="V469" s="43">
        <f>IFERROR(INDEX(Venues!$H$2:$H$10,MATCH(S469,Venues!$A$2:$A$10,0)),"")</f>
        <v/>
      </c>
      <c r="W469" s="15">
        <f>IF('Pilot offer'!$C$24="Yes",'Pilot offer'!$C$3,S469)</f>
        <v/>
      </c>
      <c r="X469" s="42">
        <f>IF('Pilot offer'!$C$24="Yes",'Pilot offer'!$C$5+'Pilot offer'!$C$6,T469)</f>
        <v/>
      </c>
      <c r="Y469" s="15">
        <f>IF('Pilot offer'!$C$24="Yes",'Pilot offer'!$C$8,U469)</f>
        <v/>
      </c>
      <c r="Z469" s="43">
        <f>IF('Pilot offer'!$C$24="Yes",'Pilot offer'!$C$11,"")</f>
        <v/>
      </c>
      <c r="AA469" s="15">
        <f>IF(X469="","",W469&amp;" · "&amp;TEXT(X469,"ddd d mmm, hh:mm")&amp;" · "&amp;Y469&amp;IF(Z469&lt;&gt;""," · £"&amp;TEXT(Z469,"0.00")&amp;" per player"," · price TBC (cost £"&amp;TEXT(V469,"0.00")&amp;" pp)"))</f>
        <v/>
      </c>
      <c r="AD469" s="44" t="n"/>
    </row>
    <row r="470">
      <c r="A470" s="13" t="n">
        <v>468</v>
      </c>
      <c r="B470" s="13" t="inlineStr">
        <is>
          <t>3 · E1 Whitechapel</t>
        </is>
      </c>
      <c r="C470" s="13" t="inlineStr">
        <is>
          <t>Education</t>
        </is>
      </c>
      <c r="D470" s="13" t="inlineStr">
        <is>
          <t>Local businesses</t>
        </is>
      </c>
      <c r="E470" s="13" t="inlineStr">
        <is>
          <t>Stepney All Saints Church of England Secondary School</t>
        </is>
      </c>
      <c r="F470" s="13" t="inlineStr">
        <is>
          <t>amenity: school</t>
        </is>
      </c>
      <c r="G470" s="13" t="inlineStr">
        <is>
          <t>info@stepneyallsaints.school</t>
        </is>
      </c>
      <c r="H470" s="13" t="inlineStr">
        <is>
          <t>general</t>
        </is>
      </c>
      <c r="I470" s="13" t="inlineStr">
        <is>
          <t>+44 20 7790 6712</t>
        </is>
      </c>
      <c r="J470" s="14" t="inlineStr">
        <is>
          <t>https://stepneyallsaints.school/</t>
        </is>
      </c>
      <c r="K470" s="13" t="inlineStr">
        <is>
          <t>Stepney Way, London</t>
        </is>
      </c>
      <c r="L470" s="13" t="inlineStr">
        <is>
          <t>E1 0RH</t>
        </is>
      </c>
      <c r="M470" s="13" t="inlineStr">
        <is>
          <t>Stepney 3G</t>
        </is>
      </c>
      <c r="N470" s="13" t="n">
        <v>14</v>
      </c>
      <c r="O470" s="15">
        <f>IFERROR(INDEX(Venues!$C$2:$C$10,MATCH(M470,Venues!$A$2:$A$10,0)),"Not checked")</f>
        <v/>
      </c>
      <c r="P470" s="15">
        <f>IFERROR(INDEX(Venues!$D$2:$D$10,MATCH(M470,Venues!$A$2:$A$10,0)),0)</f>
        <v/>
      </c>
      <c r="Q470" s="42">
        <f>IFERROR(INDEX(Venues!$E$2:$E$10,MATCH(M470,Venues!$A$2:$A$10,0)),"")</f>
        <v/>
      </c>
      <c r="R470" s="15">
        <f>IF(P470&gt;0,"Yes","No")</f>
        <v/>
      </c>
      <c r="S470" s="13" t="inlineStr">
        <is>
          <t>COLA Shoreditch Park</t>
        </is>
      </c>
      <c r="T470" s="42">
        <f>IFERROR(INDEX(Venues!$E$2:$E$10,MATCH(S470,Venues!$A$2:$A$10,0)),"")</f>
        <v/>
      </c>
      <c r="U470" s="15">
        <f>IFERROR(INDEX(Venues!$F$2:$F$10,MATCH(S470,Venues!$A$2:$A$10,0)),"")</f>
        <v/>
      </c>
      <c r="V470" s="43">
        <f>IFERROR(INDEX(Venues!$H$2:$H$10,MATCH(S470,Venues!$A$2:$A$10,0)),"")</f>
        <v/>
      </c>
      <c r="W470" s="15">
        <f>IF('Pilot offer'!$C$24="Yes",'Pilot offer'!$C$3,S470)</f>
        <v/>
      </c>
      <c r="X470" s="42">
        <f>IF('Pilot offer'!$C$24="Yes",'Pilot offer'!$C$5+'Pilot offer'!$C$6,T470)</f>
        <v/>
      </c>
      <c r="Y470" s="15">
        <f>IF('Pilot offer'!$C$24="Yes",'Pilot offer'!$C$8,U470)</f>
        <v/>
      </c>
      <c r="Z470" s="43">
        <f>IF('Pilot offer'!$C$24="Yes",'Pilot offer'!$C$11,"")</f>
        <v/>
      </c>
      <c r="AA470" s="15">
        <f>IF(X470="","",W470&amp;" · "&amp;TEXT(X470,"ddd d mmm, hh:mm")&amp;" · "&amp;Y470&amp;IF(Z470&lt;&gt;""," · £"&amp;TEXT(Z470,"0.00")&amp;" per player"," · price TBC (cost £"&amp;TEXT(V470,"0.00")&amp;" pp)"))</f>
        <v/>
      </c>
      <c r="AD470" s="44" t="n"/>
    </row>
    <row r="471">
      <c r="A471" s="13" t="n">
        <v>469</v>
      </c>
      <c r="B471" s="13" t="inlineStr">
        <is>
          <t>3 · E1 Whitechapel</t>
        </is>
      </c>
      <c r="C471" s="13" t="inlineStr">
        <is>
          <t>Health</t>
        </is>
      </c>
      <c r="D471" s="13" t="inlineStr">
        <is>
          <t>Local businesses</t>
        </is>
      </c>
      <c r="E471" s="13" t="inlineStr">
        <is>
          <t>ADHD Clinic</t>
        </is>
      </c>
      <c r="F471" s="13" t="inlineStr">
        <is>
          <t>amenity: clinic</t>
        </is>
      </c>
      <c r="G471" s="13" t="inlineStr">
        <is>
          <t>sarah@adhd-clinic.co.uk</t>
        </is>
      </c>
      <c r="H471" s="13" t="inlineStr">
        <is>
          <t>person_or_other</t>
        </is>
      </c>
      <c r="I471" s="13" t="inlineStr">
        <is>
          <t>+44 7397 515069</t>
        </is>
      </c>
      <c r="J471" s="14" t="inlineStr">
        <is>
          <t>https://adhd-clinic.co.uk/</t>
        </is>
      </c>
      <c r="K471" s="13" t="inlineStr">
        <is>
          <t>Brayford Square 5-8, London</t>
        </is>
      </c>
      <c r="L471" s="13" t="inlineStr">
        <is>
          <t>E1 0SG</t>
        </is>
      </c>
      <c r="M471" s="13" t="inlineStr">
        <is>
          <t>Stepney 3G</t>
        </is>
      </c>
      <c r="N471" s="13" t="n">
        <v>16</v>
      </c>
      <c r="O471" s="15">
        <f>IFERROR(INDEX(Venues!$C$2:$C$10,MATCH(M471,Venues!$A$2:$A$10,0)),"Not checked")</f>
        <v/>
      </c>
      <c r="P471" s="15">
        <f>IFERROR(INDEX(Venues!$D$2:$D$10,MATCH(M471,Venues!$A$2:$A$10,0)),0)</f>
        <v/>
      </c>
      <c r="Q471" s="42">
        <f>IFERROR(INDEX(Venues!$E$2:$E$10,MATCH(M471,Venues!$A$2:$A$10,0)),"")</f>
        <v/>
      </c>
      <c r="R471" s="15">
        <f>IF(P471&gt;0,"Yes","No")</f>
        <v/>
      </c>
      <c r="S471" s="13" t="inlineStr">
        <is>
          <t>COLA Shoreditch Park</t>
        </is>
      </c>
      <c r="T471" s="42">
        <f>IFERROR(INDEX(Venues!$E$2:$E$10,MATCH(S471,Venues!$A$2:$A$10,0)),"")</f>
        <v/>
      </c>
      <c r="U471" s="15">
        <f>IFERROR(INDEX(Venues!$F$2:$F$10,MATCH(S471,Venues!$A$2:$A$10,0)),"")</f>
        <v/>
      </c>
      <c r="V471" s="43">
        <f>IFERROR(INDEX(Venues!$H$2:$H$10,MATCH(S471,Venues!$A$2:$A$10,0)),"")</f>
        <v/>
      </c>
      <c r="W471" s="15">
        <f>IF('Pilot offer'!$C$24="Yes",'Pilot offer'!$C$3,S471)</f>
        <v/>
      </c>
      <c r="X471" s="42">
        <f>IF('Pilot offer'!$C$24="Yes",'Pilot offer'!$C$5+'Pilot offer'!$C$6,T471)</f>
        <v/>
      </c>
      <c r="Y471" s="15">
        <f>IF('Pilot offer'!$C$24="Yes",'Pilot offer'!$C$8,U471)</f>
        <v/>
      </c>
      <c r="Z471" s="43">
        <f>IF('Pilot offer'!$C$24="Yes",'Pilot offer'!$C$11,"")</f>
        <v/>
      </c>
      <c r="AA471" s="15">
        <f>IF(X471="","",W471&amp;" · "&amp;TEXT(X471,"ddd d mmm, hh:mm")&amp;" · "&amp;Y471&amp;IF(Z471&lt;&gt;""," · £"&amp;TEXT(Z471,"0.00")&amp;" per player"," · price TBC (cost £"&amp;TEXT(V471,"0.00")&amp;" pp)"))</f>
        <v/>
      </c>
      <c r="AD471" s="44" t="n"/>
    </row>
    <row r="472">
      <c r="A472" s="13" t="n">
        <v>470</v>
      </c>
      <c r="B472" s="13" t="inlineStr">
        <is>
          <t>3 · E1 Whitechapel</t>
        </is>
      </c>
      <c r="C472" s="13" t="inlineStr">
        <is>
          <t>Office &amp; professional</t>
        </is>
      </c>
      <c r="D472" s="13" t="inlineStr">
        <is>
          <t>Corporate</t>
        </is>
      </c>
      <c r="E472" s="13" t="inlineStr">
        <is>
          <t>Acorn Homecover Ltd</t>
        </is>
      </c>
      <c r="F472" s="13" t="inlineStr">
        <is>
          <t>insurance_agency</t>
        </is>
      </c>
      <c r="G472" s="13" t="inlineStr">
        <is>
          <t>info@acornhomecover.co.uk</t>
        </is>
      </c>
      <c r="H472" s="13" t="inlineStr">
        <is>
          <t>general</t>
        </is>
      </c>
      <c r="I472" s="13" t="inlineStr">
        <is>
          <t>+44 29 2297 2600</t>
        </is>
      </c>
      <c r="J472" s="14" t="inlineStr">
        <is>
          <t>https://acornhomecover.co.uk/</t>
        </is>
      </c>
      <c r="K472" s="13" t="inlineStr">
        <is>
          <t>5 Brayford Sq, Stepney Green, London E1 0SG, UK</t>
        </is>
      </c>
      <c r="L472" s="13" t="inlineStr">
        <is>
          <t>E1 0SG</t>
        </is>
      </c>
      <c r="M472" s="13" t="inlineStr">
        <is>
          <t>Whitechapel</t>
        </is>
      </c>
      <c r="N472" s="13" t="n">
        <v>10</v>
      </c>
      <c r="O472" s="15">
        <f>IFERROR(INDEX(Venues!$C$2:$C$10,MATCH(M472,Venues!$A$2:$A$10,0)),"Not checked")</f>
        <v/>
      </c>
      <c r="P472" s="15">
        <f>IFERROR(INDEX(Venues!$D$2:$D$10,MATCH(M472,Venues!$A$2:$A$10,0)),0)</f>
        <v/>
      </c>
      <c r="Q472" s="42">
        <f>IFERROR(INDEX(Venues!$E$2:$E$10,MATCH(M472,Venues!$A$2:$A$10,0)),"")</f>
        <v/>
      </c>
      <c r="R472" s="15">
        <f>IF(P472&gt;0,"Yes","No")</f>
        <v/>
      </c>
      <c r="S472" s="13" t="inlineStr">
        <is>
          <t>COLA Shoreditch Park</t>
        </is>
      </c>
      <c r="T472" s="42">
        <f>IFERROR(INDEX(Venues!$E$2:$E$10,MATCH(S472,Venues!$A$2:$A$10,0)),"")</f>
        <v/>
      </c>
      <c r="U472" s="15">
        <f>IFERROR(INDEX(Venues!$F$2:$F$10,MATCH(S472,Venues!$A$2:$A$10,0)),"")</f>
        <v/>
      </c>
      <c r="V472" s="43">
        <f>IFERROR(INDEX(Venues!$H$2:$H$10,MATCH(S472,Venues!$A$2:$A$10,0)),"")</f>
        <v/>
      </c>
      <c r="W472" s="15">
        <f>IF('Pilot offer'!$C$24="Yes",'Pilot offer'!$C$3,S472)</f>
        <v/>
      </c>
      <c r="X472" s="42">
        <f>IF('Pilot offer'!$C$24="Yes",'Pilot offer'!$C$5+'Pilot offer'!$C$6,T472)</f>
        <v/>
      </c>
      <c r="Y472" s="15">
        <f>IF('Pilot offer'!$C$24="Yes",'Pilot offer'!$C$8,U472)</f>
        <v/>
      </c>
      <c r="Z472" s="43">
        <f>IF('Pilot offer'!$C$24="Yes",'Pilot offer'!$C$11,"")</f>
        <v/>
      </c>
      <c r="AA472" s="15">
        <f>IF(X472="","",W472&amp;" · "&amp;TEXT(X472,"ddd d mmm, hh:mm")&amp;" · "&amp;Y472&amp;IF(Z472&lt;&gt;""," · £"&amp;TEXT(Z472,"0.00")&amp;" per player"," · price TBC (cost £"&amp;TEXT(V472,"0.00")&amp;" pp)"))</f>
        <v/>
      </c>
      <c r="AD472" s="44" t="n"/>
    </row>
    <row r="473">
      <c r="A473" s="13" t="n">
        <v>471</v>
      </c>
      <c r="B473" s="13" t="inlineStr">
        <is>
          <t>3 · E1 Whitechapel</t>
        </is>
      </c>
      <c r="C473" s="13" t="inlineStr">
        <is>
          <t>Office &amp; professional</t>
        </is>
      </c>
      <c r="D473" s="13" t="inlineStr">
        <is>
          <t>Corporate</t>
        </is>
      </c>
      <c r="E473" s="13" t="inlineStr">
        <is>
          <t>Aurex Accountants Ltd</t>
        </is>
      </c>
      <c r="F473" s="13" t="inlineStr">
        <is>
          <t>finance</t>
        </is>
      </c>
      <c r="G473" s="13" t="inlineStr">
        <is>
          <t>operations@aurexaccountants.co.uk</t>
        </is>
      </c>
      <c r="H473" s="13" t="inlineStr">
        <is>
          <t>person_or_other</t>
        </is>
      </c>
      <c r="I473" s="13" t="inlineStr">
        <is>
          <t>+44 20 3051 7112</t>
        </is>
      </c>
      <c r="J473" s="14" t="inlineStr">
        <is>
          <t>http://aurexaccountants.co.uk/</t>
        </is>
      </c>
      <c r="K473" s="13" t="inlineStr">
        <is>
          <t>5 Brayford Sq, Stepney Green, London E1 0SG, UK</t>
        </is>
      </c>
      <c r="L473" s="13" t="inlineStr">
        <is>
          <t>E1 0SG</t>
        </is>
      </c>
      <c r="M473" s="13" t="inlineStr">
        <is>
          <t>Whitechapel</t>
        </is>
      </c>
      <c r="N473" s="13" t="n">
        <v>9</v>
      </c>
      <c r="O473" s="15">
        <f>IFERROR(INDEX(Venues!$C$2:$C$10,MATCH(M473,Venues!$A$2:$A$10,0)),"Not checked")</f>
        <v/>
      </c>
      <c r="P473" s="15">
        <f>IFERROR(INDEX(Venues!$D$2:$D$10,MATCH(M473,Venues!$A$2:$A$10,0)),0)</f>
        <v/>
      </c>
      <c r="Q473" s="42">
        <f>IFERROR(INDEX(Venues!$E$2:$E$10,MATCH(M473,Venues!$A$2:$A$10,0)),"")</f>
        <v/>
      </c>
      <c r="R473" s="15">
        <f>IF(P473&gt;0,"Yes","No")</f>
        <v/>
      </c>
      <c r="S473" s="13" t="inlineStr">
        <is>
          <t>COLA Shoreditch Park</t>
        </is>
      </c>
      <c r="T473" s="42">
        <f>IFERROR(INDEX(Venues!$E$2:$E$10,MATCH(S473,Venues!$A$2:$A$10,0)),"")</f>
        <v/>
      </c>
      <c r="U473" s="15">
        <f>IFERROR(INDEX(Venues!$F$2:$F$10,MATCH(S473,Venues!$A$2:$A$10,0)),"")</f>
        <v/>
      </c>
      <c r="V473" s="43">
        <f>IFERROR(INDEX(Venues!$H$2:$H$10,MATCH(S473,Venues!$A$2:$A$10,0)),"")</f>
        <v/>
      </c>
      <c r="W473" s="15">
        <f>IF('Pilot offer'!$C$24="Yes",'Pilot offer'!$C$3,S473)</f>
        <v/>
      </c>
      <c r="X473" s="42">
        <f>IF('Pilot offer'!$C$24="Yes",'Pilot offer'!$C$5+'Pilot offer'!$C$6,T473)</f>
        <v/>
      </c>
      <c r="Y473" s="15">
        <f>IF('Pilot offer'!$C$24="Yes",'Pilot offer'!$C$8,U473)</f>
        <v/>
      </c>
      <c r="Z473" s="43">
        <f>IF('Pilot offer'!$C$24="Yes",'Pilot offer'!$C$11,"")</f>
        <v/>
      </c>
      <c r="AA473" s="15">
        <f>IF(X473="","",W473&amp;" · "&amp;TEXT(X473,"ddd d mmm, hh:mm")&amp;" · "&amp;Y473&amp;IF(Z473&lt;&gt;""," · £"&amp;TEXT(Z473,"0.00")&amp;" per player"," · price TBC (cost £"&amp;TEXT(V473,"0.00")&amp;" pp)"))</f>
        <v/>
      </c>
      <c r="AD473" s="44" t="n"/>
    </row>
    <row r="474">
      <c r="A474" s="13" t="n">
        <v>472</v>
      </c>
      <c r="B474" s="13" t="inlineStr">
        <is>
          <t>3 · E1 Whitechapel</t>
        </is>
      </c>
      <c r="C474" s="13" t="inlineStr">
        <is>
          <t>Office &amp; professional</t>
        </is>
      </c>
      <c r="D474" s="13" t="inlineStr">
        <is>
          <t>Corporate</t>
        </is>
      </c>
      <c r="E474" s="13" t="inlineStr">
        <is>
          <t>Fenn Digital - Website Designer in London</t>
        </is>
      </c>
      <c r="F474" s="13" t="inlineStr">
        <is>
          <t>service</t>
        </is>
      </c>
      <c r="G474" s="13" t="inlineStr">
        <is>
          <t>info@fenn.digital</t>
        </is>
      </c>
      <c r="H474" s="13" t="inlineStr">
        <is>
          <t>general</t>
        </is>
      </c>
      <c r="I474" s="13" t="inlineStr">
        <is>
          <t>+44 7882 962776</t>
        </is>
      </c>
      <c r="J474" s="14" t="inlineStr">
        <is>
          <t>https://fenn.digital/</t>
        </is>
      </c>
      <c r="K474" s="13" t="inlineStr">
        <is>
          <t>5 Brayford Sq, Stepney Green, London E1 0SG, UK</t>
        </is>
      </c>
      <c r="L474" s="13" t="inlineStr">
        <is>
          <t>E1 0SG</t>
        </is>
      </c>
      <c r="M474" s="13" t="inlineStr">
        <is>
          <t>Whitechapel</t>
        </is>
      </c>
      <c r="N474" s="13" t="n">
        <v>9</v>
      </c>
      <c r="O474" s="15">
        <f>IFERROR(INDEX(Venues!$C$2:$C$10,MATCH(M474,Venues!$A$2:$A$10,0)),"Not checked")</f>
        <v/>
      </c>
      <c r="P474" s="15">
        <f>IFERROR(INDEX(Venues!$D$2:$D$10,MATCH(M474,Venues!$A$2:$A$10,0)),0)</f>
        <v/>
      </c>
      <c r="Q474" s="42">
        <f>IFERROR(INDEX(Venues!$E$2:$E$10,MATCH(M474,Venues!$A$2:$A$10,0)),"")</f>
        <v/>
      </c>
      <c r="R474" s="15">
        <f>IF(P474&gt;0,"Yes","No")</f>
        <v/>
      </c>
      <c r="S474" s="13" t="inlineStr">
        <is>
          <t>COLA Shoreditch Park</t>
        </is>
      </c>
      <c r="T474" s="42">
        <f>IFERROR(INDEX(Venues!$E$2:$E$10,MATCH(S474,Venues!$A$2:$A$10,0)),"")</f>
        <v/>
      </c>
      <c r="U474" s="15">
        <f>IFERROR(INDEX(Venues!$F$2:$F$10,MATCH(S474,Venues!$A$2:$A$10,0)),"")</f>
        <v/>
      </c>
      <c r="V474" s="43">
        <f>IFERROR(INDEX(Venues!$H$2:$H$10,MATCH(S474,Venues!$A$2:$A$10,0)),"")</f>
        <v/>
      </c>
      <c r="W474" s="15">
        <f>IF('Pilot offer'!$C$24="Yes",'Pilot offer'!$C$3,S474)</f>
        <v/>
      </c>
      <c r="X474" s="42">
        <f>IF('Pilot offer'!$C$24="Yes",'Pilot offer'!$C$5+'Pilot offer'!$C$6,T474)</f>
        <v/>
      </c>
      <c r="Y474" s="15">
        <f>IF('Pilot offer'!$C$24="Yes",'Pilot offer'!$C$8,U474)</f>
        <v/>
      </c>
      <c r="Z474" s="43">
        <f>IF('Pilot offer'!$C$24="Yes",'Pilot offer'!$C$11,"")</f>
        <v/>
      </c>
      <c r="AA474" s="15">
        <f>IF(X474="","",W474&amp;" · "&amp;TEXT(X474,"ddd d mmm, hh:mm")&amp;" · "&amp;Y474&amp;IF(Z474&lt;&gt;""," · £"&amp;TEXT(Z474,"0.00")&amp;" per player"," · price TBC (cost £"&amp;TEXT(V474,"0.00")&amp;" pp)"))</f>
        <v/>
      </c>
      <c r="AD474" s="44" t="n"/>
    </row>
    <row r="475">
      <c r="A475" s="13" t="n">
        <v>473</v>
      </c>
      <c r="B475" s="13" t="inlineStr">
        <is>
          <t>3 · E1 Whitechapel</t>
        </is>
      </c>
      <c r="C475" s="13" t="inlineStr">
        <is>
          <t>Office &amp; professional</t>
        </is>
      </c>
      <c r="D475" s="13" t="inlineStr">
        <is>
          <t>Corporate</t>
        </is>
      </c>
      <c r="E475" s="13" t="inlineStr">
        <is>
          <t>LM Companion</t>
        </is>
      </c>
      <c r="F475" s="13" t="inlineStr">
        <is>
          <t>service</t>
        </is>
      </c>
      <c r="G475" s="13" t="inlineStr">
        <is>
          <t>team@lmcompanion.com</t>
        </is>
      </c>
      <c r="H475" s="13" t="inlineStr">
        <is>
          <t>general</t>
        </is>
      </c>
      <c r="I475" s="13" t="inlineStr">
        <is>
          <t>+44 20 7965 7543</t>
        </is>
      </c>
      <c r="J475" s="14" t="inlineStr">
        <is>
          <t>https://lmcompanion.com/</t>
        </is>
      </c>
      <c r="K475" s="13" t="inlineStr">
        <is>
          <t>5 Brayford Sq, Stepney Green, London E1 0SG, UK</t>
        </is>
      </c>
      <c r="L475" s="13" t="inlineStr">
        <is>
          <t>E1 0SG</t>
        </is>
      </c>
      <c r="M475" s="13" t="inlineStr">
        <is>
          <t>Whitechapel</t>
        </is>
      </c>
      <c r="N475" s="13" t="n">
        <v>10</v>
      </c>
      <c r="O475" s="15">
        <f>IFERROR(INDEX(Venues!$C$2:$C$10,MATCH(M475,Venues!$A$2:$A$10,0)),"Not checked")</f>
        <v/>
      </c>
      <c r="P475" s="15">
        <f>IFERROR(INDEX(Venues!$D$2:$D$10,MATCH(M475,Venues!$A$2:$A$10,0)),0)</f>
        <v/>
      </c>
      <c r="Q475" s="42">
        <f>IFERROR(INDEX(Venues!$E$2:$E$10,MATCH(M475,Venues!$A$2:$A$10,0)),"")</f>
        <v/>
      </c>
      <c r="R475" s="15">
        <f>IF(P475&gt;0,"Yes","No")</f>
        <v/>
      </c>
      <c r="S475" s="13" t="inlineStr">
        <is>
          <t>COLA Shoreditch Park</t>
        </is>
      </c>
      <c r="T475" s="42">
        <f>IFERROR(INDEX(Venues!$E$2:$E$10,MATCH(S475,Venues!$A$2:$A$10,0)),"")</f>
        <v/>
      </c>
      <c r="U475" s="15">
        <f>IFERROR(INDEX(Venues!$F$2:$F$10,MATCH(S475,Venues!$A$2:$A$10,0)),"")</f>
        <v/>
      </c>
      <c r="V475" s="43">
        <f>IFERROR(INDEX(Venues!$H$2:$H$10,MATCH(S475,Venues!$A$2:$A$10,0)),"")</f>
        <v/>
      </c>
      <c r="W475" s="15">
        <f>IF('Pilot offer'!$C$24="Yes",'Pilot offer'!$C$3,S475)</f>
        <v/>
      </c>
      <c r="X475" s="42">
        <f>IF('Pilot offer'!$C$24="Yes",'Pilot offer'!$C$5+'Pilot offer'!$C$6,T475)</f>
        <v/>
      </c>
      <c r="Y475" s="15">
        <f>IF('Pilot offer'!$C$24="Yes",'Pilot offer'!$C$8,U475)</f>
        <v/>
      </c>
      <c r="Z475" s="43">
        <f>IF('Pilot offer'!$C$24="Yes",'Pilot offer'!$C$11,"")</f>
        <v/>
      </c>
      <c r="AA475" s="15">
        <f>IF(X475="","",W475&amp;" · "&amp;TEXT(X475,"ddd d mmm, hh:mm")&amp;" · "&amp;Y475&amp;IF(Z475&lt;&gt;""," · £"&amp;TEXT(Z475,"0.00")&amp;" per player"," · price TBC (cost £"&amp;TEXT(V475,"0.00")&amp;" pp)"))</f>
        <v/>
      </c>
      <c r="AD475" s="44" t="n"/>
    </row>
    <row r="476">
      <c r="A476" s="13" t="n">
        <v>474</v>
      </c>
      <c r="B476" s="13" t="inlineStr">
        <is>
          <t>3 · E1 Whitechapel</t>
        </is>
      </c>
      <c r="C476" s="13" t="inlineStr">
        <is>
          <t>Office &amp; professional</t>
        </is>
      </c>
      <c r="D476" s="13" t="inlineStr">
        <is>
          <t>Corporate</t>
        </is>
      </c>
      <c r="E476" s="13" t="inlineStr">
        <is>
          <t>MNG Accountants Ltd</t>
        </is>
      </c>
      <c r="F476" s="13" t="inlineStr">
        <is>
          <t>finance</t>
        </is>
      </c>
      <c r="G476" s="13" t="inlineStr">
        <is>
          <t>accountants@mngaccountants.uk</t>
        </is>
      </c>
      <c r="H476" s="13" t="inlineStr">
        <is>
          <t>person_or_other</t>
        </is>
      </c>
      <c r="I476" s="13" t="inlineStr">
        <is>
          <t>+44 7414 144486</t>
        </is>
      </c>
      <c r="J476" s="14" t="inlineStr">
        <is>
          <t>https://mngaccountants.uk/</t>
        </is>
      </c>
      <c r="K476" s="13" t="inlineStr">
        <is>
          <t>5 Brayford Sq, Stepney Green, London E1 0SG, UK</t>
        </is>
      </c>
      <c r="L476" s="13" t="inlineStr">
        <is>
          <t>E1 0SG</t>
        </is>
      </c>
      <c r="M476" s="13" t="inlineStr">
        <is>
          <t>Whitechapel</t>
        </is>
      </c>
      <c r="N476" s="13" t="n">
        <v>9</v>
      </c>
      <c r="O476" s="15">
        <f>IFERROR(INDEX(Venues!$C$2:$C$10,MATCH(M476,Venues!$A$2:$A$10,0)),"Not checked")</f>
        <v/>
      </c>
      <c r="P476" s="15">
        <f>IFERROR(INDEX(Venues!$D$2:$D$10,MATCH(M476,Venues!$A$2:$A$10,0)),0)</f>
        <v/>
      </c>
      <c r="Q476" s="42">
        <f>IFERROR(INDEX(Venues!$E$2:$E$10,MATCH(M476,Venues!$A$2:$A$10,0)),"")</f>
        <v/>
      </c>
      <c r="R476" s="15">
        <f>IF(P476&gt;0,"Yes","No")</f>
        <v/>
      </c>
      <c r="S476" s="13" t="inlineStr">
        <is>
          <t>COLA Shoreditch Park</t>
        </is>
      </c>
      <c r="T476" s="42">
        <f>IFERROR(INDEX(Venues!$E$2:$E$10,MATCH(S476,Venues!$A$2:$A$10,0)),"")</f>
        <v/>
      </c>
      <c r="U476" s="15">
        <f>IFERROR(INDEX(Venues!$F$2:$F$10,MATCH(S476,Venues!$A$2:$A$10,0)),"")</f>
        <v/>
      </c>
      <c r="V476" s="43">
        <f>IFERROR(INDEX(Venues!$H$2:$H$10,MATCH(S476,Venues!$A$2:$A$10,0)),"")</f>
        <v/>
      </c>
      <c r="W476" s="15">
        <f>IF('Pilot offer'!$C$24="Yes",'Pilot offer'!$C$3,S476)</f>
        <v/>
      </c>
      <c r="X476" s="42">
        <f>IF('Pilot offer'!$C$24="Yes",'Pilot offer'!$C$5+'Pilot offer'!$C$6,T476)</f>
        <v/>
      </c>
      <c r="Y476" s="15">
        <f>IF('Pilot offer'!$C$24="Yes",'Pilot offer'!$C$8,U476)</f>
        <v/>
      </c>
      <c r="Z476" s="43">
        <f>IF('Pilot offer'!$C$24="Yes",'Pilot offer'!$C$11,"")</f>
        <v/>
      </c>
      <c r="AA476" s="15">
        <f>IF(X476="","",W476&amp;" · "&amp;TEXT(X476,"ddd d mmm, hh:mm")&amp;" · "&amp;Y476&amp;IF(Z476&lt;&gt;""," · £"&amp;TEXT(Z476,"0.00")&amp;" per player"," · price TBC (cost £"&amp;TEXT(V476,"0.00")&amp;" pp)"))</f>
        <v/>
      </c>
      <c r="AD476" s="44" t="n"/>
    </row>
    <row r="477">
      <c r="A477" s="13" t="n">
        <v>475</v>
      </c>
      <c r="B477" s="13" t="inlineStr">
        <is>
          <t>3 · E1 Whitechapel</t>
        </is>
      </c>
      <c r="C477" s="13" t="inlineStr">
        <is>
          <t>Office &amp; professional</t>
        </is>
      </c>
      <c r="D477" s="13" t="inlineStr">
        <is>
          <t>Corporate</t>
        </is>
      </c>
      <c r="E477" s="13" t="inlineStr">
        <is>
          <t>Resolution Finance</t>
        </is>
      </c>
      <c r="F477" s="13" t="inlineStr">
        <is>
          <t>finance</t>
        </is>
      </c>
      <c r="G477" s="13" t="inlineStr">
        <is>
          <t>gurv@resolutionfs.co.uk</t>
        </is>
      </c>
      <c r="H477" s="13" t="inlineStr">
        <is>
          <t>person_or_other</t>
        </is>
      </c>
      <c r="I477" s="13" t="inlineStr">
        <is>
          <t>+44 7377 910647</t>
        </is>
      </c>
      <c r="J477" s="14" t="inlineStr">
        <is>
          <t>https://resolutionfs.co.uk/</t>
        </is>
      </c>
      <c r="K477" s="13" t="inlineStr">
        <is>
          <t>5 Brayford Sq, Stepney Green, London E1 0SG, UK</t>
        </is>
      </c>
      <c r="L477" s="13" t="inlineStr">
        <is>
          <t>E1 0SG</t>
        </is>
      </c>
      <c r="M477" s="13" t="inlineStr">
        <is>
          <t>Whitechapel</t>
        </is>
      </c>
      <c r="N477" s="13" t="n">
        <v>9</v>
      </c>
      <c r="O477" s="15">
        <f>IFERROR(INDEX(Venues!$C$2:$C$10,MATCH(M477,Venues!$A$2:$A$10,0)),"Not checked")</f>
        <v/>
      </c>
      <c r="P477" s="15">
        <f>IFERROR(INDEX(Venues!$D$2:$D$10,MATCH(M477,Venues!$A$2:$A$10,0)),0)</f>
        <v/>
      </c>
      <c r="Q477" s="42">
        <f>IFERROR(INDEX(Venues!$E$2:$E$10,MATCH(M477,Venues!$A$2:$A$10,0)),"")</f>
        <v/>
      </c>
      <c r="R477" s="15">
        <f>IF(P477&gt;0,"Yes","No")</f>
        <v/>
      </c>
      <c r="S477" s="13" t="inlineStr">
        <is>
          <t>COLA Shoreditch Park</t>
        </is>
      </c>
      <c r="T477" s="42">
        <f>IFERROR(INDEX(Venues!$E$2:$E$10,MATCH(S477,Venues!$A$2:$A$10,0)),"")</f>
        <v/>
      </c>
      <c r="U477" s="15">
        <f>IFERROR(INDEX(Venues!$F$2:$F$10,MATCH(S477,Venues!$A$2:$A$10,0)),"")</f>
        <v/>
      </c>
      <c r="V477" s="43">
        <f>IFERROR(INDEX(Venues!$H$2:$H$10,MATCH(S477,Venues!$A$2:$A$10,0)),"")</f>
        <v/>
      </c>
      <c r="W477" s="15">
        <f>IF('Pilot offer'!$C$24="Yes",'Pilot offer'!$C$3,S477)</f>
        <v/>
      </c>
      <c r="X477" s="42">
        <f>IF('Pilot offer'!$C$24="Yes",'Pilot offer'!$C$5+'Pilot offer'!$C$6,T477)</f>
        <v/>
      </c>
      <c r="Y477" s="15">
        <f>IF('Pilot offer'!$C$24="Yes",'Pilot offer'!$C$8,U477)</f>
        <v/>
      </c>
      <c r="Z477" s="43">
        <f>IF('Pilot offer'!$C$24="Yes",'Pilot offer'!$C$11,"")</f>
        <v/>
      </c>
      <c r="AA477" s="15">
        <f>IF(X477="","",W477&amp;" · "&amp;TEXT(X477,"ddd d mmm, hh:mm")&amp;" · "&amp;Y477&amp;IF(Z477&lt;&gt;""," · £"&amp;TEXT(Z477,"0.00")&amp;" per player"," · price TBC (cost £"&amp;TEXT(V477,"0.00")&amp;" pp)"))</f>
        <v/>
      </c>
      <c r="AD477" s="44" t="n"/>
    </row>
    <row r="478">
      <c r="A478" s="13" t="n">
        <v>476</v>
      </c>
      <c r="B478" s="13" t="inlineStr">
        <is>
          <t>3 · E1 Whitechapel</t>
        </is>
      </c>
      <c r="C478" s="13" t="inlineStr">
        <is>
          <t>Office &amp; professional</t>
        </is>
      </c>
      <c r="D478" s="13" t="inlineStr">
        <is>
          <t>Corporate</t>
        </is>
      </c>
      <c r="E478" s="13" t="inlineStr">
        <is>
          <t>SimplyExcess</t>
        </is>
      </c>
      <c r="F478" s="13" t="inlineStr">
        <is>
          <t>insurance_agency</t>
        </is>
      </c>
      <c r="G478" s="13" t="inlineStr">
        <is>
          <t>info@simplyexcess.com</t>
        </is>
      </c>
      <c r="H478" s="13" t="inlineStr">
        <is>
          <t>general</t>
        </is>
      </c>
      <c r="I478" s="13" t="n"/>
      <c r="J478" s="14" t="inlineStr">
        <is>
          <t>https://simplyexcess.com/?utm_source=google&amp;utm_medium=local&amp;utm_campaign=1&amp;utm_content=primary</t>
        </is>
      </c>
      <c r="K478" s="13" t="inlineStr">
        <is>
          <t>5 Brayford Sq, Stepney Green, London E1 0SG, UK</t>
        </is>
      </c>
      <c r="L478" s="13" t="inlineStr">
        <is>
          <t>E1 0SG</t>
        </is>
      </c>
      <c r="M478" s="13" t="inlineStr">
        <is>
          <t>Whitechapel</t>
        </is>
      </c>
      <c r="N478" s="13" t="n">
        <v>10</v>
      </c>
      <c r="O478" s="15">
        <f>IFERROR(INDEX(Venues!$C$2:$C$10,MATCH(M478,Venues!$A$2:$A$10,0)),"Not checked")</f>
        <v/>
      </c>
      <c r="P478" s="15">
        <f>IFERROR(INDEX(Venues!$D$2:$D$10,MATCH(M478,Venues!$A$2:$A$10,0)),0)</f>
        <v/>
      </c>
      <c r="Q478" s="42">
        <f>IFERROR(INDEX(Venues!$E$2:$E$10,MATCH(M478,Venues!$A$2:$A$10,0)),"")</f>
        <v/>
      </c>
      <c r="R478" s="15">
        <f>IF(P478&gt;0,"Yes","No")</f>
        <v/>
      </c>
      <c r="S478" s="13" t="inlineStr">
        <is>
          <t>COLA Shoreditch Park</t>
        </is>
      </c>
      <c r="T478" s="42">
        <f>IFERROR(INDEX(Venues!$E$2:$E$10,MATCH(S478,Venues!$A$2:$A$10,0)),"")</f>
        <v/>
      </c>
      <c r="U478" s="15">
        <f>IFERROR(INDEX(Venues!$F$2:$F$10,MATCH(S478,Venues!$A$2:$A$10,0)),"")</f>
        <v/>
      </c>
      <c r="V478" s="43">
        <f>IFERROR(INDEX(Venues!$H$2:$H$10,MATCH(S478,Venues!$A$2:$A$10,0)),"")</f>
        <v/>
      </c>
      <c r="W478" s="15">
        <f>IF('Pilot offer'!$C$24="Yes",'Pilot offer'!$C$3,S478)</f>
        <v/>
      </c>
      <c r="X478" s="42">
        <f>IF('Pilot offer'!$C$24="Yes",'Pilot offer'!$C$5+'Pilot offer'!$C$6,T478)</f>
        <v/>
      </c>
      <c r="Y478" s="15">
        <f>IF('Pilot offer'!$C$24="Yes",'Pilot offer'!$C$8,U478)</f>
        <v/>
      </c>
      <c r="Z478" s="43">
        <f>IF('Pilot offer'!$C$24="Yes",'Pilot offer'!$C$11,"")</f>
        <v/>
      </c>
      <c r="AA478" s="15">
        <f>IF(X478="","",W478&amp;" · "&amp;TEXT(X478,"ddd d mmm, hh:mm")&amp;" · "&amp;Y478&amp;IF(Z478&lt;&gt;""," · £"&amp;TEXT(Z478,"0.00")&amp;" per player"," · price TBC (cost £"&amp;TEXT(V478,"0.00")&amp;" pp)"))</f>
        <v/>
      </c>
      <c r="AD478" s="44" t="n"/>
    </row>
    <row r="479">
      <c r="A479" s="13" t="n">
        <v>477</v>
      </c>
      <c r="B479" s="13" t="inlineStr">
        <is>
          <t>3 · E1 Whitechapel</t>
        </is>
      </c>
      <c r="C479" s="13" t="inlineStr">
        <is>
          <t>Office &amp; professional</t>
        </is>
      </c>
      <c r="D479" s="13" t="inlineStr">
        <is>
          <t>Corporate</t>
        </is>
      </c>
      <c r="E479" s="13" t="inlineStr">
        <is>
          <t>UltraScout AI</t>
        </is>
      </c>
      <c r="F479" s="13" t="inlineStr">
        <is>
          <t>consultant</t>
        </is>
      </c>
      <c r="G479" s="13" t="inlineStr">
        <is>
          <t>aeo@ultrascout.ai</t>
        </is>
      </c>
      <c r="H479" s="13" t="inlineStr">
        <is>
          <t>person_or_other</t>
        </is>
      </c>
      <c r="I479" s="13" t="n"/>
      <c r="J479" s="14" t="inlineStr">
        <is>
          <t>https://www.ultrascout.ai/</t>
        </is>
      </c>
      <c r="K479" s="13" t="inlineStr">
        <is>
          <t>5 Brayford Sq, Stepney Green, London E1 0SG, UK</t>
        </is>
      </c>
      <c r="L479" s="13" t="inlineStr">
        <is>
          <t>E1 0SG</t>
        </is>
      </c>
      <c r="M479" s="13" t="inlineStr">
        <is>
          <t>Whitechapel</t>
        </is>
      </c>
      <c r="N479" s="13" t="n">
        <v>9</v>
      </c>
      <c r="O479" s="15">
        <f>IFERROR(INDEX(Venues!$C$2:$C$10,MATCH(M479,Venues!$A$2:$A$10,0)),"Not checked")</f>
        <v/>
      </c>
      <c r="P479" s="15">
        <f>IFERROR(INDEX(Venues!$D$2:$D$10,MATCH(M479,Venues!$A$2:$A$10,0)),0)</f>
        <v/>
      </c>
      <c r="Q479" s="42">
        <f>IFERROR(INDEX(Venues!$E$2:$E$10,MATCH(M479,Venues!$A$2:$A$10,0)),"")</f>
        <v/>
      </c>
      <c r="R479" s="15">
        <f>IF(P479&gt;0,"Yes","No")</f>
        <v/>
      </c>
      <c r="S479" s="13" t="inlineStr">
        <is>
          <t>COLA Shoreditch Park</t>
        </is>
      </c>
      <c r="T479" s="42">
        <f>IFERROR(INDEX(Venues!$E$2:$E$10,MATCH(S479,Venues!$A$2:$A$10,0)),"")</f>
        <v/>
      </c>
      <c r="U479" s="15">
        <f>IFERROR(INDEX(Venues!$F$2:$F$10,MATCH(S479,Venues!$A$2:$A$10,0)),"")</f>
        <v/>
      </c>
      <c r="V479" s="43">
        <f>IFERROR(INDEX(Venues!$H$2:$H$10,MATCH(S479,Venues!$A$2:$A$10,0)),"")</f>
        <v/>
      </c>
      <c r="W479" s="15">
        <f>IF('Pilot offer'!$C$24="Yes",'Pilot offer'!$C$3,S479)</f>
        <v/>
      </c>
      <c r="X479" s="42">
        <f>IF('Pilot offer'!$C$24="Yes",'Pilot offer'!$C$5+'Pilot offer'!$C$6,T479)</f>
        <v/>
      </c>
      <c r="Y479" s="15">
        <f>IF('Pilot offer'!$C$24="Yes",'Pilot offer'!$C$8,U479)</f>
        <v/>
      </c>
      <c r="Z479" s="43">
        <f>IF('Pilot offer'!$C$24="Yes",'Pilot offer'!$C$11,"")</f>
        <v/>
      </c>
      <c r="AA479" s="15">
        <f>IF(X479="","",W479&amp;" · "&amp;TEXT(X479,"ddd d mmm, hh:mm")&amp;" · "&amp;Y479&amp;IF(Z479&lt;&gt;""," · £"&amp;TEXT(Z479,"0.00")&amp;" per player"," · price TBC (cost £"&amp;TEXT(V479,"0.00")&amp;" pp)"))</f>
        <v/>
      </c>
      <c r="AD479" s="44" t="n"/>
    </row>
    <row r="480">
      <c r="A480" s="13" t="n">
        <v>478</v>
      </c>
      <c r="B480" s="13" t="inlineStr">
        <is>
          <t>3 · E1 Whitechapel</t>
        </is>
      </c>
      <c r="C480" s="13" t="inlineStr">
        <is>
          <t>Office &amp; professional</t>
        </is>
      </c>
      <c r="D480" s="13" t="inlineStr">
        <is>
          <t>Corporate</t>
        </is>
      </c>
      <c r="E480" s="13" t="inlineStr">
        <is>
          <t>Visas International</t>
        </is>
      </c>
      <c r="F480" s="13" t="inlineStr">
        <is>
          <t>company</t>
        </is>
      </c>
      <c r="G480" s="13" t="inlineStr">
        <is>
          <t>info@visasint.com</t>
        </is>
      </c>
      <c r="H480" s="13" t="inlineStr">
        <is>
          <t>general</t>
        </is>
      </c>
      <c r="I480" s="13" t="inlineStr">
        <is>
          <t>+44 20 3603 1135</t>
        </is>
      </c>
      <c r="J480" s="14" t="inlineStr">
        <is>
          <t>https://visasint.com</t>
        </is>
      </c>
      <c r="K480" s="13" t="inlineStr">
        <is>
          <t>19 Plumbers Row, London</t>
        </is>
      </c>
      <c r="L480" s="13" t="inlineStr">
        <is>
          <t>E1 1AE</t>
        </is>
      </c>
      <c r="M480" s="13" t="inlineStr">
        <is>
          <t>Whitechapel</t>
        </is>
      </c>
      <c r="N480" s="13" t="n">
        <v>8</v>
      </c>
      <c r="O480" s="15">
        <f>IFERROR(INDEX(Venues!$C$2:$C$10,MATCH(M480,Venues!$A$2:$A$10,0)),"Not checked")</f>
        <v/>
      </c>
      <c r="P480" s="15">
        <f>IFERROR(INDEX(Venues!$D$2:$D$10,MATCH(M480,Venues!$A$2:$A$10,0)),0)</f>
        <v/>
      </c>
      <c r="Q480" s="42">
        <f>IFERROR(INDEX(Venues!$E$2:$E$10,MATCH(M480,Venues!$A$2:$A$10,0)),"")</f>
        <v/>
      </c>
      <c r="R480" s="15">
        <f>IF(P480&gt;0,"Yes","No")</f>
        <v/>
      </c>
      <c r="S480" s="13" t="inlineStr">
        <is>
          <t>COLA Shoreditch Park</t>
        </is>
      </c>
      <c r="T480" s="42">
        <f>IFERROR(INDEX(Venues!$E$2:$E$10,MATCH(S480,Venues!$A$2:$A$10,0)),"")</f>
        <v/>
      </c>
      <c r="U480" s="15">
        <f>IFERROR(INDEX(Venues!$F$2:$F$10,MATCH(S480,Venues!$A$2:$A$10,0)),"")</f>
        <v/>
      </c>
      <c r="V480" s="43">
        <f>IFERROR(INDEX(Venues!$H$2:$H$10,MATCH(S480,Venues!$A$2:$A$10,0)),"")</f>
        <v/>
      </c>
      <c r="W480" s="15">
        <f>IF('Pilot offer'!$C$24="Yes",'Pilot offer'!$C$3,S480)</f>
        <v/>
      </c>
      <c r="X480" s="42">
        <f>IF('Pilot offer'!$C$24="Yes",'Pilot offer'!$C$5+'Pilot offer'!$C$6,T480)</f>
        <v/>
      </c>
      <c r="Y480" s="15">
        <f>IF('Pilot offer'!$C$24="Yes",'Pilot offer'!$C$8,U480)</f>
        <v/>
      </c>
      <c r="Z480" s="43">
        <f>IF('Pilot offer'!$C$24="Yes",'Pilot offer'!$C$11,"")</f>
        <v/>
      </c>
      <c r="AA480" s="15">
        <f>IF(X480="","",W480&amp;" · "&amp;TEXT(X480,"ddd d mmm, hh:mm")&amp;" · "&amp;Y480&amp;IF(Z480&lt;&gt;""," · £"&amp;TEXT(Z480,"0.00")&amp;" per player"," · price TBC (cost £"&amp;TEXT(V480,"0.00")&amp;" pp)"))</f>
        <v/>
      </c>
      <c r="AD480" s="44" t="n"/>
    </row>
    <row r="481">
      <c r="A481" s="13" t="n">
        <v>479</v>
      </c>
      <c r="B481" s="13" t="inlineStr">
        <is>
          <t>3 · E1 Whitechapel</t>
        </is>
      </c>
      <c r="C481" s="13" t="inlineStr">
        <is>
          <t>Office &amp; professional</t>
        </is>
      </c>
      <c r="D481" s="13" t="inlineStr">
        <is>
          <t>Corporate</t>
        </is>
      </c>
      <c r="E481" s="13" t="inlineStr">
        <is>
          <t>Buzzard Overseas Education Consultancy PVT LTD</t>
        </is>
      </c>
      <c r="F481" s="13" t="inlineStr">
        <is>
          <t>consultant</t>
        </is>
      </c>
      <c r="G481" s="13" t="inlineStr">
        <is>
          <t>info@buzzardoverseas.com</t>
        </is>
      </c>
      <c r="H481" s="13" t="inlineStr">
        <is>
          <t>general</t>
        </is>
      </c>
      <c r="I481" s="13" t="inlineStr">
        <is>
          <t>+44 7552 601398</t>
        </is>
      </c>
      <c r="J481" s="14" t="inlineStr">
        <is>
          <t>http://www.buzzardoverseas.com/</t>
        </is>
      </c>
      <c r="K481" s="13" t="inlineStr">
        <is>
          <t>Whitechapel Rd, London E1 1DT, UK</t>
        </is>
      </c>
      <c r="L481" s="13" t="inlineStr">
        <is>
          <t>E1 1DT</t>
        </is>
      </c>
      <c r="M481" s="13" t="inlineStr">
        <is>
          <t>Whitechapel</t>
        </is>
      </c>
      <c r="N481" s="13" t="n">
        <v>12</v>
      </c>
      <c r="O481" s="15">
        <f>IFERROR(INDEX(Venues!$C$2:$C$10,MATCH(M481,Venues!$A$2:$A$10,0)),"Not checked")</f>
        <v/>
      </c>
      <c r="P481" s="15">
        <f>IFERROR(INDEX(Venues!$D$2:$D$10,MATCH(M481,Venues!$A$2:$A$10,0)),0)</f>
        <v/>
      </c>
      <c r="Q481" s="42">
        <f>IFERROR(INDEX(Venues!$E$2:$E$10,MATCH(M481,Venues!$A$2:$A$10,0)),"")</f>
        <v/>
      </c>
      <c r="R481" s="15">
        <f>IF(P481&gt;0,"Yes","No")</f>
        <v/>
      </c>
      <c r="S481" s="13" t="inlineStr">
        <is>
          <t>COLA Shoreditch Park</t>
        </is>
      </c>
      <c r="T481" s="42">
        <f>IFERROR(INDEX(Venues!$E$2:$E$10,MATCH(S481,Venues!$A$2:$A$10,0)),"")</f>
        <v/>
      </c>
      <c r="U481" s="15">
        <f>IFERROR(INDEX(Venues!$F$2:$F$10,MATCH(S481,Venues!$A$2:$A$10,0)),"")</f>
        <v/>
      </c>
      <c r="V481" s="43">
        <f>IFERROR(INDEX(Venues!$H$2:$H$10,MATCH(S481,Venues!$A$2:$A$10,0)),"")</f>
        <v/>
      </c>
      <c r="W481" s="15">
        <f>IF('Pilot offer'!$C$24="Yes",'Pilot offer'!$C$3,S481)</f>
        <v/>
      </c>
      <c r="X481" s="42">
        <f>IF('Pilot offer'!$C$24="Yes",'Pilot offer'!$C$5+'Pilot offer'!$C$6,T481)</f>
        <v/>
      </c>
      <c r="Y481" s="15">
        <f>IF('Pilot offer'!$C$24="Yes",'Pilot offer'!$C$8,U481)</f>
        <v/>
      </c>
      <c r="Z481" s="43">
        <f>IF('Pilot offer'!$C$24="Yes",'Pilot offer'!$C$11,"")</f>
        <v/>
      </c>
      <c r="AA481" s="15">
        <f>IF(X481="","",W481&amp;" · "&amp;TEXT(X481,"ddd d mmm, hh:mm")&amp;" · "&amp;Y481&amp;IF(Z481&lt;&gt;""," · £"&amp;TEXT(Z481,"0.00")&amp;" per player"," · price TBC (cost £"&amp;TEXT(V481,"0.00")&amp;" pp)"))</f>
        <v/>
      </c>
      <c r="AD481" s="44" t="n"/>
    </row>
    <row r="482">
      <c r="A482" s="13" t="n">
        <v>480</v>
      </c>
      <c r="B482" s="13" t="inlineStr">
        <is>
          <t>3 · E1 Whitechapel</t>
        </is>
      </c>
      <c r="C482" s="13" t="inlineStr">
        <is>
          <t>Retail</t>
        </is>
      </c>
      <c r="D482" s="13" t="inlineStr">
        <is>
          <t>Local businesses</t>
        </is>
      </c>
      <c r="E482" s="13" t="inlineStr">
        <is>
          <t>21Studio Photolab</t>
        </is>
      </c>
      <c r="F482" s="13" t="inlineStr">
        <is>
          <t>shop: photo</t>
        </is>
      </c>
      <c r="G482" s="13" t="inlineStr">
        <is>
          <t>info@21studiophotolab.co.uk</t>
        </is>
      </c>
      <c r="H482" s="13" t="inlineStr">
        <is>
          <t>general</t>
        </is>
      </c>
      <c r="I482" s="13" t="inlineStr">
        <is>
          <t>+44 20 3417 5858</t>
        </is>
      </c>
      <c r="J482" s="14" t="inlineStr">
        <is>
          <t>https://21studiophotolab.co.uk/</t>
        </is>
      </c>
      <c r="K482" s="13" t="inlineStr">
        <is>
          <t>Whitechapel Road 21, London</t>
        </is>
      </c>
      <c r="L482" s="13" t="inlineStr">
        <is>
          <t>E1 1DU</t>
        </is>
      </c>
      <c r="M482" s="13" t="inlineStr">
        <is>
          <t>Whitechapel</t>
        </is>
      </c>
      <c r="N482" s="13" t="n">
        <v>11</v>
      </c>
      <c r="O482" s="15">
        <f>IFERROR(INDEX(Venues!$C$2:$C$10,MATCH(M482,Venues!$A$2:$A$10,0)),"Not checked")</f>
        <v/>
      </c>
      <c r="P482" s="15">
        <f>IFERROR(INDEX(Venues!$D$2:$D$10,MATCH(M482,Venues!$A$2:$A$10,0)),0)</f>
        <v/>
      </c>
      <c r="Q482" s="42">
        <f>IFERROR(INDEX(Venues!$E$2:$E$10,MATCH(M482,Venues!$A$2:$A$10,0)),"")</f>
        <v/>
      </c>
      <c r="R482" s="15">
        <f>IF(P482&gt;0,"Yes","No")</f>
        <v/>
      </c>
      <c r="S482" s="13" t="inlineStr">
        <is>
          <t>COLA Shoreditch Park</t>
        </is>
      </c>
      <c r="T482" s="42">
        <f>IFERROR(INDEX(Venues!$E$2:$E$10,MATCH(S482,Venues!$A$2:$A$10,0)),"")</f>
        <v/>
      </c>
      <c r="U482" s="15">
        <f>IFERROR(INDEX(Venues!$F$2:$F$10,MATCH(S482,Venues!$A$2:$A$10,0)),"")</f>
        <v/>
      </c>
      <c r="V482" s="43">
        <f>IFERROR(INDEX(Venues!$H$2:$H$10,MATCH(S482,Venues!$A$2:$A$10,0)),"")</f>
        <v/>
      </c>
      <c r="W482" s="15">
        <f>IF('Pilot offer'!$C$24="Yes",'Pilot offer'!$C$3,S482)</f>
        <v/>
      </c>
      <c r="X482" s="42">
        <f>IF('Pilot offer'!$C$24="Yes",'Pilot offer'!$C$5+'Pilot offer'!$C$6,T482)</f>
        <v/>
      </c>
      <c r="Y482" s="15">
        <f>IF('Pilot offer'!$C$24="Yes",'Pilot offer'!$C$8,U482)</f>
        <v/>
      </c>
      <c r="Z482" s="43">
        <f>IF('Pilot offer'!$C$24="Yes",'Pilot offer'!$C$11,"")</f>
        <v/>
      </c>
      <c r="AA482" s="15">
        <f>IF(X482="","",W482&amp;" · "&amp;TEXT(X482,"ddd d mmm, hh:mm")&amp;" · "&amp;Y482&amp;IF(Z482&lt;&gt;""," · £"&amp;TEXT(Z482,"0.00")&amp;" per player"," · price TBC (cost £"&amp;TEXT(V482,"0.00")&amp;" pp)"))</f>
        <v/>
      </c>
      <c r="AD482" s="44" t="n"/>
    </row>
    <row r="483">
      <c r="A483" s="13" t="n">
        <v>481</v>
      </c>
      <c r="B483" s="13" t="inlineStr">
        <is>
          <t>3 · E1 Whitechapel</t>
        </is>
      </c>
      <c r="C483" s="13" t="inlineStr">
        <is>
          <t>Office &amp; professional</t>
        </is>
      </c>
      <c r="D483" s="13" t="inlineStr">
        <is>
          <t>Corporate</t>
        </is>
      </c>
      <c r="E483" s="13" t="inlineStr">
        <is>
          <t>BWBS Education Consultants</t>
        </is>
      </c>
      <c r="F483" s="13" t="inlineStr">
        <is>
          <t>consultant</t>
        </is>
      </c>
      <c r="G483" s="13" t="inlineStr">
        <is>
          <t>admission@bwbsedu.com</t>
        </is>
      </c>
      <c r="H483" s="13" t="inlineStr">
        <is>
          <t>person_or_other</t>
        </is>
      </c>
      <c r="I483" s="13" t="inlineStr">
        <is>
          <t>+44 20 7476 7066</t>
        </is>
      </c>
      <c r="J483" s="14" t="inlineStr">
        <is>
          <t>http://www.bwbsedu.com/</t>
        </is>
      </c>
      <c r="K483" s="13" t="inlineStr">
        <is>
          <t>Unit- 105, E1 Studios, 7 Whitechapel Rd, London E1 1DU, UK</t>
        </is>
      </c>
      <c r="L483" s="13" t="inlineStr">
        <is>
          <t>E1 1DU</t>
        </is>
      </c>
      <c r="M483" s="13" t="inlineStr">
        <is>
          <t>Whitechapel</t>
        </is>
      </c>
      <c r="N483" s="13" t="n">
        <v>12</v>
      </c>
      <c r="O483" s="15">
        <f>IFERROR(INDEX(Venues!$C$2:$C$10,MATCH(M483,Venues!$A$2:$A$10,0)),"Not checked")</f>
        <v/>
      </c>
      <c r="P483" s="15">
        <f>IFERROR(INDEX(Venues!$D$2:$D$10,MATCH(M483,Venues!$A$2:$A$10,0)),0)</f>
        <v/>
      </c>
      <c r="Q483" s="42">
        <f>IFERROR(INDEX(Venues!$E$2:$E$10,MATCH(M483,Venues!$A$2:$A$10,0)),"")</f>
        <v/>
      </c>
      <c r="R483" s="15">
        <f>IF(P483&gt;0,"Yes","No")</f>
        <v/>
      </c>
      <c r="S483" s="13" t="inlineStr">
        <is>
          <t>COLA Shoreditch Park</t>
        </is>
      </c>
      <c r="T483" s="42">
        <f>IFERROR(INDEX(Venues!$E$2:$E$10,MATCH(S483,Venues!$A$2:$A$10,0)),"")</f>
        <v/>
      </c>
      <c r="U483" s="15">
        <f>IFERROR(INDEX(Venues!$F$2:$F$10,MATCH(S483,Venues!$A$2:$A$10,0)),"")</f>
        <v/>
      </c>
      <c r="V483" s="43">
        <f>IFERROR(INDEX(Venues!$H$2:$H$10,MATCH(S483,Venues!$A$2:$A$10,0)),"")</f>
        <v/>
      </c>
      <c r="W483" s="15">
        <f>IF('Pilot offer'!$C$24="Yes",'Pilot offer'!$C$3,S483)</f>
        <v/>
      </c>
      <c r="X483" s="42">
        <f>IF('Pilot offer'!$C$24="Yes",'Pilot offer'!$C$5+'Pilot offer'!$C$6,T483)</f>
        <v/>
      </c>
      <c r="Y483" s="15">
        <f>IF('Pilot offer'!$C$24="Yes",'Pilot offer'!$C$8,U483)</f>
        <v/>
      </c>
      <c r="Z483" s="43">
        <f>IF('Pilot offer'!$C$24="Yes",'Pilot offer'!$C$11,"")</f>
        <v/>
      </c>
      <c r="AA483" s="15">
        <f>IF(X483="","",W483&amp;" · "&amp;TEXT(X483,"ddd d mmm, hh:mm")&amp;" · "&amp;Y483&amp;IF(Z483&lt;&gt;""," · £"&amp;TEXT(Z483,"0.00")&amp;" per player"," · price TBC (cost £"&amp;TEXT(V483,"0.00")&amp;" pp)"))</f>
        <v/>
      </c>
      <c r="AD483" s="44" t="n"/>
    </row>
    <row r="484">
      <c r="A484" s="13" t="n">
        <v>482</v>
      </c>
      <c r="B484" s="13" t="inlineStr">
        <is>
          <t>3 · E1 Whitechapel</t>
        </is>
      </c>
      <c r="C484" s="13" t="inlineStr">
        <is>
          <t>Hospitality</t>
        </is>
      </c>
      <c r="D484" s="13" t="inlineStr">
        <is>
          <t>Local businesses</t>
        </is>
      </c>
      <c r="E484" s="13" t="inlineStr">
        <is>
          <t>Circle &amp; Slice</t>
        </is>
      </c>
      <c r="F484" s="13" t="inlineStr">
        <is>
          <t>amenity: restaurant</t>
        </is>
      </c>
      <c r="G484" s="13" t="inlineStr">
        <is>
          <t>pixxawr@mypixxa.com</t>
        </is>
      </c>
      <c r="H484" s="13" t="inlineStr">
        <is>
          <t>openstreetmap_tag</t>
        </is>
      </c>
      <c r="I484" s="13" t="inlineStr">
        <is>
          <t>+44 7468 424328</t>
        </is>
      </c>
      <c r="J484" s="14" t="inlineStr">
        <is>
          <t>https://www.mypixxa.com/</t>
        </is>
      </c>
      <c r="K484" s="13" t="inlineStr">
        <is>
          <t>Whitechapel Road 11, London</t>
        </is>
      </c>
      <c r="L484" s="13" t="inlineStr">
        <is>
          <t>E1 1DU</t>
        </is>
      </c>
      <c r="M484" s="13" t="inlineStr">
        <is>
          <t>Whitechapel</t>
        </is>
      </c>
      <c r="N484" s="13" t="n">
        <v>12</v>
      </c>
      <c r="O484" s="15">
        <f>IFERROR(INDEX(Venues!$C$2:$C$10,MATCH(M484,Venues!$A$2:$A$10,0)),"Not checked")</f>
        <v/>
      </c>
      <c r="P484" s="15">
        <f>IFERROR(INDEX(Venues!$D$2:$D$10,MATCH(M484,Venues!$A$2:$A$10,0)),0)</f>
        <v/>
      </c>
      <c r="Q484" s="42">
        <f>IFERROR(INDEX(Venues!$E$2:$E$10,MATCH(M484,Venues!$A$2:$A$10,0)),"")</f>
        <v/>
      </c>
      <c r="R484" s="15">
        <f>IF(P484&gt;0,"Yes","No")</f>
        <v/>
      </c>
      <c r="S484" s="13" t="inlineStr">
        <is>
          <t>COLA Shoreditch Park</t>
        </is>
      </c>
      <c r="T484" s="42">
        <f>IFERROR(INDEX(Venues!$E$2:$E$10,MATCH(S484,Venues!$A$2:$A$10,0)),"")</f>
        <v/>
      </c>
      <c r="U484" s="15">
        <f>IFERROR(INDEX(Venues!$F$2:$F$10,MATCH(S484,Venues!$A$2:$A$10,0)),"")</f>
        <v/>
      </c>
      <c r="V484" s="43">
        <f>IFERROR(INDEX(Venues!$H$2:$H$10,MATCH(S484,Venues!$A$2:$A$10,0)),"")</f>
        <v/>
      </c>
      <c r="W484" s="15">
        <f>IF('Pilot offer'!$C$24="Yes",'Pilot offer'!$C$3,S484)</f>
        <v/>
      </c>
      <c r="X484" s="42">
        <f>IF('Pilot offer'!$C$24="Yes",'Pilot offer'!$C$5+'Pilot offer'!$C$6,T484)</f>
        <v/>
      </c>
      <c r="Y484" s="15">
        <f>IF('Pilot offer'!$C$24="Yes",'Pilot offer'!$C$8,U484)</f>
        <v/>
      </c>
      <c r="Z484" s="43">
        <f>IF('Pilot offer'!$C$24="Yes",'Pilot offer'!$C$11,"")</f>
        <v/>
      </c>
      <c r="AA484" s="15">
        <f>IF(X484="","",W484&amp;" · "&amp;TEXT(X484,"ddd d mmm, hh:mm")&amp;" · "&amp;Y484&amp;IF(Z484&lt;&gt;""," · £"&amp;TEXT(Z484,"0.00")&amp;" per player"," · price TBC (cost £"&amp;TEXT(V484,"0.00")&amp;" pp)"))</f>
        <v/>
      </c>
      <c r="AD484" s="44" t="n"/>
    </row>
    <row r="485">
      <c r="A485" s="13" t="n">
        <v>483</v>
      </c>
      <c r="B485" s="13" t="inlineStr">
        <is>
          <t>3 · E1 Whitechapel</t>
        </is>
      </c>
      <c r="C485" s="13" t="inlineStr">
        <is>
          <t>Office &amp; professional</t>
        </is>
      </c>
      <c r="D485" s="13" t="inlineStr">
        <is>
          <t>Corporate</t>
        </is>
      </c>
      <c r="E485" s="13" t="inlineStr">
        <is>
          <t>Complex Creative</t>
        </is>
      </c>
      <c r="F485" s="13" t="inlineStr">
        <is>
          <t>service</t>
        </is>
      </c>
      <c r="G485" s="13" t="inlineStr">
        <is>
          <t>hello@n0bsagency.com</t>
        </is>
      </c>
      <c r="H485" s="13" t="inlineStr">
        <is>
          <t>general</t>
        </is>
      </c>
      <c r="I485" s="13" t="inlineStr">
        <is>
          <t>+44 333 011 9628</t>
        </is>
      </c>
      <c r="J485" s="14" t="inlineStr">
        <is>
          <t>https://wearecomplexcreative.com/</t>
        </is>
      </c>
      <c r="K485" s="13" t="inlineStr">
        <is>
          <t>3.01, E1 Studios, 7 Whitechapel Rd, London E1 1DU, UK</t>
        </is>
      </c>
      <c r="L485" s="13" t="inlineStr">
        <is>
          <t>E1 1DU</t>
        </is>
      </c>
      <c r="M485" s="13" t="inlineStr">
        <is>
          <t>Whitechapel</t>
        </is>
      </c>
      <c r="N485" s="13" t="n">
        <v>12</v>
      </c>
      <c r="O485" s="15">
        <f>IFERROR(INDEX(Venues!$C$2:$C$10,MATCH(M485,Venues!$A$2:$A$10,0)),"Not checked")</f>
        <v/>
      </c>
      <c r="P485" s="15">
        <f>IFERROR(INDEX(Venues!$D$2:$D$10,MATCH(M485,Venues!$A$2:$A$10,0)),0)</f>
        <v/>
      </c>
      <c r="Q485" s="42">
        <f>IFERROR(INDEX(Venues!$E$2:$E$10,MATCH(M485,Venues!$A$2:$A$10,0)),"")</f>
        <v/>
      </c>
      <c r="R485" s="15">
        <f>IF(P485&gt;0,"Yes","No")</f>
        <v/>
      </c>
      <c r="S485" s="13" t="inlineStr">
        <is>
          <t>COLA Shoreditch Park</t>
        </is>
      </c>
      <c r="T485" s="42">
        <f>IFERROR(INDEX(Venues!$E$2:$E$10,MATCH(S485,Venues!$A$2:$A$10,0)),"")</f>
        <v/>
      </c>
      <c r="U485" s="15">
        <f>IFERROR(INDEX(Venues!$F$2:$F$10,MATCH(S485,Venues!$A$2:$A$10,0)),"")</f>
        <v/>
      </c>
      <c r="V485" s="43">
        <f>IFERROR(INDEX(Venues!$H$2:$H$10,MATCH(S485,Venues!$A$2:$A$10,0)),"")</f>
        <v/>
      </c>
      <c r="W485" s="15">
        <f>IF('Pilot offer'!$C$24="Yes",'Pilot offer'!$C$3,S485)</f>
        <v/>
      </c>
      <c r="X485" s="42">
        <f>IF('Pilot offer'!$C$24="Yes",'Pilot offer'!$C$5+'Pilot offer'!$C$6,T485)</f>
        <v/>
      </c>
      <c r="Y485" s="15">
        <f>IF('Pilot offer'!$C$24="Yes",'Pilot offer'!$C$8,U485)</f>
        <v/>
      </c>
      <c r="Z485" s="43">
        <f>IF('Pilot offer'!$C$24="Yes",'Pilot offer'!$C$11,"")</f>
        <v/>
      </c>
      <c r="AA485" s="15">
        <f>IF(X485="","",W485&amp;" · "&amp;TEXT(X485,"ddd d mmm, hh:mm")&amp;" · "&amp;Y485&amp;IF(Z485&lt;&gt;""," · £"&amp;TEXT(Z485,"0.00")&amp;" per player"," · price TBC (cost £"&amp;TEXT(V485,"0.00")&amp;" pp)"))</f>
        <v/>
      </c>
      <c r="AD485" s="44" t="n"/>
    </row>
    <row r="486">
      <c r="A486" s="13" t="n">
        <v>484</v>
      </c>
      <c r="B486" s="13" t="inlineStr">
        <is>
          <t>3 · E1 Whitechapel</t>
        </is>
      </c>
      <c r="C486" s="13" t="inlineStr">
        <is>
          <t>Coworking / shared office</t>
        </is>
      </c>
      <c r="D486" s="13" t="inlineStr">
        <is>
          <t>Corporate</t>
        </is>
      </c>
      <c r="E486" s="13" t="inlineStr">
        <is>
          <t>Hyatt Place London City East</t>
        </is>
      </c>
      <c r="F486" s="13" t="inlineStr">
        <is>
          <t>office building (multi-tenant)</t>
        </is>
      </c>
      <c r="G486" s="13" t="inlineStr">
        <is>
          <t>hyattlce.info@hyatt.com</t>
        </is>
      </c>
      <c r="H486" s="13" t="inlineStr">
        <is>
          <t>openstreetmap_tag</t>
        </is>
      </c>
      <c r="I486" s="13" t="inlineStr">
        <is>
          <t>+44 20 8159 1234</t>
        </is>
      </c>
      <c r="J486" s="14" t="inlineStr">
        <is>
          <t>https://www.hyatt.com/en-US/hotel/united-kingdom/hyatt-place-london-city-east/lhrzc</t>
        </is>
      </c>
      <c r="K486" s="13" t="inlineStr">
        <is>
          <t>45 Whitechapel Road, London</t>
        </is>
      </c>
      <c r="L486" s="13" t="inlineStr">
        <is>
          <t>E1 1DU</t>
        </is>
      </c>
      <c r="M486" s="13" t="inlineStr">
        <is>
          <t>Whitechapel</t>
        </is>
      </c>
      <c r="N486" s="13" t="n">
        <v>11</v>
      </c>
      <c r="O486" s="15">
        <f>IFERROR(INDEX(Venues!$C$2:$C$10,MATCH(M486,Venues!$A$2:$A$10,0)),"Not checked")</f>
        <v/>
      </c>
      <c r="P486" s="15">
        <f>IFERROR(INDEX(Venues!$D$2:$D$10,MATCH(M486,Venues!$A$2:$A$10,0)),0)</f>
        <v/>
      </c>
      <c r="Q486" s="42">
        <f>IFERROR(INDEX(Venues!$E$2:$E$10,MATCH(M486,Venues!$A$2:$A$10,0)),"")</f>
        <v/>
      </c>
      <c r="R486" s="15">
        <f>IF(P486&gt;0,"Yes","No")</f>
        <v/>
      </c>
      <c r="S486" s="13" t="inlineStr">
        <is>
          <t>COLA Shoreditch Park</t>
        </is>
      </c>
      <c r="T486" s="42">
        <f>IFERROR(INDEX(Venues!$E$2:$E$10,MATCH(S486,Venues!$A$2:$A$10,0)),"")</f>
        <v/>
      </c>
      <c r="U486" s="15">
        <f>IFERROR(INDEX(Venues!$F$2:$F$10,MATCH(S486,Venues!$A$2:$A$10,0)),"")</f>
        <v/>
      </c>
      <c r="V486" s="43">
        <f>IFERROR(INDEX(Venues!$H$2:$H$10,MATCH(S486,Venues!$A$2:$A$10,0)),"")</f>
        <v/>
      </c>
      <c r="W486" s="15">
        <f>IF('Pilot offer'!$C$24="Yes",'Pilot offer'!$C$3,S486)</f>
        <v/>
      </c>
      <c r="X486" s="42">
        <f>IF('Pilot offer'!$C$24="Yes",'Pilot offer'!$C$5+'Pilot offer'!$C$6,T486)</f>
        <v/>
      </c>
      <c r="Y486" s="15">
        <f>IF('Pilot offer'!$C$24="Yes",'Pilot offer'!$C$8,U486)</f>
        <v/>
      </c>
      <c r="Z486" s="43">
        <f>IF('Pilot offer'!$C$24="Yes",'Pilot offer'!$C$11,"")</f>
        <v/>
      </c>
      <c r="AA486" s="15">
        <f>IF(X486="","",W486&amp;" · "&amp;TEXT(X486,"ddd d mmm, hh:mm")&amp;" · "&amp;Y486&amp;IF(Z486&lt;&gt;""," · £"&amp;TEXT(Z486,"0.00")&amp;" per player"," · price TBC (cost £"&amp;TEXT(V486,"0.00")&amp;" pp)"))</f>
        <v/>
      </c>
      <c r="AD486" s="44" t="n"/>
    </row>
    <row r="487">
      <c r="A487" s="13" t="n">
        <v>485</v>
      </c>
      <c r="B487" s="13" t="inlineStr">
        <is>
          <t>3 · E1 Whitechapel</t>
        </is>
      </c>
      <c r="C487" s="13" t="inlineStr">
        <is>
          <t>Office &amp; professional</t>
        </is>
      </c>
      <c r="D487" s="13" t="inlineStr">
        <is>
          <t>Corporate</t>
        </is>
      </c>
      <c r="E487" s="13" t="inlineStr">
        <is>
          <t>Legit Solicitors</t>
        </is>
      </c>
      <c r="F487" s="13" t="inlineStr">
        <is>
          <t>consultant</t>
        </is>
      </c>
      <c r="G487" s="13" t="inlineStr">
        <is>
          <t>info@legitsolicitors.com</t>
        </is>
      </c>
      <c r="H487" s="13" t="inlineStr">
        <is>
          <t>general</t>
        </is>
      </c>
      <c r="I487" s="13" t="inlineStr">
        <is>
          <t>+44 20 8004 4424</t>
        </is>
      </c>
      <c r="J487" s="14" t="inlineStr">
        <is>
          <t>https://www.legitsolicitors.com/</t>
        </is>
      </c>
      <c r="K487" s="13" t="inlineStr">
        <is>
          <t>Unit 3.21 East, Works, 75 Whitechapel Rd, London E1 1DU, UK</t>
        </is>
      </c>
      <c r="L487" s="13" t="inlineStr">
        <is>
          <t>E1 1DU</t>
        </is>
      </c>
      <c r="M487" s="13" t="inlineStr">
        <is>
          <t>Whitechapel</t>
        </is>
      </c>
      <c r="N487" s="13" t="n">
        <v>10</v>
      </c>
      <c r="O487" s="15">
        <f>IFERROR(INDEX(Venues!$C$2:$C$10,MATCH(M487,Venues!$A$2:$A$10,0)),"Not checked")</f>
        <v/>
      </c>
      <c r="P487" s="15">
        <f>IFERROR(INDEX(Venues!$D$2:$D$10,MATCH(M487,Venues!$A$2:$A$10,0)),0)</f>
        <v/>
      </c>
      <c r="Q487" s="42">
        <f>IFERROR(INDEX(Venues!$E$2:$E$10,MATCH(M487,Venues!$A$2:$A$10,0)),"")</f>
        <v/>
      </c>
      <c r="R487" s="15">
        <f>IF(P487&gt;0,"Yes","No")</f>
        <v/>
      </c>
      <c r="S487" s="13" t="inlineStr">
        <is>
          <t>COLA Shoreditch Park</t>
        </is>
      </c>
      <c r="T487" s="42">
        <f>IFERROR(INDEX(Venues!$E$2:$E$10,MATCH(S487,Venues!$A$2:$A$10,0)),"")</f>
        <v/>
      </c>
      <c r="U487" s="15">
        <f>IFERROR(INDEX(Venues!$F$2:$F$10,MATCH(S487,Venues!$A$2:$A$10,0)),"")</f>
        <v/>
      </c>
      <c r="V487" s="43">
        <f>IFERROR(INDEX(Venues!$H$2:$H$10,MATCH(S487,Venues!$A$2:$A$10,0)),"")</f>
        <v/>
      </c>
      <c r="W487" s="15">
        <f>IF('Pilot offer'!$C$24="Yes",'Pilot offer'!$C$3,S487)</f>
        <v/>
      </c>
      <c r="X487" s="42">
        <f>IF('Pilot offer'!$C$24="Yes",'Pilot offer'!$C$5+'Pilot offer'!$C$6,T487)</f>
        <v/>
      </c>
      <c r="Y487" s="15">
        <f>IF('Pilot offer'!$C$24="Yes",'Pilot offer'!$C$8,U487)</f>
        <v/>
      </c>
      <c r="Z487" s="43">
        <f>IF('Pilot offer'!$C$24="Yes",'Pilot offer'!$C$11,"")</f>
        <v/>
      </c>
      <c r="AA487" s="15">
        <f>IF(X487="","",W487&amp;" · "&amp;TEXT(X487,"ddd d mmm, hh:mm")&amp;" · "&amp;Y487&amp;IF(Z487&lt;&gt;""," · £"&amp;TEXT(Z487,"0.00")&amp;" per player"," · price TBC (cost £"&amp;TEXT(V487,"0.00")&amp;" pp)"))</f>
        <v/>
      </c>
      <c r="AD487" s="44" t="n"/>
    </row>
    <row r="488">
      <c r="A488" s="13" t="n">
        <v>486</v>
      </c>
      <c r="B488" s="13" t="inlineStr">
        <is>
          <t>3 · E1 Whitechapel</t>
        </is>
      </c>
      <c r="C488" s="13" t="inlineStr">
        <is>
          <t>Coworking / shared office</t>
        </is>
      </c>
      <c r="D488" s="13" t="inlineStr">
        <is>
          <t>Corporate</t>
        </is>
      </c>
      <c r="E488" s="13" t="inlineStr">
        <is>
          <t>Sunnamusk</t>
        </is>
      </c>
      <c r="F488" s="13" t="inlineStr">
        <is>
          <t>office building (multi-tenant)</t>
        </is>
      </c>
      <c r="G488" s="13" t="inlineStr">
        <is>
          <t>online@sunnamusk.com</t>
        </is>
      </c>
      <c r="H488" s="13" t="inlineStr">
        <is>
          <t>person_or_other</t>
        </is>
      </c>
      <c r="I488" s="13" t="n"/>
      <c r="J488" s="14" t="inlineStr">
        <is>
          <t>https://sunnamusk.com/</t>
        </is>
      </c>
      <c r="K488" s="13" t="inlineStr">
        <is>
          <t>75 Whitechapel Road, London</t>
        </is>
      </c>
      <c r="L488" s="13" t="inlineStr">
        <is>
          <t>E1 1DU</t>
        </is>
      </c>
      <c r="M488" s="13" t="inlineStr">
        <is>
          <t>Whitechapel</t>
        </is>
      </c>
      <c r="N488" s="13" t="n">
        <v>10</v>
      </c>
      <c r="O488" s="15">
        <f>IFERROR(INDEX(Venues!$C$2:$C$10,MATCH(M488,Venues!$A$2:$A$10,0)),"Not checked")</f>
        <v/>
      </c>
      <c r="P488" s="15">
        <f>IFERROR(INDEX(Venues!$D$2:$D$10,MATCH(M488,Venues!$A$2:$A$10,0)),0)</f>
        <v/>
      </c>
      <c r="Q488" s="42">
        <f>IFERROR(INDEX(Venues!$E$2:$E$10,MATCH(M488,Venues!$A$2:$A$10,0)),"")</f>
        <v/>
      </c>
      <c r="R488" s="15">
        <f>IF(P488&gt;0,"Yes","No")</f>
        <v/>
      </c>
      <c r="S488" s="13" t="inlineStr">
        <is>
          <t>COLA Shoreditch Park</t>
        </is>
      </c>
      <c r="T488" s="42">
        <f>IFERROR(INDEX(Venues!$E$2:$E$10,MATCH(S488,Venues!$A$2:$A$10,0)),"")</f>
        <v/>
      </c>
      <c r="U488" s="15">
        <f>IFERROR(INDEX(Venues!$F$2:$F$10,MATCH(S488,Venues!$A$2:$A$10,0)),"")</f>
        <v/>
      </c>
      <c r="V488" s="43">
        <f>IFERROR(INDEX(Venues!$H$2:$H$10,MATCH(S488,Venues!$A$2:$A$10,0)),"")</f>
        <v/>
      </c>
      <c r="W488" s="15">
        <f>IF('Pilot offer'!$C$24="Yes",'Pilot offer'!$C$3,S488)</f>
        <v/>
      </c>
      <c r="X488" s="42">
        <f>IF('Pilot offer'!$C$24="Yes",'Pilot offer'!$C$5+'Pilot offer'!$C$6,T488)</f>
        <v/>
      </c>
      <c r="Y488" s="15">
        <f>IF('Pilot offer'!$C$24="Yes",'Pilot offer'!$C$8,U488)</f>
        <v/>
      </c>
      <c r="Z488" s="43">
        <f>IF('Pilot offer'!$C$24="Yes",'Pilot offer'!$C$11,"")</f>
        <v/>
      </c>
      <c r="AA488" s="15">
        <f>IF(X488="","",W488&amp;" · "&amp;TEXT(X488,"ddd d mmm, hh:mm")&amp;" · "&amp;Y488&amp;IF(Z488&lt;&gt;""," · £"&amp;TEXT(Z488,"0.00")&amp;" per player"," · price TBC (cost £"&amp;TEXT(V488,"0.00")&amp;" pp)"))</f>
        <v/>
      </c>
      <c r="AD488" s="44" t="n"/>
    </row>
    <row r="489">
      <c r="A489" s="13" t="n">
        <v>487</v>
      </c>
      <c r="B489" s="13" t="inlineStr">
        <is>
          <t>3 · E1 Whitechapel</t>
        </is>
      </c>
      <c r="C489" s="13" t="inlineStr">
        <is>
          <t>Hospitality</t>
        </is>
      </c>
      <c r="D489" s="13" t="inlineStr">
        <is>
          <t>Local businesses</t>
        </is>
      </c>
      <c r="E489" s="13" t="inlineStr">
        <is>
          <t>The Corner Hotel, London City</t>
        </is>
      </c>
      <c r="F489" s="13" t="inlineStr">
        <is>
          <t>tourism: hotel</t>
        </is>
      </c>
      <c r="G489" s="13" t="inlineStr">
        <is>
          <t>reception@thecornerlondoncity.co.uk</t>
        </is>
      </c>
      <c r="H489" s="13" t="inlineStr">
        <is>
          <t>openstreetmap_tag</t>
        </is>
      </c>
      <c r="I489" s="13" t="inlineStr">
        <is>
          <t>+44 20 3021 1440</t>
        </is>
      </c>
      <c r="J489" s="14" t="inlineStr">
        <is>
          <t>https://www.thecornerlondoncity.co.uk</t>
        </is>
      </c>
      <c r="K489" s="13" t="inlineStr">
        <is>
          <t>Adler Street 42, London</t>
        </is>
      </c>
      <c r="L489" s="13" t="inlineStr">
        <is>
          <t>E1 1EE</t>
        </is>
      </c>
      <c r="M489" s="13" t="inlineStr">
        <is>
          <t>Whitechapel</t>
        </is>
      </c>
      <c r="N489" s="13" t="n">
        <v>9</v>
      </c>
      <c r="O489" s="15">
        <f>IFERROR(INDEX(Venues!$C$2:$C$10,MATCH(M489,Venues!$A$2:$A$10,0)),"Not checked")</f>
        <v/>
      </c>
      <c r="P489" s="15">
        <f>IFERROR(INDEX(Venues!$D$2:$D$10,MATCH(M489,Venues!$A$2:$A$10,0)),0)</f>
        <v/>
      </c>
      <c r="Q489" s="42">
        <f>IFERROR(INDEX(Venues!$E$2:$E$10,MATCH(M489,Venues!$A$2:$A$10,0)),"")</f>
        <v/>
      </c>
      <c r="R489" s="15">
        <f>IF(P489&gt;0,"Yes","No")</f>
        <v/>
      </c>
      <c r="S489" s="13" t="inlineStr">
        <is>
          <t>COLA Shoreditch Park</t>
        </is>
      </c>
      <c r="T489" s="42">
        <f>IFERROR(INDEX(Venues!$E$2:$E$10,MATCH(S489,Venues!$A$2:$A$10,0)),"")</f>
        <v/>
      </c>
      <c r="U489" s="15">
        <f>IFERROR(INDEX(Venues!$F$2:$F$10,MATCH(S489,Venues!$A$2:$A$10,0)),"")</f>
        <v/>
      </c>
      <c r="V489" s="43">
        <f>IFERROR(INDEX(Venues!$H$2:$H$10,MATCH(S489,Venues!$A$2:$A$10,0)),"")</f>
        <v/>
      </c>
      <c r="W489" s="15">
        <f>IF('Pilot offer'!$C$24="Yes",'Pilot offer'!$C$3,S489)</f>
        <v/>
      </c>
      <c r="X489" s="42">
        <f>IF('Pilot offer'!$C$24="Yes",'Pilot offer'!$C$5+'Pilot offer'!$C$6,T489)</f>
        <v/>
      </c>
      <c r="Y489" s="15">
        <f>IF('Pilot offer'!$C$24="Yes",'Pilot offer'!$C$8,U489)</f>
        <v/>
      </c>
      <c r="Z489" s="43">
        <f>IF('Pilot offer'!$C$24="Yes",'Pilot offer'!$C$11,"")</f>
        <v/>
      </c>
      <c r="AA489" s="15">
        <f>IF(X489="","",W489&amp;" · "&amp;TEXT(X489,"ddd d mmm, hh:mm")&amp;" · "&amp;Y489&amp;IF(Z489&lt;&gt;""," · £"&amp;TEXT(Z489,"0.00")&amp;" per player"," · price TBC (cost £"&amp;TEXT(V489,"0.00")&amp;" pp)"))</f>
        <v/>
      </c>
      <c r="AD489" s="44" t="n"/>
    </row>
    <row r="490">
      <c r="A490" s="13" t="n">
        <v>488</v>
      </c>
      <c r="B490" s="13" t="inlineStr">
        <is>
          <t>3 · E1 Whitechapel</t>
        </is>
      </c>
      <c r="C490" s="13" t="inlineStr">
        <is>
          <t>Office &amp; professional</t>
        </is>
      </c>
      <c r="D490" s="13" t="inlineStr">
        <is>
          <t>Corporate</t>
        </is>
      </c>
      <c r="E490" s="13" t="inlineStr">
        <is>
          <t>Westferry Tech | Website Development Company | Software Development Company | Mobile App Development Company in London UK</t>
        </is>
      </c>
      <c r="F490" s="13" t="inlineStr">
        <is>
          <t>service</t>
        </is>
      </c>
      <c r="G490" s="13" t="inlineStr">
        <is>
          <t>info@westferrytech.com</t>
        </is>
      </c>
      <c r="H490" s="13" t="inlineStr">
        <is>
          <t>general</t>
        </is>
      </c>
      <c r="I490" s="13" t="inlineStr">
        <is>
          <t>+44 7950 782569</t>
        </is>
      </c>
      <c r="J490" s="14" t="inlineStr">
        <is>
          <t>https://www.westferrytech.com/</t>
        </is>
      </c>
      <c r="K490" s="13" t="inlineStr">
        <is>
          <t>Unit19, 1-13 Adler St, London E1 1EG, UK</t>
        </is>
      </c>
      <c r="L490" s="13" t="inlineStr">
        <is>
          <t>E1 1EG</t>
        </is>
      </c>
      <c r="M490" s="13" t="inlineStr">
        <is>
          <t>Whitechapel</t>
        </is>
      </c>
      <c r="N490" s="13" t="n">
        <v>9</v>
      </c>
      <c r="O490" s="15">
        <f>IFERROR(INDEX(Venues!$C$2:$C$10,MATCH(M490,Venues!$A$2:$A$10,0)),"Not checked")</f>
        <v/>
      </c>
      <c r="P490" s="15">
        <f>IFERROR(INDEX(Venues!$D$2:$D$10,MATCH(M490,Venues!$A$2:$A$10,0)),0)</f>
        <v/>
      </c>
      <c r="Q490" s="42">
        <f>IFERROR(INDEX(Venues!$E$2:$E$10,MATCH(M490,Venues!$A$2:$A$10,0)),"")</f>
        <v/>
      </c>
      <c r="R490" s="15">
        <f>IF(P490&gt;0,"Yes","No")</f>
        <v/>
      </c>
      <c r="S490" s="13" t="inlineStr">
        <is>
          <t>COLA Shoreditch Park</t>
        </is>
      </c>
      <c r="T490" s="42">
        <f>IFERROR(INDEX(Venues!$E$2:$E$10,MATCH(S490,Venues!$A$2:$A$10,0)),"")</f>
        <v/>
      </c>
      <c r="U490" s="15">
        <f>IFERROR(INDEX(Venues!$F$2:$F$10,MATCH(S490,Venues!$A$2:$A$10,0)),"")</f>
        <v/>
      </c>
      <c r="V490" s="43">
        <f>IFERROR(INDEX(Venues!$H$2:$H$10,MATCH(S490,Venues!$A$2:$A$10,0)),"")</f>
        <v/>
      </c>
      <c r="W490" s="15">
        <f>IF('Pilot offer'!$C$24="Yes",'Pilot offer'!$C$3,S490)</f>
        <v/>
      </c>
      <c r="X490" s="42">
        <f>IF('Pilot offer'!$C$24="Yes",'Pilot offer'!$C$5+'Pilot offer'!$C$6,T490)</f>
        <v/>
      </c>
      <c r="Y490" s="15">
        <f>IF('Pilot offer'!$C$24="Yes",'Pilot offer'!$C$8,U490)</f>
        <v/>
      </c>
      <c r="Z490" s="43">
        <f>IF('Pilot offer'!$C$24="Yes",'Pilot offer'!$C$11,"")</f>
        <v/>
      </c>
      <c r="AA490" s="15">
        <f>IF(X490="","",W490&amp;" · "&amp;TEXT(X490,"ddd d mmm, hh:mm")&amp;" · "&amp;Y490&amp;IF(Z490&lt;&gt;""," · £"&amp;TEXT(Z490,"0.00")&amp;" per player"," · price TBC (cost £"&amp;TEXT(V490,"0.00")&amp;" pp)"))</f>
        <v/>
      </c>
      <c r="AD490" s="44" t="n"/>
    </row>
    <row r="491">
      <c r="A491" s="13" t="n">
        <v>489</v>
      </c>
      <c r="B491" s="13" t="inlineStr">
        <is>
          <t>3 · E1 Whitechapel</t>
        </is>
      </c>
      <c r="C491" s="13" t="inlineStr">
        <is>
          <t>Hospitality</t>
        </is>
      </c>
      <c r="D491" s="13" t="inlineStr">
        <is>
          <t>Local businesses</t>
        </is>
      </c>
      <c r="E491" s="13" t="inlineStr">
        <is>
          <t>Wynfrid House</t>
        </is>
      </c>
      <c r="F491" s="13" t="inlineStr">
        <is>
          <t>tourism: hostel</t>
        </is>
      </c>
      <c r="G491" s="13" t="inlineStr">
        <is>
          <t>mail@wynfridhouse.com</t>
        </is>
      </c>
      <c r="H491" s="13" t="inlineStr">
        <is>
          <t>openstreetmap_tag</t>
        </is>
      </c>
      <c r="I491" s="13" t="inlineStr">
        <is>
          <t>+44 20 7247 6110</t>
        </is>
      </c>
      <c r="J491" s="14" t="inlineStr">
        <is>
          <t>https://wynfridhouse.com/</t>
        </is>
      </c>
      <c r="K491" s="13" t="inlineStr">
        <is>
          <t>Mulberry Street 20, London</t>
        </is>
      </c>
      <c r="L491" s="13" t="inlineStr">
        <is>
          <t>E1 1EH</t>
        </is>
      </c>
      <c r="M491" s="13" t="inlineStr">
        <is>
          <t>Whitechapel</t>
        </is>
      </c>
      <c r="N491" s="13" t="n">
        <v>9</v>
      </c>
      <c r="O491" s="15">
        <f>IFERROR(INDEX(Venues!$C$2:$C$10,MATCH(M491,Venues!$A$2:$A$10,0)),"Not checked")</f>
        <v/>
      </c>
      <c r="P491" s="15">
        <f>IFERROR(INDEX(Venues!$D$2:$D$10,MATCH(M491,Venues!$A$2:$A$10,0)),0)</f>
        <v/>
      </c>
      <c r="Q491" s="42">
        <f>IFERROR(INDEX(Venues!$E$2:$E$10,MATCH(M491,Venues!$A$2:$A$10,0)),"")</f>
        <v/>
      </c>
      <c r="R491" s="15">
        <f>IF(P491&gt;0,"Yes","No")</f>
        <v/>
      </c>
      <c r="S491" s="13" t="inlineStr">
        <is>
          <t>COLA Shoreditch Park</t>
        </is>
      </c>
      <c r="T491" s="42">
        <f>IFERROR(INDEX(Venues!$E$2:$E$10,MATCH(S491,Venues!$A$2:$A$10,0)),"")</f>
        <v/>
      </c>
      <c r="U491" s="15">
        <f>IFERROR(INDEX(Venues!$F$2:$F$10,MATCH(S491,Venues!$A$2:$A$10,0)),"")</f>
        <v/>
      </c>
      <c r="V491" s="43">
        <f>IFERROR(INDEX(Venues!$H$2:$H$10,MATCH(S491,Venues!$A$2:$A$10,0)),"")</f>
        <v/>
      </c>
      <c r="W491" s="15">
        <f>IF('Pilot offer'!$C$24="Yes",'Pilot offer'!$C$3,S491)</f>
        <v/>
      </c>
      <c r="X491" s="42">
        <f>IF('Pilot offer'!$C$24="Yes",'Pilot offer'!$C$5+'Pilot offer'!$C$6,T491)</f>
        <v/>
      </c>
      <c r="Y491" s="15">
        <f>IF('Pilot offer'!$C$24="Yes",'Pilot offer'!$C$8,U491)</f>
        <v/>
      </c>
      <c r="Z491" s="43">
        <f>IF('Pilot offer'!$C$24="Yes",'Pilot offer'!$C$11,"")</f>
        <v/>
      </c>
      <c r="AA491" s="15">
        <f>IF(X491="","",W491&amp;" · "&amp;TEXT(X491,"ddd d mmm, hh:mm")&amp;" · "&amp;Y491&amp;IF(Z491&lt;&gt;""," · £"&amp;TEXT(Z491,"0.00")&amp;" per player"," · price TBC (cost £"&amp;TEXT(V491,"0.00")&amp;" pp)"))</f>
        <v/>
      </c>
      <c r="AD491" s="44" t="n"/>
    </row>
    <row r="492">
      <c r="A492" s="13" t="n">
        <v>490</v>
      </c>
      <c r="B492" s="13" t="inlineStr">
        <is>
          <t>3 · E1 Whitechapel</t>
        </is>
      </c>
      <c r="C492" s="13" t="inlineStr">
        <is>
          <t>Office &amp; professional</t>
        </is>
      </c>
      <c r="D492" s="13" t="inlineStr">
        <is>
          <t>Corporate</t>
        </is>
      </c>
      <c r="E492" s="13" t="inlineStr">
        <is>
          <t>Capstone Accountants</t>
        </is>
      </c>
      <c r="F492" s="13" t="inlineStr">
        <is>
          <t>finance</t>
        </is>
      </c>
      <c r="G492" s="13" t="inlineStr">
        <is>
          <t>info@capstoneaccountants.co.uk</t>
        </is>
      </c>
      <c r="H492" s="13" t="inlineStr">
        <is>
          <t>general</t>
        </is>
      </c>
      <c r="I492" s="13" t="inlineStr">
        <is>
          <t>+44 20 7247 0743</t>
        </is>
      </c>
      <c r="J492" s="14" t="inlineStr">
        <is>
          <t>http://www.capstoneaccountants.co.uk/</t>
        </is>
      </c>
      <c r="K492" s="13" t="inlineStr">
        <is>
          <t>93, 101 Greenfield Rd, London E1 1EJ, UK</t>
        </is>
      </c>
      <c r="L492" s="13" t="inlineStr">
        <is>
          <t>E1 1EJ</t>
        </is>
      </c>
      <c r="M492" s="13" t="inlineStr">
        <is>
          <t>Whitechapel</t>
        </is>
      </c>
      <c r="N492" s="13" t="n">
        <v>8</v>
      </c>
      <c r="O492" s="15">
        <f>IFERROR(INDEX(Venues!$C$2:$C$10,MATCH(M492,Venues!$A$2:$A$10,0)),"Not checked")</f>
        <v/>
      </c>
      <c r="P492" s="15">
        <f>IFERROR(INDEX(Venues!$D$2:$D$10,MATCH(M492,Venues!$A$2:$A$10,0)),0)</f>
        <v/>
      </c>
      <c r="Q492" s="42">
        <f>IFERROR(INDEX(Venues!$E$2:$E$10,MATCH(M492,Venues!$A$2:$A$10,0)),"")</f>
        <v/>
      </c>
      <c r="R492" s="15">
        <f>IF(P492&gt;0,"Yes","No")</f>
        <v/>
      </c>
      <c r="S492" s="13" t="inlineStr">
        <is>
          <t>COLA Shoreditch Park</t>
        </is>
      </c>
      <c r="T492" s="42">
        <f>IFERROR(INDEX(Venues!$E$2:$E$10,MATCH(S492,Venues!$A$2:$A$10,0)),"")</f>
        <v/>
      </c>
      <c r="U492" s="15">
        <f>IFERROR(INDEX(Venues!$F$2:$F$10,MATCH(S492,Venues!$A$2:$A$10,0)),"")</f>
        <v/>
      </c>
      <c r="V492" s="43">
        <f>IFERROR(INDEX(Venues!$H$2:$H$10,MATCH(S492,Venues!$A$2:$A$10,0)),"")</f>
        <v/>
      </c>
      <c r="W492" s="15">
        <f>IF('Pilot offer'!$C$24="Yes",'Pilot offer'!$C$3,S492)</f>
        <v/>
      </c>
      <c r="X492" s="42">
        <f>IF('Pilot offer'!$C$24="Yes",'Pilot offer'!$C$5+'Pilot offer'!$C$6,T492)</f>
        <v/>
      </c>
      <c r="Y492" s="15">
        <f>IF('Pilot offer'!$C$24="Yes",'Pilot offer'!$C$8,U492)</f>
        <v/>
      </c>
      <c r="Z492" s="43">
        <f>IF('Pilot offer'!$C$24="Yes",'Pilot offer'!$C$11,"")</f>
        <v/>
      </c>
      <c r="AA492" s="15">
        <f>IF(X492="","",W492&amp;" · "&amp;TEXT(X492,"ddd d mmm, hh:mm")&amp;" · "&amp;Y492&amp;IF(Z492&lt;&gt;""," · £"&amp;TEXT(Z492,"0.00")&amp;" per player"," · price TBC (cost £"&amp;TEXT(V492,"0.00")&amp;" pp)"))</f>
        <v/>
      </c>
      <c r="AD492" s="44" t="n"/>
    </row>
    <row r="493">
      <c r="A493" s="13" t="n">
        <v>491</v>
      </c>
      <c r="B493" s="13" t="inlineStr">
        <is>
          <t>3 · E1 Whitechapel</t>
        </is>
      </c>
      <c r="C493" s="13" t="inlineStr">
        <is>
          <t>Office &amp; professional</t>
        </is>
      </c>
      <c r="D493" s="13" t="inlineStr">
        <is>
          <t>Corporate</t>
        </is>
      </c>
      <c r="E493" s="13" t="inlineStr">
        <is>
          <t>Citygate Accountants</t>
        </is>
      </c>
      <c r="F493" s="13" t="inlineStr">
        <is>
          <t>finance</t>
        </is>
      </c>
      <c r="G493" s="13" t="inlineStr">
        <is>
          <t>info@citygateaccountants.co.uk</t>
        </is>
      </c>
      <c r="H493" s="13" t="inlineStr">
        <is>
          <t>general</t>
        </is>
      </c>
      <c r="I493" s="13" t="inlineStr">
        <is>
          <t>+44 20 3553 1059</t>
        </is>
      </c>
      <c r="J493" s="14" t="inlineStr">
        <is>
          <t>http://www.citygateaccountants.co.uk/</t>
        </is>
      </c>
      <c r="K493" s="13" t="inlineStr">
        <is>
          <t>East, Business Centre, 93-101 Greenfield Rd, London E1 1EJ, UK</t>
        </is>
      </c>
      <c r="L493" s="13" t="inlineStr">
        <is>
          <t>E1 1EJ</t>
        </is>
      </c>
      <c r="M493" s="13" t="inlineStr">
        <is>
          <t>Whitechapel</t>
        </is>
      </c>
      <c r="N493" s="13" t="n">
        <v>8</v>
      </c>
      <c r="O493" s="15">
        <f>IFERROR(INDEX(Venues!$C$2:$C$10,MATCH(M493,Venues!$A$2:$A$10,0)),"Not checked")</f>
        <v/>
      </c>
      <c r="P493" s="15">
        <f>IFERROR(INDEX(Venues!$D$2:$D$10,MATCH(M493,Venues!$A$2:$A$10,0)),0)</f>
        <v/>
      </c>
      <c r="Q493" s="42">
        <f>IFERROR(INDEX(Venues!$E$2:$E$10,MATCH(M493,Venues!$A$2:$A$10,0)),"")</f>
        <v/>
      </c>
      <c r="R493" s="15">
        <f>IF(P493&gt;0,"Yes","No")</f>
        <v/>
      </c>
      <c r="S493" s="13" t="inlineStr">
        <is>
          <t>COLA Shoreditch Park</t>
        </is>
      </c>
      <c r="T493" s="42">
        <f>IFERROR(INDEX(Venues!$E$2:$E$10,MATCH(S493,Venues!$A$2:$A$10,0)),"")</f>
        <v/>
      </c>
      <c r="U493" s="15">
        <f>IFERROR(INDEX(Venues!$F$2:$F$10,MATCH(S493,Venues!$A$2:$A$10,0)),"")</f>
        <v/>
      </c>
      <c r="V493" s="43">
        <f>IFERROR(INDEX(Venues!$H$2:$H$10,MATCH(S493,Venues!$A$2:$A$10,0)),"")</f>
        <v/>
      </c>
      <c r="W493" s="15">
        <f>IF('Pilot offer'!$C$24="Yes",'Pilot offer'!$C$3,S493)</f>
        <v/>
      </c>
      <c r="X493" s="42">
        <f>IF('Pilot offer'!$C$24="Yes",'Pilot offer'!$C$5+'Pilot offer'!$C$6,T493)</f>
        <v/>
      </c>
      <c r="Y493" s="15">
        <f>IF('Pilot offer'!$C$24="Yes",'Pilot offer'!$C$8,U493)</f>
        <v/>
      </c>
      <c r="Z493" s="43">
        <f>IF('Pilot offer'!$C$24="Yes",'Pilot offer'!$C$11,"")</f>
        <v/>
      </c>
      <c r="AA493" s="15">
        <f>IF(X493="","",W493&amp;" · "&amp;TEXT(X493,"ddd d mmm, hh:mm")&amp;" · "&amp;Y493&amp;IF(Z493&lt;&gt;""," · £"&amp;TEXT(Z493,"0.00")&amp;" per player"," · price TBC (cost £"&amp;TEXT(V493,"0.00")&amp;" pp)"))</f>
        <v/>
      </c>
      <c r="AD493" s="44" t="n"/>
    </row>
    <row r="494">
      <c r="A494" s="13" t="n">
        <v>492</v>
      </c>
      <c r="B494" s="13" t="inlineStr">
        <is>
          <t>3 · E1 Whitechapel</t>
        </is>
      </c>
      <c r="C494" s="13" t="inlineStr">
        <is>
          <t>Education</t>
        </is>
      </c>
      <c r="D494" s="13" t="inlineStr">
        <is>
          <t>Local businesses</t>
        </is>
      </c>
      <c r="E494" s="13" t="inlineStr">
        <is>
          <t>Ebrahim College</t>
        </is>
      </c>
      <c r="F494" s="13" t="inlineStr">
        <is>
          <t>amenity: college</t>
        </is>
      </c>
      <c r="G494" s="13" t="inlineStr">
        <is>
          <t>info@ebrahimcollege.org.uk</t>
        </is>
      </c>
      <c r="H494" s="13" t="inlineStr">
        <is>
          <t>openstreetmap_tag</t>
        </is>
      </c>
      <c r="I494" s="13" t="inlineStr">
        <is>
          <t>+44 20 7377 6677</t>
        </is>
      </c>
      <c r="J494" s="14" t="inlineStr">
        <is>
          <t>https://ebrahimcollege.org.uk</t>
        </is>
      </c>
      <c r="K494" s="13" t="inlineStr">
        <is>
          <t>Greenfield Road 80, London</t>
        </is>
      </c>
      <c r="L494" s="13" t="inlineStr">
        <is>
          <t>E1 1EJ</t>
        </is>
      </c>
      <c r="M494" s="13" t="inlineStr">
        <is>
          <t>Whitechapel</t>
        </is>
      </c>
      <c r="N494" s="13" t="n">
        <v>7</v>
      </c>
      <c r="O494" s="15">
        <f>IFERROR(INDEX(Venues!$C$2:$C$10,MATCH(M494,Venues!$A$2:$A$10,0)),"Not checked")</f>
        <v/>
      </c>
      <c r="P494" s="15">
        <f>IFERROR(INDEX(Venues!$D$2:$D$10,MATCH(M494,Venues!$A$2:$A$10,0)),0)</f>
        <v/>
      </c>
      <c r="Q494" s="42">
        <f>IFERROR(INDEX(Venues!$E$2:$E$10,MATCH(M494,Venues!$A$2:$A$10,0)),"")</f>
        <v/>
      </c>
      <c r="R494" s="15">
        <f>IF(P494&gt;0,"Yes","No")</f>
        <v/>
      </c>
      <c r="S494" s="13" t="inlineStr">
        <is>
          <t>COLA Shoreditch Park</t>
        </is>
      </c>
      <c r="T494" s="42">
        <f>IFERROR(INDEX(Venues!$E$2:$E$10,MATCH(S494,Venues!$A$2:$A$10,0)),"")</f>
        <v/>
      </c>
      <c r="U494" s="15">
        <f>IFERROR(INDEX(Venues!$F$2:$F$10,MATCH(S494,Venues!$A$2:$A$10,0)),"")</f>
        <v/>
      </c>
      <c r="V494" s="43">
        <f>IFERROR(INDEX(Venues!$H$2:$H$10,MATCH(S494,Venues!$A$2:$A$10,0)),"")</f>
        <v/>
      </c>
      <c r="W494" s="15">
        <f>IF('Pilot offer'!$C$24="Yes",'Pilot offer'!$C$3,S494)</f>
        <v/>
      </c>
      <c r="X494" s="42">
        <f>IF('Pilot offer'!$C$24="Yes",'Pilot offer'!$C$5+'Pilot offer'!$C$6,T494)</f>
        <v/>
      </c>
      <c r="Y494" s="15">
        <f>IF('Pilot offer'!$C$24="Yes",'Pilot offer'!$C$8,U494)</f>
        <v/>
      </c>
      <c r="Z494" s="43">
        <f>IF('Pilot offer'!$C$24="Yes",'Pilot offer'!$C$11,"")</f>
        <v/>
      </c>
      <c r="AA494" s="15">
        <f>IF(X494="","",W494&amp;" · "&amp;TEXT(X494,"ddd d mmm, hh:mm")&amp;" · "&amp;Y494&amp;IF(Z494&lt;&gt;""," · £"&amp;TEXT(Z494,"0.00")&amp;" per player"," · price TBC (cost £"&amp;TEXT(V494,"0.00")&amp;" pp)"))</f>
        <v/>
      </c>
      <c r="AD494" s="44" t="n"/>
    </row>
    <row r="495">
      <c r="A495" s="13" t="n">
        <v>493</v>
      </c>
      <c r="B495" s="13" t="inlineStr">
        <is>
          <t>3 · E1 Whitechapel</t>
        </is>
      </c>
      <c r="C495" s="13" t="inlineStr">
        <is>
          <t>Leisure &amp; culture</t>
        </is>
      </c>
      <c r="D495" s="13" t="inlineStr">
        <is>
          <t>Local businesses</t>
        </is>
      </c>
      <c r="E495" s="13" t="inlineStr">
        <is>
          <t>London Action Resource Centre</t>
        </is>
      </c>
      <c r="F495" s="13" t="inlineStr">
        <is>
          <t>amenity: community centre</t>
        </is>
      </c>
      <c r="G495" s="13" t="inlineStr">
        <is>
          <t>larc@riseup.net</t>
        </is>
      </c>
      <c r="H495" s="13" t="inlineStr">
        <is>
          <t>openstreetmap_tag</t>
        </is>
      </c>
      <c r="I495" s="13" t="inlineStr">
        <is>
          <t>+44 20 7377 9088</t>
        </is>
      </c>
      <c r="J495" s="14" t="inlineStr">
        <is>
          <t>https://larc.space/</t>
        </is>
      </c>
      <c r="K495" s="13" t="inlineStr">
        <is>
          <t>Fieldgate Street 62, London</t>
        </is>
      </c>
      <c r="L495" s="13" t="inlineStr">
        <is>
          <t>E1 1ES</t>
        </is>
      </c>
      <c r="M495" s="13" t="inlineStr">
        <is>
          <t>Whitechapel</t>
        </is>
      </c>
      <c r="N495" s="13" t="n">
        <v>7</v>
      </c>
      <c r="O495" s="15">
        <f>IFERROR(INDEX(Venues!$C$2:$C$10,MATCH(M495,Venues!$A$2:$A$10,0)),"Not checked")</f>
        <v/>
      </c>
      <c r="P495" s="15">
        <f>IFERROR(INDEX(Venues!$D$2:$D$10,MATCH(M495,Venues!$A$2:$A$10,0)),0)</f>
        <v/>
      </c>
      <c r="Q495" s="42">
        <f>IFERROR(INDEX(Venues!$E$2:$E$10,MATCH(M495,Venues!$A$2:$A$10,0)),"")</f>
        <v/>
      </c>
      <c r="R495" s="15">
        <f>IF(P495&gt;0,"Yes","No")</f>
        <v/>
      </c>
      <c r="S495" s="13" t="inlineStr">
        <is>
          <t>COLA Shoreditch Park</t>
        </is>
      </c>
      <c r="T495" s="42">
        <f>IFERROR(INDEX(Venues!$E$2:$E$10,MATCH(S495,Venues!$A$2:$A$10,0)),"")</f>
        <v/>
      </c>
      <c r="U495" s="15">
        <f>IFERROR(INDEX(Venues!$F$2:$F$10,MATCH(S495,Venues!$A$2:$A$10,0)),"")</f>
        <v/>
      </c>
      <c r="V495" s="43">
        <f>IFERROR(INDEX(Venues!$H$2:$H$10,MATCH(S495,Venues!$A$2:$A$10,0)),"")</f>
        <v/>
      </c>
      <c r="W495" s="15">
        <f>IF('Pilot offer'!$C$24="Yes",'Pilot offer'!$C$3,S495)</f>
        <v/>
      </c>
      <c r="X495" s="42">
        <f>IF('Pilot offer'!$C$24="Yes",'Pilot offer'!$C$5+'Pilot offer'!$C$6,T495)</f>
        <v/>
      </c>
      <c r="Y495" s="15">
        <f>IF('Pilot offer'!$C$24="Yes",'Pilot offer'!$C$8,U495)</f>
        <v/>
      </c>
      <c r="Z495" s="43">
        <f>IF('Pilot offer'!$C$24="Yes",'Pilot offer'!$C$11,"")</f>
        <v/>
      </c>
      <c r="AA495" s="15">
        <f>IF(X495="","",W495&amp;" · "&amp;TEXT(X495,"ddd d mmm, hh:mm")&amp;" · "&amp;Y495&amp;IF(Z495&lt;&gt;""," · £"&amp;TEXT(Z495,"0.00")&amp;" per player"," · price TBC (cost £"&amp;TEXT(V495,"0.00")&amp;" pp)"))</f>
        <v/>
      </c>
      <c r="AD495" s="44" t="n"/>
    </row>
    <row r="496">
      <c r="A496" s="13" t="n">
        <v>494</v>
      </c>
      <c r="B496" s="13" t="inlineStr">
        <is>
          <t>3 · E1 Whitechapel</t>
        </is>
      </c>
      <c r="C496" s="13" t="inlineStr">
        <is>
          <t>Hospitality</t>
        </is>
      </c>
      <c r="D496" s="13" t="inlineStr">
        <is>
          <t>Local businesses</t>
        </is>
      </c>
      <c r="E496" s="13" t="inlineStr">
        <is>
          <t>Maedah Grill</t>
        </is>
      </c>
      <c r="F496" s="13" t="inlineStr">
        <is>
          <t>amenity: restaurant</t>
        </is>
      </c>
      <c r="G496" s="13" t="inlineStr">
        <is>
          <t>info@maedahgrill.net</t>
        </is>
      </c>
      <c r="H496" s="13" t="inlineStr">
        <is>
          <t>openstreetmap_tag</t>
        </is>
      </c>
      <c r="I496" s="13" t="inlineStr">
        <is>
          <t>+44 20 7377 0649</t>
        </is>
      </c>
      <c r="J496" s="14" t="inlineStr">
        <is>
          <t>https://www.maedahgrill.net/</t>
        </is>
      </c>
      <c r="K496" s="13" t="inlineStr">
        <is>
          <t>Fieldgate Street 42, London</t>
        </is>
      </c>
      <c r="L496" s="13" t="inlineStr">
        <is>
          <t>E1 1ES</t>
        </is>
      </c>
      <c r="M496" s="13" t="inlineStr">
        <is>
          <t>Whitechapel</t>
        </is>
      </c>
      <c r="N496" s="13" t="n">
        <v>8</v>
      </c>
      <c r="O496" s="15">
        <f>IFERROR(INDEX(Venues!$C$2:$C$10,MATCH(M496,Venues!$A$2:$A$10,0)),"Not checked")</f>
        <v/>
      </c>
      <c r="P496" s="15">
        <f>IFERROR(INDEX(Venues!$D$2:$D$10,MATCH(M496,Venues!$A$2:$A$10,0)),0)</f>
        <v/>
      </c>
      <c r="Q496" s="42">
        <f>IFERROR(INDEX(Venues!$E$2:$E$10,MATCH(M496,Venues!$A$2:$A$10,0)),"")</f>
        <v/>
      </c>
      <c r="R496" s="15">
        <f>IF(P496&gt;0,"Yes","No")</f>
        <v/>
      </c>
      <c r="S496" s="13" t="inlineStr">
        <is>
          <t>COLA Shoreditch Park</t>
        </is>
      </c>
      <c r="T496" s="42">
        <f>IFERROR(INDEX(Venues!$E$2:$E$10,MATCH(S496,Venues!$A$2:$A$10,0)),"")</f>
        <v/>
      </c>
      <c r="U496" s="15">
        <f>IFERROR(INDEX(Venues!$F$2:$F$10,MATCH(S496,Venues!$A$2:$A$10,0)),"")</f>
        <v/>
      </c>
      <c r="V496" s="43">
        <f>IFERROR(INDEX(Venues!$H$2:$H$10,MATCH(S496,Venues!$A$2:$A$10,0)),"")</f>
        <v/>
      </c>
      <c r="W496" s="15">
        <f>IF('Pilot offer'!$C$24="Yes",'Pilot offer'!$C$3,S496)</f>
        <v/>
      </c>
      <c r="X496" s="42">
        <f>IF('Pilot offer'!$C$24="Yes",'Pilot offer'!$C$5+'Pilot offer'!$C$6,T496)</f>
        <v/>
      </c>
      <c r="Y496" s="15">
        <f>IF('Pilot offer'!$C$24="Yes",'Pilot offer'!$C$8,U496)</f>
        <v/>
      </c>
      <c r="Z496" s="43">
        <f>IF('Pilot offer'!$C$24="Yes",'Pilot offer'!$C$11,"")</f>
        <v/>
      </c>
      <c r="AA496" s="15">
        <f>IF(X496="","",W496&amp;" · "&amp;TEXT(X496,"ddd d mmm, hh:mm")&amp;" · "&amp;Y496&amp;IF(Z496&lt;&gt;""," · £"&amp;TEXT(Z496,"0.00")&amp;" per player"," · price TBC (cost £"&amp;TEXT(V496,"0.00")&amp;" pp)"))</f>
        <v/>
      </c>
      <c r="AD496" s="44" t="n"/>
    </row>
    <row r="497">
      <c r="A497" s="13" t="n">
        <v>495</v>
      </c>
      <c r="B497" s="13" t="inlineStr">
        <is>
          <t>3 · E1 Whitechapel</t>
        </is>
      </c>
      <c r="C497" s="13" t="inlineStr">
        <is>
          <t>Office &amp; professional</t>
        </is>
      </c>
      <c r="D497" s="13" t="inlineStr">
        <is>
          <t>Corporate</t>
        </is>
      </c>
      <c r="E497" s="13" t="inlineStr">
        <is>
          <t>The Good Marketer | Digital Marketing Agency London</t>
        </is>
      </c>
      <c r="F497" s="13" t="inlineStr">
        <is>
          <t>service</t>
        </is>
      </c>
      <c r="G497" s="13" t="inlineStr">
        <is>
          <t>info@thegoodmarketer.co.uk</t>
        </is>
      </c>
      <c r="H497" s="13" t="inlineStr">
        <is>
          <t>general</t>
        </is>
      </c>
      <c r="I497" s="13" t="inlineStr">
        <is>
          <t>+44 20 3576 2150</t>
        </is>
      </c>
      <c r="J497" s="14" t="inlineStr">
        <is>
          <t>https://www.thegoodmarketer.co.uk/</t>
        </is>
      </c>
      <c r="K497" s="13" t="inlineStr">
        <is>
          <t>20-30 Whitechapel Rd, London E1 1EW, UK</t>
        </is>
      </c>
      <c r="L497" s="13" t="inlineStr">
        <is>
          <t>E1 1EW</t>
        </is>
      </c>
      <c r="M497" s="13" t="inlineStr">
        <is>
          <t>Whitechapel</t>
        </is>
      </c>
      <c r="N497" s="13" t="n">
        <v>10</v>
      </c>
      <c r="O497" s="15">
        <f>IFERROR(INDEX(Venues!$C$2:$C$10,MATCH(M497,Venues!$A$2:$A$10,0)),"Not checked")</f>
        <v/>
      </c>
      <c r="P497" s="15">
        <f>IFERROR(INDEX(Venues!$D$2:$D$10,MATCH(M497,Venues!$A$2:$A$10,0)),0)</f>
        <v/>
      </c>
      <c r="Q497" s="42">
        <f>IFERROR(INDEX(Venues!$E$2:$E$10,MATCH(M497,Venues!$A$2:$A$10,0)),"")</f>
        <v/>
      </c>
      <c r="R497" s="15">
        <f>IF(P497&gt;0,"Yes","No")</f>
        <v/>
      </c>
      <c r="S497" s="13" t="inlineStr">
        <is>
          <t>COLA Shoreditch Park</t>
        </is>
      </c>
      <c r="T497" s="42">
        <f>IFERROR(INDEX(Venues!$E$2:$E$10,MATCH(S497,Venues!$A$2:$A$10,0)),"")</f>
        <v/>
      </c>
      <c r="U497" s="15">
        <f>IFERROR(INDEX(Venues!$F$2:$F$10,MATCH(S497,Venues!$A$2:$A$10,0)),"")</f>
        <v/>
      </c>
      <c r="V497" s="43">
        <f>IFERROR(INDEX(Venues!$H$2:$H$10,MATCH(S497,Venues!$A$2:$A$10,0)),"")</f>
        <v/>
      </c>
      <c r="W497" s="15">
        <f>IF('Pilot offer'!$C$24="Yes",'Pilot offer'!$C$3,S497)</f>
        <v/>
      </c>
      <c r="X497" s="42">
        <f>IF('Pilot offer'!$C$24="Yes",'Pilot offer'!$C$5+'Pilot offer'!$C$6,T497)</f>
        <v/>
      </c>
      <c r="Y497" s="15">
        <f>IF('Pilot offer'!$C$24="Yes",'Pilot offer'!$C$8,U497)</f>
        <v/>
      </c>
      <c r="Z497" s="43">
        <f>IF('Pilot offer'!$C$24="Yes",'Pilot offer'!$C$11,"")</f>
        <v/>
      </c>
      <c r="AA497" s="15">
        <f>IF(X497="","",W497&amp;" · "&amp;TEXT(X497,"ddd d mmm, hh:mm")&amp;" · "&amp;Y497&amp;IF(Z497&lt;&gt;""," · £"&amp;TEXT(Z497,"0.00")&amp;" per player"," · price TBC (cost £"&amp;TEXT(V497,"0.00")&amp;" pp)"))</f>
        <v/>
      </c>
      <c r="AD497" s="44" t="n"/>
    </row>
    <row r="498">
      <c r="A498" s="13" t="n">
        <v>496</v>
      </c>
      <c r="B498" s="13" t="inlineStr">
        <is>
          <t>3 · E1 Whitechapel</t>
        </is>
      </c>
      <c r="C498" s="13" t="inlineStr">
        <is>
          <t>Office &amp; professional</t>
        </is>
      </c>
      <c r="D498" s="13" t="inlineStr">
        <is>
          <t>Corporate</t>
        </is>
      </c>
      <c r="E498" s="13" t="inlineStr">
        <is>
          <t>Four Agency Worldwide</t>
        </is>
      </c>
      <c r="F498" s="13" t="inlineStr">
        <is>
          <t>consultant</t>
        </is>
      </c>
      <c r="G498" s="13" t="inlineStr">
        <is>
          <t>info@four.agency</t>
        </is>
      </c>
      <c r="H498" s="13" t="inlineStr">
        <is>
          <t>general</t>
        </is>
      </c>
      <c r="I498" s="13" t="inlineStr">
        <is>
          <t>+44 20 3920 0555</t>
        </is>
      </c>
      <c r="J498" s="14" t="inlineStr">
        <is>
          <t>https://four.agency/</t>
        </is>
      </c>
      <c r="K498" s="13" t="inlineStr">
        <is>
          <t>The Hickman Building, 2 Whitechapel Rd, London E1 1FX, UK</t>
        </is>
      </c>
      <c r="L498" s="13" t="inlineStr">
        <is>
          <t>E1 1FX</t>
        </is>
      </c>
      <c r="M498" s="13" t="inlineStr">
        <is>
          <t>Whitechapel</t>
        </is>
      </c>
      <c r="N498" s="13" t="n">
        <v>10</v>
      </c>
      <c r="O498" s="15">
        <f>IFERROR(INDEX(Venues!$C$2:$C$10,MATCH(M498,Venues!$A$2:$A$10,0)),"Not checked")</f>
        <v/>
      </c>
      <c r="P498" s="15">
        <f>IFERROR(INDEX(Venues!$D$2:$D$10,MATCH(M498,Venues!$A$2:$A$10,0)),0)</f>
        <v/>
      </c>
      <c r="Q498" s="42">
        <f>IFERROR(INDEX(Venues!$E$2:$E$10,MATCH(M498,Venues!$A$2:$A$10,0)),"")</f>
        <v/>
      </c>
      <c r="R498" s="15">
        <f>IF(P498&gt;0,"Yes","No")</f>
        <v/>
      </c>
      <c r="S498" s="13" t="inlineStr">
        <is>
          <t>COLA Shoreditch Park</t>
        </is>
      </c>
      <c r="T498" s="42">
        <f>IFERROR(INDEX(Venues!$E$2:$E$10,MATCH(S498,Venues!$A$2:$A$10,0)),"")</f>
        <v/>
      </c>
      <c r="U498" s="15">
        <f>IFERROR(INDEX(Venues!$F$2:$F$10,MATCH(S498,Venues!$A$2:$A$10,0)),"")</f>
        <v/>
      </c>
      <c r="V498" s="43">
        <f>IFERROR(INDEX(Venues!$H$2:$H$10,MATCH(S498,Venues!$A$2:$A$10,0)),"")</f>
        <v/>
      </c>
      <c r="W498" s="15">
        <f>IF('Pilot offer'!$C$24="Yes",'Pilot offer'!$C$3,S498)</f>
        <v/>
      </c>
      <c r="X498" s="42">
        <f>IF('Pilot offer'!$C$24="Yes",'Pilot offer'!$C$5+'Pilot offer'!$C$6,T498)</f>
        <v/>
      </c>
      <c r="Y498" s="15">
        <f>IF('Pilot offer'!$C$24="Yes",'Pilot offer'!$C$8,U498)</f>
        <v/>
      </c>
      <c r="Z498" s="43">
        <f>IF('Pilot offer'!$C$24="Yes",'Pilot offer'!$C$11,"")</f>
        <v/>
      </c>
      <c r="AA498" s="15">
        <f>IF(X498="","",W498&amp;" · "&amp;TEXT(X498,"ddd d mmm, hh:mm")&amp;" · "&amp;Y498&amp;IF(Z498&lt;&gt;""," · £"&amp;TEXT(Z498,"0.00")&amp;" per player"," · price TBC (cost £"&amp;TEXT(V498,"0.00")&amp;" pp)"))</f>
        <v/>
      </c>
      <c r="AD498" s="44" t="n"/>
    </row>
    <row r="499">
      <c r="A499" s="13" t="n">
        <v>497</v>
      </c>
      <c r="B499" s="13" t="inlineStr">
        <is>
          <t>3 · E1 Whitechapel</t>
        </is>
      </c>
      <c r="C499" s="13" t="inlineStr">
        <is>
          <t>Office &amp; professional</t>
        </is>
      </c>
      <c r="D499" s="13" t="inlineStr">
        <is>
          <t>Corporate</t>
        </is>
      </c>
      <c r="E499" s="13" t="inlineStr">
        <is>
          <t>RK Acountants Ltd</t>
        </is>
      </c>
      <c r="F499" s="13" t="inlineStr">
        <is>
          <t>finance</t>
        </is>
      </c>
      <c r="G499" s="13" t="inlineStr">
        <is>
          <t>info@rkaccountants.com</t>
        </is>
      </c>
      <c r="H499" s="13" t="inlineStr">
        <is>
          <t>general</t>
        </is>
      </c>
      <c r="I499" s="13" t="inlineStr">
        <is>
          <t>+44 20 7375 2010</t>
        </is>
      </c>
      <c r="J499" s="14" t="inlineStr">
        <is>
          <t>http://www.rkaccountants.com/</t>
        </is>
      </c>
      <c r="K499" s="13" t="inlineStr">
        <is>
          <t>85 Myrdle St, London E1 1HL, UK</t>
        </is>
      </c>
      <c r="L499" s="13" t="inlineStr">
        <is>
          <t>E1 1HL</t>
        </is>
      </c>
      <c r="M499" s="13" t="inlineStr">
        <is>
          <t>Whitechapel</t>
        </is>
      </c>
      <c r="N499" s="13" t="n">
        <v>4</v>
      </c>
      <c r="O499" s="15">
        <f>IFERROR(INDEX(Venues!$C$2:$C$10,MATCH(M499,Venues!$A$2:$A$10,0)),"Not checked")</f>
        <v/>
      </c>
      <c r="P499" s="15">
        <f>IFERROR(INDEX(Venues!$D$2:$D$10,MATCH(M499,Venues!$A$2:$A$10,0)),0)</f>
        <v/>
      </c>
      <c r="Q499" s="42">
        <f>IFERROR(INDEX(Venues!$E$2:$E$10,MATCH(M499,Venues!$A$2:$A$10,0)),"")</f>
        <v/>
      </c>
      <c r="R499" s="15">
        <f>IF(P499&gt;0,"Yes","No")</f>
        <v/>
      </c>
      <c r="S499" s="13" t="inlineStr">
        <is>
          <t>COLA Shoreditch Park</t>
        </is>
      </c>
      <c r="T499" s="42">
        <f>IFERROR(INDEX(Venues!$E$2:$E$10,MATCH(S499,Venues!$A$2:$A$10,0)),"")</f>
        <v/>
      </c>
      <c r="U499" s="15">
        <f>IFERROR(INDEX(Venues!$F$2:$F$10,MATCH(S499,Venues!$A$2:$A$10,0)),"")</f>
        <v/>
      </c>
      <c r="V499" s="43">
        <f>IFERROR(INDEX(Venues!$H$2:$H$10,MATCH(S499,Venues!$A$2:$A$10,0)),"")</f>
        <v/>
      </c>
      <c r="W499" s="15">
        <f>IF('Pilot offer'!$C$24="Yes",'Pilot offer'!$C$3,S499)</f>
        <v/>
      </c>
      <c r="X499" s="42">
        <f>IF('Pilot offer'!$C$24="Yes",'Pilot offer'!$C$5+'Pilot offer'!$C$6,T499)</f>
        <v/>
      </c>
      <c r="Y499" s="15">
        <f>IF('Pilot offer'!$C$24="Yes",'Pilot offer'!$C$8,U499)</f>
        <v/>
      </c>
      <c r="Z499" s="43">
        <f>IF('Pilot offer'!$C$24="Yes",'Pilot offer'!$C$11,"")</f>
        <v/>
      </c>
      <c r="AA499" s="15">
        <f>IF(X499="","",W499&amp;" · "&amp;TEXT(X499,"ddd d mmm, hh:mm")&amp;" · "&amp;Y499&amp;IF(Z499&lt;&gt;""," · £"&amp;TEXT(Z499,"0.00")&amp;" per player"," · price TBC (cost £"&amp;TEXT(V499,"0.00")&amp;" pp)"))</f>
        <v/>
      </c>
      <c r="AD499" s="44" t="n"/>
    </row>
    <row r="500">
      <c r="A500" s="13" t="n">
        <v>498</v>
      </c>
      <c r="B500" s="13" t="inlineStr">
        <is>
          <t>3 · E1 Whitechapel</t>
        </is>
      </c>
      <c r="C500" s="13" t="inlineStr">
        <is>
          <t>Retail</t>
        </is>
      </c>
      <c r="D500" s="13" t="inlineStr">
        <is>
          <t>Local businesses</t>
        </is>
      </c>
      <c r="E500" s="13" t="inlineStr">
        <is>
          <t>Ambala</t>
        </is>
      </c>
      <c r="F500" s="13" t="inlineStr">
        <is>
          <t>craft: confectionery</t>
        </is>
      </c>
      <c r="G500" s="13" t="inlineStr">
        <is>
          <t>info@ambala.co.uk</t>
        </is>
      </c>
      <c r="H500" s="13" t="inlineStr">
        <is>
          <t>general</t>
        </is>
      </c>
      <c r="I500" s="13" t="inlineStr">
        <is>
          <t>+44 20 7247 2042</t>
        </is>
      </c>
      <c r="J500" s="14" t="inlineStr">
        <is>
          <t>https://www.ambalafoods.com/</t>
        </is>
      </c>
      <c r="K500" s="13" t="inlineStr">
        <is>
          <t>Whitechapel Road 144-146, London</t>
        </is>
      </c>
      <c r="L500" s="13" t="inlineStr">
        <is>
          <t>E1 1JE</t>
        </is>
      </c>
      <c r="M500" s="13" t="inlineStr">
        <is>
          <t>Stepney 3G</t>
        </is>
      </c>
      <c r="N500" s="13" t="n">
        <v>19</v>
      </c>
      <c r="O500" s="15">
        <f>IFERROR(INDEX(Venues!$C$2:$C$10,MATCH(M500,Venues!$A$2:$A$10,0)),"Not checked")</f>
        <v/>
      </c>
      <c r="P500" s="15">
        <f>IFERROR(INDEX(Venues!$D$2:$D$10,MATCH(M500,Venues!$A$2:$A$10,0)),0)</f>
        <v/>
      </c>
      <c r="Q500" s="42">
        <f>IFERROR(INDEX(Venues!$E$2:$E$10,MATCH(M500,Venues!$A$2:$A$10,0)),"")</f>
        <v/>
      </c>
      <c r="R500" s="15">
        <f>IF(P500&gt;0,"Yes","No")</f>
        <v/>
      </c>
      <c r="S500" s="13" t="inlineStr">
        <is>
          <t>COLA Shoreditch Park</t>
        </is>
      </c>
      <c r="T500" s="42">
        <f>IFERROR(INDEX(Venues!$E$2:$E$10,MATCH(S500,Venues!$A$2:$A$10,0)),"")</f>
        <v/>
      </c>
      <c r="U500" s="15">
        <f>IFERROR(INDEX(Venues!$F$2:$F$10,MATCH(S500,Venues!$A$2:$A$10,0)),"")</f>
        <v/>
      </c>
      <c r="V500" s="43">
        <f>IFERROR(INDEX(Venues!$H$2:$H$10,MATCH(S500,Venues!$A$2:$A$10,0)),"")</f>
        <v/>
      </c>
      <c r="W500" s="15">
        <f>IF('Pilot offer'!$C$24="Yes",'Pilot offer'!$C$3,S500)</f>
        <v/>
      </c>
      <c r="X500" s="42">
        <f>IF('Pilot offer'!$C$24="Yes",'Pilot offer'!$C$5+'Pilot offer'!$C$6,T500)</f>
        <v/>
      </c>
      <c r="Y500" s="15">
        <f>IF('Pilot offer'!$C$24="Yes",'Pilot offer'!$C$8,U500)</f>
        <v/>
      </c>
      <c r="Z500" s="43">
        <f>IF('Pilot offer'!$C$24="Yes",'Pilot offer'!$C$11,"")</f>
        <v/>
      </c>
      <c r="AA500" s="15">
        <f>IF(X500="","",W500&amp;" · "&amp;TEXT(X500,"ddd d mmm, hh:mm")&amp;" · "&amp;Y500&amp;IF(Z500&lt;&gt;""," · £"&amp;TEXT(Z500,"0.00")&amp;" per player"," · price TBC (cost £"&amp;TEXT(V500,"0.00")&amp;" pp)"))</f>
        <v/>
      </c>
      <c r="AD500" s="44" t="n"/>
    </row>
    <row r="501">
      <c r="A501" s="13" t="n">
        <v>499</v>
      </c>
      <c r="B501" s="13" t="inlineStr">
        <is>
          <t>3 · E1 Whitechapel</t>
        </is>
      </c>
      <c r="C501" s="13" t="inlineStr">
        <is>
          <t>Office &amp; professional</t>
        </is>
      </c>
      <c r="D501" s="13" t="inlineStr">
        <is>
          <t>Corporate</t>
        </is>
      </c>
      <c r="E501" s="13" t="inlineStr">
        <is>
          <t>Chancery Solicitors Ltd</t>
        </is>
      </c>
      <c r="F501" s="13" t="inlineStr">
        <is>
          <t>consultant</t>
        </is>
      </c>
      <c r="G501" s="13" t="inlineStr">
        <is>
          <t>info@chancery-solicitors.com</t>
        </is>
      </c>
      <c r="H501" s="13" t="inlineStr">
        <is>
          <t>general</t>
        </is>
      </c>
      <c r="I501" s="13" t="inlineStr">
        <is>
          <t>+44 20 7247 9338</t>
        </is>
      </c>
      <c r="J501" s="14" t="inlineStr">
        <is>
          <t>http://www.chancery-solicitors.com/</t>
        </is>
      </c>
      <c r="K501" s="13" t="inlineStr">
        <is>
          <t>2nd Floor, 124 Whitechapel Rd, London E1 1JE, UK</t>
        </is>
      </c>
      <c r="L501" s="13" t="inlineStr">
        <is>
          <t>E1 1JE</t>
        </is>
      </c>
      <c r="M501" s="13" t="inlineStr">
        <is>
          <t>Whitechapel</t>
        </is>
      </c>
      <c r="N501" s="13" t="n">
        <v>8</v>
      </c>
      <c r="O501" s="15">
        <f>IFERROR(INDEX(Venues!$C$2:$C$10,MATCH(M501,Venues!$A$2:$A$10,0)),"Not checked")</f>
        <v/>
      </c>
      <c r="P501" s="15">
        <f>IFERROR(INDEX(Venues!$D$2:$D$10,MATCH(M501,Venues!$A$2:$A$10,0)),0)</f>
        <v/>
      </c>
      <c r="Q501" s="42">
        <f>IFERROR(INDEX(Venues!$E$2:$E$10,MATCH(M501,Venues!$A$2:$A$10,0)),"")</f>
        <v/>
      </c>
      <c r="R501" s="15">
        <f>IF(P501&gt;0,"Yes","No")</f>
        <v/>
      </c>
      <c r="S501" s="13" t="inlineStr">
        <is>
          <t>COLA Shoreditch Park</t>
        </is>
      </c>
      <c r="T501" s="42">
        <f>IFERROR(INDEX(Venues!$E$2:$E$10,MATCH(S501,Venues!$A$2:$A$10,0)),"")</f>
        <v/>
      </c>
      <c r="U501" s="15">
        <f>IFERROR(INDEX(Venues!$F$2:$F$10,MATCH(S501,Venues!$A$2:$A$10,0)),"")</f>
        <v/>
      </c>
      <c r="V501" s="43">
        <f>IFERROR(INDEX(Venues!$H$2:$H$10,MATCH(S501,Venues!$A$2:$A$10,0)),"")</f>
        <v/>
      </c>
      <c r="W501" s="15">
        <f>IF('Pilot offer'!$C$24="Yes",'Pilot offer'!$C$3,S501)</f>
        <v/>
      </c>
      <c r="X501" s="42">
        <f>IF('Pilot offer'!$C$24="Yes",'Pilot offer'!$C$5+'Pilot offer'!$C$6,T501)</f>
        <v/>
      </c>
      <c r="Y501" s="15">
        <f>IF('Pilot offer'!$C$24="Yes",'Pilot offer'!$C$8,U501)</f>
        <v/>
      </c>
      <c r="Z501" s="43">
        <f>IF('Pilot offer'!$C$24="Yes",'Pilot offer'!$C$11,"")</f>
        <v/>
      </c>
      <c r="AA501" s="15">
        <f>IF(X501="","",W501&amp;" · "&amp;TEXT(X501,"ddd d mmm, hh:mm")&amp;" · "&amp;Y501&amp;IF(Z501&lt;&gt;""," · £"&amp;TEXT(Z501,"0.00")&amp;" per player"," · price TBC (cost £"&amp;TEXT(V501,"0.00")&amp;" pp)"))</f>
        <v/>
      </c>
      <c r="AD501" s="44" t="n"/>
    </row>
    <row r="502">
      <c r="A502" s="13" t="n">
        <v>500</v>
      </c>
      <c r="B502" s="13" t="inlineStr">
        <is>
          <t>3 · E1 Whitechapel</t>
        </is>
      </c>
      <c r="C502" s="13" t="inlineStr">
        <is>
          <t>Hospitality</t>
        </is>
      </c>
      <c r="D502" s="13" t="inlineStr">
        <is>
          <t>Local businesses</t>
        </is>
      </c>
      <c r="E502" s="13" t="inlineStr">
        <is>
          <t>Ibis Budget London Whitechapel</t>
        </is>
      </c>
      <c r="F502" s="13" t="inlineStr">
        <is>
          <t>tourism: hotel</t>
        </is>
      </c>
      <c r="G502" s="13" t="inlineStr">
        <is>
          <t>hb0i5@adagio-city.com</t>
        </is>
      </c>
      <c r="H502" s="13" t="inlineStr">
        <is>
          <t>openstreetmap_tag</t>
        </is>
      </c>
      <c r="I502" s="13" t="inlineStr">
        <is>
          <t>+44 20 7655 4620</t>
        </is>
      </c>
      <c r="J502" s="14" t="inlineStr">
        <is>
          <t>https://secure.accorhotels.com/store/index.html#/en/hotel?hotelCode=8033</t>
        </is>
      </c>
      <c r="K502" s="13" t="inlineStr">
        <is>
          <t>Whitechapel Road 100, London</t>
        </is>
      </c>
      <c r="L502" s="13" t="inlineStr">
        <is>
          <t>E1 1JG</t>
        </is>
      </c>
      <c r="M502" s="13" t="inlineStr">
        <is>
          <t>Whitechapel</t>
        </is>
      </c>
      <c r="N502" s="13" t="n">
        <v>8</v>
      </c>
      <c r="O502" s="15">
        <f>IFERROR(INDEX(Venues!$C$2:$C$10,MATCH(M502,Venues!$A$2:$A$10,0)),"Not checked")</f>
        <v/>
      </c>
      <c r="P502" s="15">
        <f>IFERROR(INDEX(Venues!$D$2:$D$10,MATCH(M502,Venues!$A$2:$A$10,0)),0)</f>
        <v/>
      </c>
      <c r="Q502" s="42">
        <f>IFERROR(INDEX(Venues!$E$2:$E$10,MATCH(M502,Venues!$A$2:$A$10,0)),"")</f>
        <v/>
      </c>
      <c r="R502" s="15">
        <f>IF(P502&gt;0,"Yes","No")</f>
        <v/>
      </c>
      <c r="S502" s="13" t="inlineStr">
        <is>
          <t>COLA Shoreditch Park</t>
        </is>
      </c>
      <c r="T502" s="42">
        <f>IFERROR(INDEX(Venues!$E$2:$E$10,MATCH(S502,Venues!$A$2:$A$10,0)),"")</f>
        <v/>
      </c>
      <c r="U502" s="15">
        <f>IFERROR(INDEX(Venues!$F$2:$F$10,MATCH(S502,Venues!$A$2:$A$10,0)),"")</f>
        <v/>
      </c>
      <c r="V502" s="43">
        <f>IFERROR(INDEX(Venues!$H$2:$H$10,MATCH(S502,Venues!$A$2:$A$10,0)),"")</f>
        <v/>
      </c>
      <c r="W502" s="15">
        <f>IF('Pilot offer'!$C$24="Yes",'Pilot offer'!$C$3,S502)</f>
        <v/>
      </c>
      <c r="X502" s="42">
        <f>IF('Pilot offer'!$C$24="Yes",'Pilot offer'!$C$5+'Pilot offer'!$C$6,T502)</f>
        <v/>
      </c>
      <c r="Y502" s="15">
        <f>IF('Pilot offer'!$C$24="Yes",'Pilot offer'!$C$8,U502)</f>
        <v/>
      </c>
      <c r="Z502" s="43">
        <f>IF('Pilot offer'!$C$24="Yes",'Pilot offer'!$C$11,"")</f>
        <v/>
      </c>
      <c r="AA502" s="15">
        <f>IF(X502="","",W502&amp;" · "&amp;TEXT(X502,"ddd d mmm, hh:mm")&amp;" · "&amp;Y502&amp;IF(Z502&lt;&gt;""," · £"&amp;TEXT(Z502,"0.00")&amp;" per player"," · price TBC (cost £"&amp;TEXT(V502,"0.00")&amp;" pp)"))</f>
        <v/>
      </c>
      <c r="AD502" s="44" t="n"/>
    </row>
    <row r="503">
      <c r="A503" s="13" t="n">
        <v>501</v>
      </c>
      <c r="B503" s="13" t="inlineStr">
        <is>
          <t>3 · E1 Whitechapel</t>
        </is>
      </c>
      <c r="C503" s="13" t="inlineStr">
        <is>
          <t>Education</t>
        </is>
      </c>
      <c r="D503" s="13" t="inlineStr">
        <is>
          <t>Local businesses</t>
        </is>
      </c>
      <c r="E503" s="13" t="inlineStr">
        <is>
          <t>Kobi Nazrul Primary School</t>
        </is>
      </c>
      <c r="F503" s="13" t="inlineStr">
        <is>
          <t>amenity: school</t>
        </is>
      </c>
      <c r="G503" s="13" t="inlineStr">
        <is>
          <t>admin@kobinazrul.towerhamlets.sch.uk</t>
        </is>
      </c>
      <c r="H503" s="13" t="inlineStr">
        <is>
          <t>general</t>
        </is>
      </c>
      <c r="I503" s="13" t="inlineStr">
        <is>
          <t>+44 20 7375 3626</t>
        </is>
      </c>
      <c r="J503" s="14" t="inlineStr">
        <is>
          <t>https://www.kobinazrul.towerhamlets.sch.uk/</t>
        </is>
      </c>
      <c r="K503" s="13" t="inlineStr">
        <is>
          <t>Settles Street, London</t>
        </is>
      </c>
      <c r="L503" s="13" t="inlineStr">
        <is>
          <t>E1 1JP</t>
        </is>
      </c>
      <c r="M503" s="13" t="inlineStr">
        <is>
          <t>Whitechapel</t>
        </is>
      </c>
      <c r="N503" s="13" t="n">
        <v>7</v>
      </c>
      <c r="O503" s="15">
        <f>IFERROR(INDEX(Venues!$C$2:$C$10,MATCH(M503,Venues!$A$2:$A$10,0)),"Not checked")</f>
        <v/>
      </c>
      <c r="P503" s="15">
        <f>IFERROR(INDEX(Venues!$D$2:$D$10,MATCH(M503,Venues!$A$2:$A$10,0)),0)</f>
        <v/>
      </c>
      <c r="Q503" s="42">
        <f>IFERROR(INDEX(Venues!$E$2:$E$10,MATCH(M503,Venues!$A$2:$A$10,0)),"")</f>
        <v/>
      </c>
      <c r="R503" s="15">
        <f>IF(P503&gt;0,"Yes","No")</f>
        <v/>
      </c>
      <c r="S503" s="13" t="inlineStr">
        <is>
          <t>COLA Shoreditch Park</t>
        </is>
      </c>
      <c r="T503" s="42">
        <f>IFERROR(INDEX(Venues!$E$2:$E$10,MATCH(S503,Venues!$A$2:$A$10,0)),"")</f>
        <v/>
      </c>
      <c r="U503" s="15">
        <f>IFERROR(INDEX(Venues!$F$2:$F$10,MATCH(S503,Venues!$A$2:$A$10,0)),"")</f>
        <v/>
      </c>
      <c r="V503" s="43">
        <f>IFERROR(INDEX(Venues!$H$2:$H$10,MATCH(S503,Venues!$A$2:$A$10,0)),"")</f>
        <v/>
      </c>
      <c r="W503" s="15">
        <f>IF('Pilot offer'!$C$24="Yes",'Pilot offer'!$C$3,S503)</f>
        <v/>
      </c>
      <c r="X503" s="42">
        <f>IF('Pilot offer'!$C$24="Yes",'Pilot offer'!$C$5+'Pilot offer'!$C$6,T503)</f>
        <v/>
      </c>
      <c r="Y503" s="15">
        <f>IF('Pilot offer'!$C$24="Yes",'Pilot offer'!$C$8,U503)</f>
        <v/>
      </c>
      <c r="Z503" s="43">
        <f>IF('Pilot offer'!$C$24="Yes",'Pilot offer'!$C$11,"")</f>
        <v/>
      </c>
      <c r="AA503" s="15">
        <f>IF(X503="","",W503&amp;" · "&amp;TEXT(X503,"ddd d mmm, hh:mm")&amp;" · "&amp;Y503&amp;IF(Z503&lt;&gt;""," · £"&amp;TEXT(Z503,"0.00")&amp;" per player"," · price TBC (cost £"&amp;TEXT(V503,"0.00")&amp;" pp)"))</f>
        <v/>
      </c>
      <c r="AD503" s="44" t="n"/>
    </row>
    <row r="504">
      <c r="A504" s="13" t="n">
        <v>502</v>
      </c>
      <c r="B504" s="13" t="inlineStr">
        <is>
          <t>3 · E1 Whitechapel</t>
        </is>
      </c>
      <c r="C504" s="13" t="inlineStr">
        <is>
          <t>Hospitality</t>
        </is>
      </c>
      <c r="D504" s="13" t="inlineStr">
        <is>
          <t>Local businesses</t>
        </is>
      </c>
      <c r="E504" s="13" t="inlineStr">
        <is>
          <t>Tayyabs</t>
        </is>
      </c>
      <c r="F504" s="13" t="inlineStr">
        <is>
          <t>amenity: restaurant</t>
        </is>
      </c>
      <c r="G504" s="13" t="inlineStr">
        <is>
          <t>info@tayyabs.co.uk</t>
        </is>
      </c>
      <c r="H504" s="13" t="inlineStr">
        <is>
          <t>openstreetmap_tag</t>
        </is>
      </c>
      <c r="I504" s="13" t="inlineStr">
        <is>
          <t>+44 20 7247 9543</t>
        </is>
      </c>
      <c r="J504" s="14" t="inlineStr">
        <is>
          <t>https://tayyabs.co.uk/</t>
        </is>
      </c>
      <c r="K504" s="13" t="inlineStr">
        <is>
          <t>Fieldgate Street 83-89, London</t>
        </is>
      </c>
      <c r="L504" s="13" t="inlineStr">
        <is>
          <t>E1 1JU</t>
        </is>
      </c>
      <c r="M504" s="13" t="inlineStr">
        <is>
          <t>Whitechapel</t>
        </is>
      </c>
      <c r="N504" s="13" t="n">
        <v>7</v>
      </c>
      <c r="O504" s="15">
        <f>IFERROR(INDEX(Venues!$C$2:$C$10,MATCH(M504,Venues!$A$2:$A$10,0)),"Not checked")</f>
        <v/>
      </c>
      <c r="P504" s="15">
        <f>IFERROR(INDEX(Venues!$D$2:$D$10,MATCH(M504,Venues!$A$2:$A$10,0)),0)</f>
        <v/>
      </c>
      <c r="Q504" s="42">
        <f>IFERROR(INDEX(Venues!$E$2:$E$10,MATCH(M504,Venues!$A$2:$A$10,0)),"")</f>
        <v/>
      </c>
      <c r="R504" s="15">
        <f>IF(P504&gt;0,"Yes","No")</f>
        <v/>
      </c>
      <c r="S504" s="13" t="inlineStr">
        <is>
          <t>COLA Shoreditch Park</t>
        </is>
      </c>
      <c r="T504" s="42">
        <f>IFERROR(INDEX(Venues!$E$2:$E$10,MATCH(S504,Venues!$A$2:$A$10,0)),"")</f>
        <v/>
      </c>
      <c r="U504" s="15">
        <f>IFERROR(INDEX(Venues!$F$2:$F$10,MATCH(S504,Venues!$A$2:$A$10,0)),"")</f>
        <v/>
      </c>
      <c r="V504" s="43">
        <f>IFERROR(INDEX(Venues!$H$2:$H$10,MATCH(S504,Venues!$A$2:$A$10,0)),"")</f>
        <v/>
      </c>
      <c r="W504" s="15">
        <f>IF('Pilot offer'!$C$24="Yes",'Pilot offer'!$C$3,S504)</f>
        <v/>
      </c>
      <c r="X504" s="42">
        <f>IF('Pilot offer'!$C$24="Yes",'Pilot offer'!$C$5+'Pilot offer'!$C$6,T504)</f>
        <v/>
      </c>
      <c r="Y504" s="15">
        <f>IF('Pilot offer'!$C$24="Yes",'Pilot offer'!$C$8,U504)</f>
        <v/>
      </c>
      <c r="Z504" s="43">
        <f>IF('Pilot offer'!$C$24="Yes",'Pilot offer'!$C$11,"")</f>
        <v/>
      </c>
      <c r="AA504" s="15">
        <f>IF(X504="","",W504&amp;" · "&amp;TEXT(X504,"ddd d mmm, hh:mm")&amp;" · "&amp;Y504&amp;IF(Z504&lt;&gt;""," · £"&amp;TEXT(Z504,"0.00")&amp;" per player"," · price TBC (cost £"&amp;TEXT(V504,"0.00")&amp;" pp)"))</f>
        <v/>
      </c>
      <c r="AD504" s="44" t="n"/>
    </row>
    <row r="505">
      <c r="A505" s="13" t="n">
        <v>503</v>
      </c>
      <c r="B505" s="13" t="inlineStr">
        <is>
          <t>3 · E1 Whitechapel</t>
        </is>
      </c>
      <c r="C505" s="13" t="inlineStr">
        <is>
          <t>Office &amp; professional</t>
        </is>
      </c>
      <c r="D505" s="13" t="inlineStr">
        <is>
          <t>Corporate</t>
        </is>
      </c>
      <c r="E505" s="13" t="inlineStr">
        <is>
          <t>Tax Valley</t>
        </is>
      </c>
      <c r="F505" s="13" t="inlineStr">
        <is>
          <t>finance</t>
        </is>
      </c>
      <c r="G505" s="13" t="inlineStr">
        <is>
          <t>hello@taxvalley.co.uk</t>
        </is>
      </c>
      <c r="H505" s="13" t="inlineStr">
        <is>
          <t>general</t>
        </is>
      </c>
      <c r="I505" s="13" t="inlineStr">
        <is>
          <t>+44 20 8221 0447</t>
        </is>
      </c>
      <c r="J505" s="14" t="inlineStr">
        <is>
          <t>https://taxvalley.co.uk/contact-us</t>
        </is>
      </c>
      <c r="K505" s="13" t="inlineStr">
        <is>
          <t>38-44 Whitechapel Road LMC, Business Wing, London E1 1JX, UK</t>
        </is>
      </c>
      <c r="L505" s="13" t="inlineStr">
        <is>
          <t>E1 1JX</t>
        </is>
      </c>
      <c r="M505" s="13" t="inlineStr">
        <is>
          <t>Whitechapel</t>
        </is>
      </c>
      <c r="N505" s="13" t="n">
        <v>9</v>
      </c>
      <c r="O505" s="15">
        <f>IFERROR(INDEX(Venues!$C$2:$C$10,MATCH(M505,Venues!$A$2:$A$10,0)),"Not checked")</f>
        <v/>
      </c>
      <c r="P505" s="15">
        <f>IFERROR(INDEX(Venues!$D$2:$D$10,MATCH(M505,Venues!$A$2:$A$10,0)),0)</f>
        <v/>
      </c>
      <c r="Q505" s="42">
        <f>IFERROR(INDEX(Venues!$E$2:$E$10,MATCH(M505,Venues!$A$2:$A$10,0)),"")</f>
        <v/>
      </c>
      <c r="R505" s="15">
        <f>IF(P505&gt;0,"Yes","No")</f>
        <v/>
      </c>
      <c r="S505" s="13" t="inlineStr">
        <is>
          <t>COLA Shoreditch Park</t>
        </is>
      </c>
      <c r="T505" s="42">
        <f>IFERROR(INDEX(Venues!$E$2:$E$10,MATCH(S505,Venues!$A$2:$A$10,0)),"")</f>
        <v/>
      </c>
      <c r="U505" s="15">
        <f>IFERROR(INDEX(Venues!$F$2:$F$10,MATCH(S505,Venues!$A$2:$A$10,0)),"")</f>
        <v/>
      </c>
      <c r="V505" s="43">
        <f>IFERROR(INDEX(Venues!$H$2:$H$10,MATCH(S505,Venues!$A$2:$A$10,0)),"")</f>
        <v/>
      </c>
      <c r="W505" s="15">
        <f>IF('Pilot offer'!$C$24="Yes",'Pilot offer'!$C$3,S505)</f>
        <v/>
      </c>
      <c r="X505" s="42">
        <f>IF('Pilot offer'!$C$24="Yes",'Pilot offer'!$C$5+'Pilot offer'!$C$6,T505)</f>
        <v/>
      </c>
      <c r="Y505" s="15">
        <f>IF('Pilot offer'!$C$24="Yes",'Pilot offer'!$C$8,U505)</f>
        <v/>
      </c>
      <c r="Z505" s="43">
        <f>IF('Pilot offer'!$C$24="Yes",'Pilot offer'!$C$11,"")</f>
        <v/>
      </c>
      <c r="AA505" s="15">
        <f>IF(X505="","",W505&amp;" · "&amp;TEXT(X505,"ddd d mmm, hh:mm")&amp;" · "&amp;Y505&amp;IF(Z505&lt;&gt;""," · £"&amp;TEXT(Z505,"0.00")&amp;" per player"," · price TBC (cost £"&amp;TEXT(V505,"0.00")&amp;" pp)"))</f>
        <v/>
      </c>
      <c r="AD505" s="44" t="n"/>
    </row>
    <row r="506">
      <c r="A506" s="13" t="n">
        <v>504</v>
      </c>
      <c r="B506" s="13" t="inlineStr">
        <is>
          <t>3 · E1 Whitechapel</t>
        </is>
      </c>
      <c r="C506" s="13" t="inlineStr">
        <is>
          <t>Coworking / shared office</t>
        </is>
      </c>
      <c r="D506" s="13" t="inlineStr">
        <is>
          <t>Corporate</t>
        </is>
      </c>
      <c r="E506" s="13" t="inlineStr">
        <is>
          <t>Techspace Commercial Road</t>
        </is>
      </c>
      <c r="F506" s="13" t="inlineStr">
        <is>
          <t>coworking_space</t>
        </is>
      </c>
      <c r="G506" s="13" t="inlineStr">
        <is>
          <t>hello@techspace.co</t>
        </is>
      </c>
      <c r="H506" s="13" t="inlineStr">
        <is>
          <t>general</t>
        </is>
      </c>
      <c r="I506" s="13" t="inlineStr">
        <is>
          <t>+44 20 3355 9735</t>
        </is>
      </c>
      <c r="J506" s="14" t="inlineStr">
        <is>
          <t>https://www.techspace.co/locations/whitechapel</t>
        </is>
      </c>
      <c r="K506" s="13" t="inlineStr">
        <is>
          <t>38-40 Commercial Rd, London E1 1LN, UK</t>
        </is>
      </c>
      <c r="L506" s="13" t="inlineStr">
        <is>
          <t>E1 1LN</t>
        </is>
      </c>
      <c r="M506" s="13" t="inlineStr">
        <is>
          <t>Whitechapel</t>
        </is>
      </c>
      <c r="N506" s="13" t="n">
        <v>11</v>
      </c>
      <c r="O506" s="15">
        <f>IFERROR(INDEX(Venues!$C$2:$C$10,MATCH(M506,Venues!$A$2:$A$10,0)),"Not checked")</f>
        <v/>
      </c>
      <c r="P506" s="15">
        <f>IFERROR(INDEX(Venues!$D$2:$D$10,MATCH(M506,Venues!$A$2:$A$10,0)),0)</f>
        <v/>
      </c>
      <c r="Q506" s="42">
        <f>IFERROR(INDEX(Venues!$E$2:$E$10,MATCH(M506,Venues!$A$2:$A$10,0)),"")</f>
        <v/>
      </c>
      <c r="R506" s="15">
        <f>IF(P506&gt;0,"Yes","No")</f>
        <v/>
      </c>
      <c r="S506" s="13" t="inlineStr">
        <is>
          <t>COLA Shoreditch Park</t>
        </is>
      </c>
      <c r="T506" s="42">
        <f>IFERROR(INDEX(Venues!$E$2:$E$10,MATCH(S506,Venues!$A$2:$A$10,0)),"")</f>
        <v/>
      </c>
      <c r="U506" s="15">
        <f>IFERROR(INDEX(Venues!$F$2:$F$10,MATCH(S506,Venues!$A$2:$A$10,0)),"")</f>
        <v/>
      </c>
      <c r="V506" s="43">
        <f>IFERROR(INDEX(Venues!$H$2:$H$10,MATCH(S506,Venues!$A$2:$A$10,0)),"")</f>
        <v/>
      </c>
      <c r="W506" s="15">
        <f>IF('Pilot offer'!$C$24="Yes",'Pilot offer'!$C$3,S506)</f>
        <v/>
      </c>
      <c r="X506" s="42">
        <f>IF('Pilot offer'!$C$24="Yes",'Pilot offer'!$C$5+'Pilot offer'!$C$6,T506)</f>
        <v/>
      </c>
      <c r="Y506" s="15">
        <f>IF('Pilot offer'!$C$24="Yes",'Pilot offer'!$C$8,U506)</f>
        <v/>
      </c>
      <c r="Z506" s="43">
        <f>IF('Pilot offer'!$C$24="Yes",'Pilot offer'!$C$11,"")</f>
        <v/>
      </c>
      <c r="AA506" s="15">
        <f>IF(X506="","",W506&amp;" · "&amp;TEXT(X506,"ddd d mmm, hh:mm")&amp;" · "&amp;Y506&amp;IF(Z506&lt;&gt;""," · £"&amp;TEXT(Z506,"0.00")&amp;" per player"," · price TBC (cost £"&amp;TEXT(V506,"0.00")&amp;" pp)"))</f>
        <v/>
      </c>
      <c r="AD506" s="44" t="n"/>
    </row>
    <row r="507">
      <c r="A507" s="13" t="n">
        <v>505</v>
      </c>
      <c r="B507" s="13" t="inlineStr">
        <is>
          <t>3 · E1 Whitechapel</t>
        </is>
      </c>
      <c r="C507" s="13" t="inlineStr">
        <is>
          <t>Hospitality</t>
        </is>
      </c>
      <c r="D507" s="13" t="inlineStr">
        <is>
          <t>Local businesses</t>
        </is>
      </c>
      <c r="E507" s="13" t="inlineStr">
        <is>
          <t>The Castle</t>
        </is>
      </c>
      <c r="F507" s="13" t="inlineStr">
        <is>
          <t>amenity: pub</t>
        </is>
      </c>
      <c r="G507" s="13" t="inlineStr">
        <is>
          <t>thecastle44@gmail.com</t>
        </is>
      </c>
      <c r="H507" s="13" t="inlineStr">
        <is>
          <t>openstreetmap_tag</t>
        </is>
      </c>
      <c r="I507" s="13" t="n"/>
      <c r="J507" s="14" t="inlineStr">
        <is>
          <t>http://www.thecastlelondon.com/</t>
        </is>
      </c>
      <c r="K507" s="13" t="inlineStr">
        <is>
          <t>Commercial Road 44, London</t>
        </is>
      </c>
      <c r="L507" s="13" t="inlineStr">
        <is>
          <t>E1 1LN</t>
        </is>
      </c>
      <c r="M507" s="13" t="inlineStr">
        <is>
          <t>Whitechapel</t>
        </is>
      </c>
      <c r="N507" s="13" t="n">
        <v>10</v>
      </c>
      <c r="O507" s="15">
        <f>IFERROR(INDEX(Venues!$C$2:$C$10,MATCH(M507,Venues!$A$2:$A$10,0)),"Not checked")</f>
        <v/>
      </c>
      <c r="P507" s="15">
        <f>IFERROR(INDEX(Venues!$D$2:$D$10,MATCH(M507,Venues!$A$2:$A$10,0)),0)</f>
        <v/>
      </c>
      <c r="Q507" s="42">
        <f>IFERROR(INDEX(Venues!$E$2:$E$10,MATCH(M507,Venues!$A$2:$A$10,0)),"")</f>
        <v/>
      </c>
      <c r="R507" s="15">
        <f>IF(P507&gt;0,"Yes","No")</f>
        <v/>
      </c>
      <c r="S507" s="13" t="inlineStr">
        <is>
          <t>COLA Shoreditch Park</t>
        </is>
      </c>
      <c r="T507" s="42">
        <f>IFERROR(INDEX(Venues!$E$2:$E$10,MATCH(S507,Venues!$A$2:$A$10,0)),"")</f>
        <v/>
      </c>
      <c r="U507" s="15">
        <f>IFERROR(INDEX(Venues!$F$2:$F$10,MATCH(S507,Venues!$A$2:$A$10,0)),"")</f>
        <v/>
      </c>
      <c r="V507" s="43">
        <f>IFERROR(INDEX(Venues!$H$2:$H$10,MATCH(S507,Venues!$A$2:$A$10,0)),"")</f>
        <v/>
      </c>
      <c r="W507" s="15">
        <f>IF('Pilot offer'!$C$24="Yes",'Pilot offer'!$C$3,S507)</f>
        <v/>
      </c>
      <c r="X507" s="42">
        <f>IF('Pilot offer'!$C$24="Yes",'Pilot offer'!$C$5+'Pilot offer'!$C$6,T507)</f>
        <v/>
      </c>
      <c r="Y507" s="15">
        <f>IF('Pilot offer'!$C$24="Yes",'Pilot offer'!$C$8,U507)</f>
        <v/>
      </c>
      <c r="Z507" s="43">
        <f>IF('Pilot offer'!$C$24="Yes",'Pilot offer'!$C$11,"")</f>
        <v/>
      </c>
      <c r="AA507" s="15">
        <f>IF(X507="","",W507&amp;" · "&amp;TEXT(X507,"ddd d mmm, hh:mm")&amp;" · "&amp;Y507&amp;IF(Z507&lt;&gt;""," · £"&amp;TEXT(Z507,"0.00")&amp;" per player"," · price TBC (cost £"&amp;TEXT(V507,"0.00")&amp;" pp)"))</f>
        <v/>
      </c>
      <c r="AD507" s="44" t="n"/>
    </row>
    <row r="508">
      <c r="A508" s="13" t="n">
        <v>506</v>
      </c>
      <c r="B508" s="13" t="inlineStr">
        <is>
          <t>3 · E1 Whitechapel</t>
        </is>
      </c>
      <c r="C508" s="13" t="inlineStr">
        <is>
          <t>Hospitality</t>
        </is>
      </c>
      <c r="D508" s="13" t="inlineStr">
        <is>
          <t>Local businesses</t>
        </is>
      </c>
      <c r="E508" s="13" t="inlineStr">
        <is>
          <t>AMIGOS burgers and shakes</t>
        </is>
      </c>
      <c r="F508" s="13" t="inlineStr">
        <is>
          <t>amenity: fast food</t>
        </is>
      </c>
      <c r="G508" s="13" t="inlineStr">
        <is>
          <t>info@amigosburgersandshakes.com</t>
        </is>
      </c>
      <c r="H508" s="13" t="inlineStr">
        <is>
          <t>general</t>
        </is>
      </c>
      <c r="I508" s="13" t="inlineStr">
        <is>
          <t>+44 20 7709 0144</t>
        </is>
      </c>
      <c r="J508" s="14" t="inlineStr">
        <is>
          <t>https://www.amigosburgersandshakes.com/</t>
        </is>
      </c>
      <c r="K508" s="13" t="inlineStr">
        <is>
          <t>Commercial Road 156, London</t>
        </is>
      </c>
      <c r="L508" s="13" t="inlineStr">
        <is>
          <t>E1 1NL</t>
        </is>
      </c>
      <c r="M508" s="13" t="inlineStr">
        <is>
          <t>Whitechapel</t>
        </is>
      </c>
      <c r="N508" s="13" t="n">
        <v>3</v>
      </c>
      <c r="O508" s="15">
        <f>IFERROR(INDEX(Venues!$C$2:$C$10,MATCH(M508,Venues!$A$2:$A$10,0)),"Not checked")</f>
        <v/>
      </c>
      <c r="P508" s="15">
        <f>IFERROR(INDEX(Venues!$D$2:$D$10,MATCH(M508,Venues!$A$2:$A$10,0)),0)</f>
        <v/>
      </c>
      <c r="Q508" s="42">
        <f>IFERROR(INDEX(Venues!$E$2:$E$10,MATCH(M508,Venues!$A$2:$A$10,0)),"")</f>
        <v/>
      </c>
      <c r="R508" s="15">
        <f>IF(P508&gt;0,"Yes","No")</f>
        <v/>
      </c>
      <c r="S508" s="13" t="inlineStr">
        <is>
          <t>COLA Shoreditch Park</t>
        </is>
      </c>
      <c r="T508" s="42">
        <f>IFERROR(INDEX(Venues!$E$2:$E$10,MATCH(S508,Venues!$A$2:$A$10,0)),"")</f>
        <v/>
      </c>
      <c r="U508" s="15">
        <f>IFERROR(INDEX(Venues!$F$2:$F$10,MATCH(S508,Venues!$A$2:$A$10,0)),"")</f>
        <v/>
      </c>
      <c r="V508" s="43">
        <f>IFERROR(INDEX(Venues!$H$2:$H$10,MATCH(S508,Venues!$A$2:$A$10,0)),"")</f>
        <v/>
      </c>
      <c r="W508" s="15">
        <f>IF('Pilot offer'!$C$24="Yes",'Pilot offer'!$C$3,S508)</f>
        <v/>
      </c>
      <c r="X508" s="42">
        <f>IF('Pilot offer'!$C$24="Yes",'Pilot offer'!$C$5+'Pilot offer'!$C$6,T508)</f>
        <v/>
      </c>
      <c r="Y508" s="15">
        <f>IF('Pilot offer'!$C$24="Yes",'Pilot offer'!$C$8,U508)</f>
        <v/>
      </c>
      <c r="Z508" s="43">
        <f>IF('Pilot offer'!$C$24="Yes",'Pilot offer'!$C$11,"")</f>
        <v/>
      </c>
      <c r="AA508" s="15">
        <f>IF(X508="","",W508&amp;" · "&amp;TEXT(X508,"ddd d mmm, hh:mm")&amp;" · "&amp;Y508&amp;IF(Z508&lt;&gt;""," · £"&amp;TEXT(Z508,"0.00")&amp;" per player"," · price TBC (cost £"&amp;TEXT(V508,"0.00")&amp;" pp)"))</f>
        <v/>
      </c>
      <c r="AD508" s="44" t="n"/>
    </row>
    <row r="509">
      <c r="A509" s="13" t="n">
        <v>507</v>
      </c>
      <c r="B509" s="13" t="inlineStr">
        <is>
          <t>3 · E1 Whitechapel</t>
        </is>
      </c>
      <c r="C509" s="13" t="inlineStr">
        <is>
          <t>Office &amp; professional</t>
        </is>
      </c>
      <c r="D509" s="13" t="inlineStr">
        <is>
          <t>Corporate</t>
        </is>
      </c>
      <c r="E509" s="13" t="inlineStr">
        <is>
          <t>Browncross Healthcare Ltd</t>
        </is>
      </c>
      <c r="F509" s="13" t="inlineStr">
        <is>
          <t>agency</t>
        </is>
      </c>
      <c r="G509" s="13" t="inlineStr">
        <is>
          <t>admin@browncrosshealthcare.com</t>
        </is>
      </c>
      <c r="H509" s="13" t="inlineStr">
        <is>
          <t>general</t>
        </is>
      </c>
      <c r="I509" s="13" t="n"/>
      <c r="J509" s="14" t="inlineStr">
        <is>
          <t>https://www.browncrosshealthcare.com/</t>
        </is>
      </c>
      <c r="K509" s="13" t="inlineStr">
        <is>
          <t>120A Commercial Road, London</t>
        </is>
      </c>
      <c r="L509" s="13" t="inlineStr">
        <is>
          <t>E1 1NL</t>
        </is>
      </c>
      <c r="M509" s="13" t="inlineStr">
        <is>
          <t>Whitechapel</t>
        </is>
      </c>
      <c r="N509" s="13" t="n">
        <v>5</v>
      </c>
      <c r="O509" s="15">
        <f>IFERROR(INDEX(Venues!$C$2:$C$10,MATCH(M509,Venues!$A$2:$A$10,0)),"Not checked")</f>
        <v/>
      </c>
      <c r="P509" s="15">
        <f>IFERROR(INDEX(Venues!$D$2:$D$10,MATCH(M509,Venues!$A$2:$A$10,0)),0)</f>
        <v/>
      </c>
      <c r="Q509" s="42">
        <f>IFERROR(INDEX(Venues!$E$2:$E$10,MATCH(M509,Venues!$A$2:$A$10,0)),"")</f>
        <v/>
      </c>
      <c r="R509" s="15">
        <f>IF(P509&gt;0,"Yes","No")</f>
        <v/>
      </c>
      <c r="S509" s="13" t="inlineStr">
        <is>
          <t>COLA Shoreditch Park</t>
        </is>
      </c>
      <c r="T509" s="42">
        <f>IFERROR(INDEX(Venues!$E$2:$E$10,MATCH(S509,Venues!$A$2:$A$10,0)),"")</f>
        <v/>
      </c>
      <c r="U509" s="15">
        <f>IFERROR(INDEX(Venues!$F$2:$F$10,MATCH(S509,Venues!$A$2:$A$10,0)),"")</f>
        <v/>
      </c>
      <c r="V509" s="43">
        <f>IFERROR(INDEX(Venues!$H$2:$H$10,MATCH(S509,Venues!$A$2:$A$10,0)),"")</f>
        <v/>
      </c>
      <c r="W509" s="15">
        <f>IF('Pilot offer'!$C$24="Yes",'Pilot offer'!$C$3,S509)</f>
        <v/>
      </c>
      <c r="X509" s="42">
        <f>IF('Pilot offer'!$C$24="Yes",'Pilot offer'!$C$5+'Pilot offer'!$C$6,T509)</f>
        <v/>
      </c>
      <c r="Y509" s="15">
        <f>IF('Pilot offer'!$C$24="Yes",'Pilot offer'!$C$8,U509)</f>
        <v/>
      </c>
      <c r="Z509" s="43">
        <f>IF('Pilot offer'!$C$24="Yes",'Pilot offer'!$C$11,"")</f>
        <v/>
      </c>
      <c r="AA509" s="15">
        <f>IF(X509="","",W509&amp;" · "&amp;TEXT(X509,"ddd d mmm, hh:mm")&amp;" · "&amp;Y509&amp;IF(Z509&lt;&gt;""," · £"&amp;TEXT(Z509,"0.00")&amp;" per player"," · price TBC (cost £"&amp;TEXT(V509,"0.00")&amp;" pp)"))</f>
        <v/>
      </c>
      <c r="AD509" s="44" t="n"/>
    </row>
    <row r="510">
      <c r="A510" s="13" t="n">
        <v>508</v>
      </c>
      <c r="B510" s="13" t="inlineStr">
        <is>
          <t>3 · E1 Whitechapel</t>
        </is>
      </c>
      <c r="C510" s="13" t="inlineStr">
        <is>
          <t>Leisure &amp; culture</t>
        </is>
      </c>
      <c r="D510" s="13" t="inlineStr">
        <is>
          <t>Local businesses</t>
        </is>
      </c>
      <c r="E510" s="13" t="inlineStr">
        <is>
          <t>MMA LDN</t>
        </is>
      </c>
      <c r="F510" s="13" t="inlineStr">
        <is>
          <t>leisure: fitness centre</t>
        </is>
      </c>
      <c r="G510" s="13" t="inlineStr">
        <is>
          <t>info@mmaldn.co.uk</t>
        </is>
      </c>
      <c r="H510" s="13" t="inlineStr">
        <is>
          <t>general</t>
        </is>
      </c>
      <c r="I510" s="13" t="n"/>
      <c r="J510" s="14" t="inlineStr">
        <is>
          <t>https://mmaldn.co.uk/</t>
        </is>
      </c>
      <c r="K510" s="13" t="inlineStr">
        <is>
          <t>Commercial Road 88, London</t>
        </is>
      </c>
      <c r="L510" s="13" t="inlineStr">
        <is>
          <t>E1 1NU</t>
        </is>
      </c>
      <c r="M510" s="13" t="inlineStr">
        <is>
          <t>Whitechapel</t>
        </is>
      </c>
      <c r="N510" s="13" t="n">
        <v>7</v>
      </c>
      <c r="O510" s="15">
        <f>IFERROR(INDEX(Venues!$C$2:$C$10,MATCH(M510,Venues!$A$2:$A$10,0)),"Not checked")</f>
        <v/>
      </c>
      <c r="P510" s="15">
        <f>IFERROR(INDEX(Venues!$D$2:$D$10,MATCH(M510,Venues!$A$2:$A$10,0)),0)</f>
        <v/>
      </c>
      <c r="Q510" s="42">
        <f>IFERROR(INDEX(Venues!$E$2:$E$10,MATCH(M510,Venues!$A$2:$A$10,0)),"")</f>
        <v/>
      </c>
      <c r="R510" s="15">
        <f>IF(P510&gt;0,"Yes","No")</f>
        <v/>
      </c>
      <c r="S510" s="13" t="inlineStr">
        <is>
          <t>COLA Shoreditch Park</t>
        </is>
      </c>
      <c r="T510" s="42">
        <f>IFERROR(INDEX(Venues!$E$2:$E$10,MATCH(S510,Venues!$A$2:$A$10,0)),"")</f>
        <v/>
      </c>
      <c r="U510" s="15">
        <f>IFERROR(INDEX(Venues!$F$2:$F$10,MATCH(S510,Venues!$A$2:$A$10,0)),"")</f>
        <v/>
      </c>
      <c r="V510" s="43">
        <f>IFERROR(INDEX(Venues!$H$2:$H$10,MATCH(S510,Venues!$A$2:$A$10,0)),"")</f>
        <v/>
      </c>
      <c r="W510" s="15">
        <f>IF('Pilot offer'!$C$24="Yes",'Pilot offer'!$C$3,S510)</f>
        <v/>
      </c>
      <c r="X510" s="42">
        <f>IF('Pilot offer'!$C$24="Yes",'Pilot offer'!$C$5+'Pilot offer'!$C$6,T510)</f>
        <v/>
      </c>
      <c r="Y510" s="15">
        <f>IF('Pilot offer'!$C$24="Yes",'Pilot offer'!$C$8,U510)</f>
        <v/>
      </c>
      <c r="Z510" s="43">
        <f>IF('Pilot offer'!$C$24="Yes",'Pilot offer'!$C$11,"")</f>
        <v/>
      </c>
      <c r="AA510" s="15">
        <f>IF(X510="","",W510&amp;" · "&amp;TEXT(X510,"ddd d mmm, hh:mm")&amp;" · "&amp;Y510&amp;IF(Z510&lt;&gt;""," · £"&amp;TEXT(Z510,"0.00")&amp;" per player"," · price TBC (cost £"&amp;TEXT(V510,"0.00")&amp;" pp)"))</f>
        <v/>
      </c>
      <c r="AD510" s="44" t="n"/>
    </row>
    <row r="511">
      <c r="A511" s="13" t="n">
        <v>509</v>
      </c>
      <c r="B511" s="13" t="inlineStr">
        <is>
          <t>3 · E1 Whitechapel</t>
        </is>
      </c>
      <c r="C511" s="13" t="inlineStr">
        <is>
          <t>Education</t>
        </is>
      </c>
      <c r="D511" s="13" t="inlineStr">
        <is>
          <t>Local businesses</t>
        </is>
      </c>
      <c r="E511" s="13" t="inlineStr">
        <is>
          <t>London Enterprise Academy</t>
        </is>
      </c>
      <c r="F511" s="13" t="inlineStr">
        <is>
          <t>amenity: school</t>
        </is>
      </c>
      <c r="G511" s="13" t="inlineStr">
        <is>
          <t>info@londonenterpriseacademy.org</t>
        </is>
      </c>
      <c r="H511" s="13" t="inlineStr">
        <is>
          <t>general</t>
        </is>
      </c>
      <c r="I511" s="13" t="inlineStr">
        <is>
          <t>+44 20 7426 0746</t>
        </is>
      </c>
      <c r="J511" s="14" t="inlineStr">
        <is>
          <t>https://www.londonenterpriseacademy.org/</t>
        </is>
      </c>
      <c r="K511" s="13" t="inlineStr">
        <is>
          <t>Commercial Road 81-91, London</t>
        </is>
      </c>
      <c r="L511" s="13" t="inlineStr">
        <is>
          <t>E1 1RD</t>
        </is>
      </c>
      <c r="M511" s="13" t="inlineStr">
        <is>
          <t>Whitechapel</t>
        </is>
      </c>
      <c r="N511" s="13" t="n">
        <v>6</v>
      </c>
      <c r="O511" s="15">
        <f>IFERROR(INDEX(Venues!$C$2:$C$10,MATCH(M511,Venues!$A$2:$A$10,0)),"Not checked")</f>
        <v/>
      </c>
      <c r="P511" s="15">
        <f>IFERROR(INDEX(Venues!$D$2:$D$10,MATCH(M511,Venues!$A$2:$A$10,0)),0)</f>
        <v/>
      </c>
      <c r="Q511" s="42">
        <f>IFERROR(INDEX(Venues!$E$2:$E$10,MATCH(M511,Venues!$A$2:$A$10,0)),"")</f>
        <v/>
      </c>
      <c r="R511" s="15">
        <f>IF(P511&gt;0,"Yes","No")</f>
        <v/>
      </c>
      <c r="S511" s="13" t="inlineStr">
        <is>
          <t>COLA Shoreditch Park</t>
        </is>
      </c>
      <c r="T511" s="42">
        <f>IFERROR(INDEX(Venues!$E$2:$E$10,MATCH(S511,Venues!$A$2:$A$10,0)),"")</f>
        <v/>
      </c>
      <c r="U511" s="15">
        <f>IFERROR(INDEX(Venues!$F$2:$F$10,MATCH(S511,Venues!$A$2:$A$10,0)),"")</f>
        <v/>
      </c>
      <c r="V511" s="43">
        <f>IFERROR(INDEX(Venues!$H$2:$H$10,MATCH(S511,Venues!$A$2:$A$10,0)),"")</f>
        <v/>
      </c>
      <c r="W511" s="15">
        <f>IF('Pilot offer'!$C$24="Yes",'Pilot offer'!$C$3,S511)</f>
        <v/>
      </c>
      <c r="X511" s="42">
        <f>IF('Pilot offer'!$C$24="Yes",'Pilot offer'!$C$5+'Pilot offer'!$C$6,T511)</f>
        <v/>
      </c>
      <c r="Y511" s="15">
        <f>IF('Pilot offer'!$C$24="Yes",'Pilot offer'!$C$8,U511)</f>
        <v/>
      </c>
      <c r="Z511" s="43">
        <f>IF('Pilot offer'!$C$24="Yes",'Pilot offer'!$C$11,"")</f>
        <v/>
      </c>
      <c r="AA511" s="15">
        <f>IF(X511="","",W511&amp;" · "&amp;TEXT(X511,"ddd d mmm, hh:mm")&amp;" · "&amp;Y511&amp;IF(Z511&lt;&gt;""," · £"&amp;TEXT(Z511,"0.00")&amp;" per player"," · price TBC (cost £"&amp;TEXT(V511,"0.00")&amp;" pp)"))</f>
        <v/>
      </c>
      <c r="AD511" s="44" t="n"/>
    </row>
    <row r="512">
      <c r="A512" s="13" t="n">
        <v>510</v>
      </c>
      <c r="B512" s="13" t="inlineStr">
        <is>
          <t>3 · E1 Whitechapel</t>
        </is>
      </c>
      <c r="C512" s="13" t="inlineStr">
        <is>
          <t>Office &amp; professional</t>
        </is>
      </c>
      <c r="D512" s="13" t="inlineStr">
        <is>
          <t>Corporate</t>
        </is>
      </c>
      <c r="E512" s="13" t="inlineStr">
        <is>
          <t>S N R Chartered Accountants</t>
        </is>
      </c>
      <c r="F512" s="13" t="inlineStr">
        <is>
          <t>finance</t>
        </is>
      </c>
      <c r="G512" s="13" t="inlineStr">
        <is>
          <t>info@snraccountants.co.uk</t>
        </is>
      </c>
      <c r="H512" s="13" t="inlineStr">
        <is>
          <t>general</t>
        </is>
      </c>
      <c r="I512" s="13" t="inlineStr">
        <is>
          <t>+44 20 7375 1966</t>
        </is>
      </c>
      <c r="J512" s="14" t="inlineStr">
        <is>
          <t>http://snraccountants.co.uk/</t>
        </is>
      </c>
      <c r="K512" s="13" t="inlineStr">
        <is>
          <t>101 Commercial Rd, London E1 1RD, UK</t>
        </is>
      </c>
      <c r="L512" s="13" t="inlineStr">
        <is>
          <t>E1 1RD</t>
        </is>
      </c>
      <c r="M512" s="13" t="inlineStr">
        <is>
          <t>Whitechapel</t>
        </is>
      </c>
      <c r="N512" s="13" t="n">
        <v>5</v>
      </c>
      <c r="O512" s="15">
        <f>IFERROR(INDEX(Venues!$C$2:$C$10,MATCH(M512,Venues!$A$2:$A$10,0)),"Not checked")</f>
        <v/>
      </c>
      <c r="P512" s="15">
        <f>IFERROR(INDEX(Venues!$D$2:$D$10,MATCH(M512,Venues!$A$2:$A$10,0)),0)</f>
        <v/>
      </c>
      <c r="Q512" s="42">
        <f>IFERROR(INDEX(Venues!$E$2:$E$10,MATCH(M512,Venues!$A$2:$A$10,0)),"")</f>
        <v/>
      </c>
      <c r="R512" s="15">
        <f>IF(P512&gt;0,"Yes","No")</f>
        <v/>
      </c>
      <c r="S512" s="13" t="inlineStr">
        <is>
          <t>COLA Shoreditch Park</t>
        </is>
      </c>
      <c r="T512" s="42">
        <f>IFERROR(INDEX(Venues!$E$2:$E$10,MATCH(S512,Venues!$A$2:$A$10,0)),"")</f>
        <v/>
      </c>
      <c r="U512" s="15">
        <f>IFERROR(INDEX(Venues!$F$2:$F$10,MATCH(S512,Venues!$A$2:$A$10,0)),"")</f>
        <v/>
      </c>
      <c r="V512" s="43">
        <f>IFERROR(INDEX(Venues!$H$2:$H$10,MATCH(S512,Venues!$A$2:$A$10,0)),"")</f>
        <v/>
      </c>
      <c r="W512" s="15">
        <f>IF('Pilot offer'!$C$24="Yes",'Pilot offer'!$C$3,S512)</f>
        <v/>
      </c>
      <c r="X512" s="42">
        <f>IF('Pilot offer'!$C$24="Yes",'Pilot offer'!$C$5+'Pilot offer'!$C$6,T512)</f>
        <v/>
      </c>
      <c r="Y512" s="15">
        <f>IF('Pilot offer'!$C$24="Yes",'Pilot offer'!$C$8,U512)</f>
        <v/>
      </c>
      <c r="Z512" s="43">
        <f>IF('Pilot offer'!$C$24="Yes",'Pilot offer'!$C$11,"")</f>
        <v/>
      </c>
      <c r="AA512" s="15">
        <f>IF(X512="","",W512&amp;" · "&amp;TEXT(X512,"ddd d mmm, hh:mm")&amp;" · "&amp;Y512&amp;IF(Z512&lt;&gt;""," · £"&amp;TEXT(Z512,"0.00")&amp;" per player"," · price TBC (cost £"&amp;TEXT(V512,"0.00")&amp;" pp)"))</f>
        <v/>
      </c>
      <c r="AD512" s="44" t="n"/>
    </row>
    <row r="513">
      <c r="A513" s="13" t="n">
        <v>511</v>
      </c>
      <c r="B513" s="13" t="inlineStr">
        <is>
          <t>3 · E1 Whitechapel</t>
        </is>
      </c>
      <c r="C513" s="13" t="inlineStr">
        <is>
          <t>Retail</t>
        </is>
      </c>
      <c r="D513" s="13" t="inlineStr">
        <is>
          <t>Local businesses</t>
        </is>
      </c>
      <c r="E513" s="13" t="inlineStr">
        <is>
          <t>S-Ponder</t>
        </is>
      </c>
      <c r="F513" s="13" t="inlineStr">
        <is>
          <t>shop: clothes</t>
        </is>
      </c>
      <c r="G513" s="13" t="inlineStr">
        <is>
          <t>hello@s-ponder.com</t>
        </is>
      </c>
      <c r="H513" s="13" t="inlineStr">
        <is>
          <t>general</t>
        </is>
      </c>
      <c r="I513" s="13" t="n"/>
      <c r="J513" s="14" t="inlineStr">
        <is>
          <t>https://www.s-ponder.com/</t>
        </is>
      </c>
      <c r="K513" s="13" t="inlineStr">
        <is>
          <t>Batty Street 2a, London</t>
        </is>
      </c>
      <c r="L513" s="13" t="inlineStr">
        <is>
          <t>E1 1RH</t>
        </is>
      </c>
      <c r="M513" s="13" t="inlineStr">
        <is>
          <t>Whitechapel</t>
        </is>
      </c>
      <c r="N513" s="13" t="n">
        <v>6</v>
      </c>
      <c r="O513" s="15">
        <f>IFERROR(INDEX(Venues!$C$2:$C$10,MATCH(M513,Venues!$A$2:$A$10,0)),"Not checked")</f>
        <v/>
      </c>
      <c r="P513" s="15">
        <f>IFERROR(INDEX(Venues!$D$2:$D$10,MATCH(M513,Venues!$A$2:$A$10,0)),0)</f>
        <v/>
      </c>
      <c r="Q513" s="42">
        <f>IFERROR(INDEX(Venues!$E$2:$E$10,MATCH(M513,Venues!$A$2:$A$10,0)),"")</f>
        <v/>
      </c>
      <c r="R513" s="15">
        <f>IF(P513&gt;0,"Yes","No")</f>
        <v/>
      </c>
      <c r="S513" s="13" t="inlineStr">
        <is>
          <t>COLA Shoreditch Park</t>
        </is>
      </c>
      <c r="T513" s="42">
        <f>IFERROR(INDEX(Venues!$E$2:$E$10,MATCH(S513,Venues!$A$2:$A$10,0)),"")</f>
        <v/>
      </c>
      <c r="U513" s="15">
        <f>IFERROR(INDEX(Venues!$F$2:$F$10,MATCH(S513,Venues!$A$2:$A$10,0)),"")</f>
        <v/>
      </c>
      <c r="V513" s="43">
        <f>IFERROR(INDEX(Venues!$H$2:$H$10,MATCH(S513,Venues!$A$2:$A$10,0)),"")</f>
        <v/>
      </c>
      <c r="W513" s="15">
        <f>IF('Pilot offer'!$C$24="Yes",'Pilot offer'!$C$3,S513)</f>
        <v/>
      </c>
      <c r="X513" s="42">
        <f>IF('Pilot offer'!$C$24="Yes",'Pilot offer'!$C$5+'Pilot offer'!$C$6,T513)</f>
        <v/>
      </c>
      <c r="Y513" s="15">
        <f>IF('Pilot offer'!$C$24="Yes",'Pilot offer'!$C$8,U513)</f>
        <v/>
      </c>
      <c r="Z513" s="43">
        <f>IF('Pilot offer'!$C$24="Yes",'Pilot offer'!$C$11,"")</f>
        <v/>
      </c>
      <c r="AA513" s="15">
        <f>IF(X513="","",W513&amp;" · "&amp;TEXT(X513,"ddd d mmm, hh:mm")&amp;" · "&amp;Y513&amp;IF(Z513&lt;&gt;""," · £"&amp;TEXT(Z513,"0.00")&amp;" per player"," · price TBC (cost £"&amp;TEXT(V513,"0.00")&amp;" pp)"))</f>
        <v/>
      </c>
      <c r="AD513" s="44" t="n"/>
    </row>
    <row r="514">
      <c r="A514" s="13" t="n">
        <v>512</v>
      </c>
      <c r="B514" s="13" t="inlineStr">
        <is>
          <t>3 · E1 Whitechapel</t>
        </is>
      </c>
      <c r="C514" s="13" t="inlineStr">
        <is>
          <t>Education</t>
        </is>
      </c>
      <c r="D514" s="13" t="inlineStr">
        <is>
          <t>Local businesses</t>
        </is>
      </c>
      <c r="E514" s="13" t="inlineStr">
        <is>
          <t>OMG Education</t>
        </is>
      </c>
      <c r="F514" s="13" t="inlineStr">
        <is>
          <t>amenity: school</t>
        </is>
      </c>
      <c r="G514" s="13" t="inlineStr">
        <is>
          <t>info@omg.school</t>
        </is>
      </c>
      <c r="H514" s="13" t="inlineStr">
        <is>
          <t>general</t>
        </is>
      </c>
      <c r="I514" s="13" t="n"/>
      <c r="J514" s="14" t="inlineStr">
        <is>
          <t>https://www.omg.school/</t>
        </is>
      </c>
      <c r="K514" s="13" t="inlineStr">
        <is>
          <t>Pinchin Street 4, London</t>
        </is>
      </c>
      <c r="L514" s="13" t="inlineStr">
        <is>
          <t>E1 1SA</t>
        </is>
      </c>
      <c r="M514" s="13" t="inlineStr">
        <is>
          <t>Whitechapel</t>
        </is>
      </c>
      <c r="N514" s="13" t="n">
        <v>8</v>
      </c>
      <c r="O514" s="15">
        <f>IFERROR(INDEX(Venues!$C$2:$C$10,MATCH(M514,Venues!$A$2:$A$10,0)),"Not checked")</f>
        <v/>
      </c>
      <c r="P514" s="15">
        <f>IFERROR(INDEX(Venues!$D$2:$D$10,MATCH(M514,Venues!$A$2:$A$10,0)),0)</f>
        <v/>
      </c>
      <c r="Q514" s="42">
        <f>IFERROR(INDEX(Venues!$E$2:$E$10,MATCH(M514,Venues!$A$2:$A$10,0)),"")</f>
        <v/>
      </c>
      <c r="R514" s="15">
        <f>IF(P514&gt;0,"Yes","No")</f>
        <v/>
      </c>
      <c r="S514" s="13" t="inlineStr">
        <is>
          <t>COLA Shoreditch Park</t>
        </is>
      </c>
      <c r="T514" s="42">
        <f>IFERROR(INDEX(Venues!$E$2:$E$10,MATCH(S514,Venues!$A$2:$A$10,0)),"")</f>
        <v/>
      </c>
      <c r="U514" s="15">
        <f>IFERROR(INDEX(Venues!$F$2:$F$10,MATCH(S514,Venues!$A$2:$A$10,0)),"")</f>
        <v/>
      </c>
      <c r="V514" s="43">
        <f>IFERROR(INDEX(Venues!$H$2:$H$10,MATCH(S514,Venues!$A$2:$A$10,0)),"")</f>
        <v/>
      </c>
      <c r="W514" s="15">
        <f>IF('Pilot offer'!$C$24="Yes",'Pilot offer'!$C$3,S514)</f>
        <v/>
      </c>
      <c r="X514" s="42">
        <f>IF('Pilot offer'!$C$24="Yes",'Pilot offer'!$C$5+'Pilot offer'!$C$6,T514)</f>
        <v/>
      </c>
      <c r="Y514" s="15">
        <f>IF('Pilot offer'!$C$24="Yes",'Pilot offer'!$C$8,U514)</f>
        <v/>
      </c>
      <c r="Z514" s="43">
        <f>IF('Pilot offer'!$C$24="Yes",'Pilot offer'!$C$11,"")</f>
        <v/>
      </c>
      <c r="AA514" s="15">
        <f>IF(X514="","",W514&amp;" · "&amp;TEXT(X514,"ddd d mmm, hh:mm")&amp;" · "&amp;Y514&amp;IF(Z514&lt;&gt;""," · £"&amp;TEXT(Z514,"0.00")&amp;" per player"," · price TBC (cost £"&amp;TEXT(V514,"0.00")&amp;" pp)"))</f>
        <v/>
      </c>
      <c r="AD514" s="44" t="n"/>
    </row>
    <row r="515">
      <c r="A515" s="13" t="n">
        <v>513</v>
      </c>
      <c r="B515" s="13" t="inlineStr">
        <is>
          <t>3 · E1 Whitechapel</t>
        </is>
      </c>
      <c r="C515" s="13" t="inlineStr">
        <is>
          <t>Hospitality</t>
        </is>
      </c>
      <c r="D515" s="13" t="inlineStr">
        <is>
          <t>Local businesses</t>
        </is>
      </c>
      <c r="E515" s="13" t="inlineStr">
        <is>
          <t>The Griff Inn Bar &amp; Kitchen</t>
        </is>
      </c>
      <c r="F515" s="13" t="inlineStr">
        <is>
          <t>amenity: pub</t>
        </is>
      </c>
      <c r="G515" s="13" t="inlineStr">
        <is>
          <t>su-griffin.inn@qmul.ac.uk</t>
        </is>
      </c>
      <c r="H515" s="13" t="inlineStr">
        <is>
          <t>openstreetmap_tag</t>
        </is>
      </c>
      <c r="I515" s="13" t="inlineStr">
        <is>
          <t>+44 20 7882 8686</t>
        </is>
      </c>
      <c r="J515" s="14" t="inlineStr">
        <is>
          <t>https://www.qmsu.org/griffinn/</t>
        </is>
      </c>
      <c r="K515" s="13" t="inlineStr">
        <is>
          <t>Newark Street, London</t>
        </is>
      </c>
      <c r="L515" s="13" t="inlineStr">
        <is>
          <t>E1 2AT</t>
        </is>
      </c>
      <c r="M515" s="13" t="inlineStr">
        <is>
          <t>Stepney 3G</t>
        </is>
      </c>
      <c r="N515" s="13" t="n">
        <v>18</v>
      </c>
      <c r="O515" s="15">
        <f>IFERROR(INDEX(Venues!$C$2:$C$10,MATCH(M515,Venues!$A$2:$A$10,0)),"Not checked")</f>
        <v/>
      </c>
      <c r="P515" s="15">
        <f>IFERROR(INDEX(Venues!$D$2:$D$10,MATCH(M515,Venues!$A$2:$A$10,0)),0)</f>
        <v/>
      </c>
      <c r="Q515" s="42">
        <f>IFERROR(INDEX(Venues!$E$2:$E$10,MATCH(M515,Venues!$A$2:$A$10,0)),"")</f>
        <v/>
      </c>
      <c r="R515" s="15">
        <f>IF(P515&gt;0,"Yes","No")</f>
        <v/>
      </c>
      <c r="S515" s="13" t="inlineStr">
        <is>
          <t>COLA Shoreditch Park</t>
        </is>
      </c>
      <c r="T515" s="42">
        <f>IFERROR(INDEX(Venues!$E$2:$E$10,MATCH(S515,Venues!$A$2:$A$10,0)),"")</f>
        <v/>
      </c>
      <c r="U515" s="15">
        <f>IFERROR(INDEX(Venues!$F$2:$F$10,MATCH(S515,Venues!$A$2:$A$10,0)),"")</f>
        <v/>
      </c>
      <c r="V515" s="43">
        <f>IFERROR(INDEX(Venues!$H$2:$H$10,MATCH(S515,Venues!$A$2:$A$10,0)),"")</f>
        <v/>
      </c>
      <c r="W515" s="15">
        <f>IF('Pilot offer'!$C$24="Yes",'Pilot offer'!$C$3,S515)</f>
        <v/>
      </c>
      <c r="X515" s="42">
        <f>IF('Pilot offer'!$C$24="Yes",'Pilot offer'!$C$5+'Pilot offer'!$C$6,T515)</f>
        <v/>
      </c>
      <c r="Y515" s="15">
        <f>IF('Pilot offer'!$C$24="Yes",'Pilot offer'!$C$8,U515)</f>
        <v/>
      </c>
      <c r="Z515" s="43">
        <f>IF('Pilot offer'!$C$24="Yes",'Pilot offer'!$C$11,"")</f>
        <v/>
      </c>
      <c r="AA515" s="15">
        <f>IF(X515="","",W515&amp;" · "&amp;TEXT(X515,"ddd d mmm, hh:mm")&amp;" · "&amp;Y515&amp;IF(Z515&lt;&gt;""," · £"&amp;TEXT(Z515,"0.00")&amp;" per player"," · price TBC (cost £"&amp;TEXT(V515,"0.00")&amp;" pp)"))</f>
        <v/>
      </c>
      <c r="AD515" s="44" t="n"/>
    </row>
    <row r="516">
      <c r="A516" s="13" t="n">
        <v>514</v>
      </c>
      <c r="B516" s="13" t="inlineStr">
        <is>
          <t>3 · E1 Whitechapel</t>
        </is>
      </c>
      <c r="C516" s="13" t="inlineStr">
        <is>
          <t>Office &amp; professional</t>
        </is>
      </c>
      <c r="D516" s="13" t="inlineStr">
        <is>
          <t>Corporate</t>
        </is>
      </c>
      <c r="E516" s="13" t="inlineStr">
        <is>
          <t>Ashraf and Co</t>
        </is>
      </c>
      <c r="F516" s="13" t="inlineStr">
        <is>
          <t>finance</t>
        </is>
      </c>
      <c r="G516" s="13" t="inlineStr">
        <is>
          <t>info@ashrafandco.co.uk</t>
        </is>
      </c>
      <c r="H516" s="13" t="inlineStr">
        <is>
          <t>general</t>
        </is>
      </c>
      <c r="I516" s="13" t="inlineStr">
        <is>
          <t>+44 20 3633 4127</t>
        </is>
      </c>
      <c r="J516" s="14" t="inlineStr">
        <is>
          <t>https://ashrafandco.co.uk/</t>
        </is>
      </c>
      <c r="K516" s="13" t="inlineStr">
        <is>
          <t>80A Ashfield St, London E1 2BJ, UK</t>
        </is>
      </c>
      <c r="L516" s="13" t="inlineStr">
        <is>
          <t>E1 2BJ</t>
        </is>
      </c>
      <c r="M516" s="13" t="inlineStr">
        <is>
          <t>Whitechapel</t>
        </is>
      </c>
      <c r="N516" s="13" t="n">
        <v>5</v>
      </c>
      <c r="O516" s="15">
        <f>IFERROR(INDEX(Venues!$C$2:$C$10,MATCH(M516,Venues!$A$2:$A$10,0)),"Not checked")</f>
        <v/>
      </c>
      <c r="P516" s="15">
        <f>IFERROR(INDEX(Venues!$D$2:$D$10,MATCH(M516,Venues!$A$2:$A$10,0)),0)</f>
        <v/>
      </c>
      <c r="Q516" s="42">
        <f>IFERROR(INDEX(Venues!$E$2:$E$10,MATCH(M516,Venues!$A$2:$A$10,0)),"")</f>
        <v/>
      </c>
      <c r="R516" s="15">
        <f>IF(P516&gt;0,"Yes","No")</f>
        <v/>
      </c>
      <c r="S516" s="13" t="inlineStr">
        <is>
          <t>COLA Shoreditch Park</t>
        </is>
      </c>
      <c r="T516" s="42">
        <f>IFERROR(INDEX(Venues!$E$2:$E$10,MATCH(S516,Venues!$A$2:$A$10,0)),"")</f>
        <v/>
      </c>
      <c r="U516" s="15">
        <f>IFERROR(INDEX(Venues!$F$2:$F$10,MATCH(S516,Venues!$A$2:$A$10,0)),"")</f>
        <v/>
      </c>
      <c r="V516" s="43">
        <f>IFERROR(INDEX(Venues!$H$2:$H$10,MATCH(S516,Venues!$A$2:$A$10,0)),"")</f>
        <v/>
      </c>
      <c r="W516" s="15">
        <f>IF('Pilot offer'!$C$24="Yes",'Pilot offer'!$C$3,S516)</f>
        <v/>
      </c>
      <c r="X516" s="42">
        <f>IF('Pilot offer'!$C$24="Yes",'Pilot offer'!$C$5+'Pilot offer'!$C$6,T516)</f>
        <v/>
      </c>
      <c r="Y516" s="15">
        <f>IF('Pilot offer'!$C$24="Yes",'Pilot offer'!$C$8,U516)</f>
        <v/>
      </c>
      <c r="Z516" s="43">
        <f>IF('Pilot offer'!$C$24="Yes",'Pilot offer'!$C$11,"")</f>
        <v/>
      </c>
      <c r="AA516" s="15">
        <f>IF(X516="","",W516&amp;" · "&amp;TEXT(X516,"ddd d mmm, hh:mm")&amp;" · "&amp;Y516&amp;IF(Z516&lt;&gt;""," · £"&amp;TEXT(Z516,"0.00")&amp;" per player"," · price TBC (cost £"&amp;TEXT(V516,"0.00")&amp;" pp)"))</f>
        <v/>
      </c>
      <c r="AD516" s="44" t="n"/>
    </row>
    <row r="517">
      <c r="A517" s="13" t="n">
        <v>515</v>
      </c>
      <c r="B517" s="13" t="inlineStr">
        <is>
          <t>3 · E1 Whitechapel</t>
        </is>
      </c>
      <c r="C517" s="13" t="inlineStr">
        <is>
          <t>Office &amp; professional</t>
        </is>
      </c>
      <c r="D517" s="13" t="inlineStr">
        <is>
          <t>Corporate</t>
        </is>
      </c>
      <c r="E517" s="13" t="inlineStr">
        <is>
          <t>Muhit &amp; Co Chartered Accountants</t>
        </is>
      </c>
      <c r="F517" s="13" t="inlineStr">
        <is>
          <t>finance</t>
        </is>
      </c>
      <c r="G517" s="13" t="inlineStr">
        <is>
          <t>info@muhitandco.com</t>
        </is>
      </c>
      <c r="H517" s="13" t="inlineStr">
        <is>
          <t>general</t>
        </is>
      </c>
      <c r="I517" s="13" t="inlineStr">
        <is>
          <t>+44 20 7790 3331</t>
        </is>
      </c>
      <c r="J517" s="14" t="inlineStr">
        <is>
          <t>https://www.muhitandco.com/?utm_source=google-maps</t>
        </is>
      </c>
      <c r="K517" s="13" t="inlineStr">
        <is>
          <t>Unit 4, 80A Ashfield St, London E1 2BJ, UK</t>
        </is>
      </c>
      <c r="L517" s="13" t="inlineStr">
        <is>
          <t>E1 2BJ</t>
        </is>
      </c>
      <c r="M517" s="13" t="inlineStr">
        <is>
          <t>Whitechapel</t>
        </is>
      </c>
      <c r="N517" s="13" t="n">
        <v>5</v>
      </c>
      <c r="O517" s="15">
        <f>IFERROR(INDEX(Venues!$C$2:$C$10,MATCH(M517,Venues!$A$2:$A$10,0)),"Not checked")</f>
        <v/>
      </c>
      <c r="P517" s="15">
        <f>IFERROR(INDEX(Venues!$D$2:$D$10,MATCH(M517,Venues!$A$2:$A$10,0)),0)</f>
        <v/>
      </c>
      <c r="Q517" s="42">
        <f>IFERROR(INDEX(Venues!$E$2:$E$10,MATCH(M517,Venues!$A$2:$A$10,0)),"")</f>
        <v/>
      </c>
      <c r="R517" s="15">
        <f>IF(P517&gt;0,"Yes","No")</f>
        <v/>
      </c>
      <c r="S517" s="13" t="inlineStr">
        <is>
          <t>COLA Shoreditch Park</t>
        </is>
      </c>
      <c r="T517" s="42">
        <f>IFERROR(INDEX(Venues!$E$2:$E$10,MATCH(S517,Venues!$A$2:$A$10,0)),"")</f>
        <v/>
      </c>
      <c r="U517" s="15">
        <f>IFERROR(INDEX(Venues!$F$2:$F$10,MATCH(S517,Venues!$A$2:$A$10,0)),"")</f>
        <v/>
      </c>
      <c r="V517" s="43">
        <f>IFERROR(INDEX(Venues!$H$2:$H$10,MATCH(S517,Venues!$A$2:$A$10,0)),"")</f>
        <v/>
      </c>
      <c r="W517" s="15">
        <f>IF('Pilot offer'!$C$24="Yes",'Pilot offer'!$C$3,S517)</f>
        <v/>
      </c>
      <c r="X517" s="42">
        <f>IF('Pilot offer'!$C$24="Yes",'Pilot offer'!$C$5+'Pilot offer'!$C$6,T517)</f>
        <v/>
      </c>
      <c r="Y517" s="15">
        <f>IF('Pilot offer'!$C$24="Yes",'Pilot offer'!$C$8,U517)</f>
        <v/>
      </c>
      <c r="Z517" s="43">
        <f>IF('Pilot offer'!$C$24="Yes",'Pilot offer'!$C$11,"")</f>
        <v/>
      </c>
      <c r="AA517" s="15">
        <f>IF(X517="","",W517&amp;" · "&amp;TEXT(X517,"ddd d mmm, hh:mm")&amp;" · "&amp;Y517&amp;IF(Z517&lt;&gt;""," · £"&amp;TEXT(Z517,"0.00")&amp;" per player"," · price TBC (cost £"&amp;TEXT(V517,"0.00")&amp;" pp)"))</f>
        <v/>
      </c>
      <c r="AD517" s="44" t="n"/>
    </row>
    <row r="518">
      <c r="A518" s="13" t="n">
        <v>516</v>
      </c>
      <c r="B518" s="13" t="inlineStr">
        <is>
          <t>3 · E1 Whitechapel</t>
        </is>
      </c>
      <c r="C518" s="13" t="inlineStr">
        <is>
          <t>Office &amp; professional</t>
        </is>
      </c>
      <c r="D518" s="13" t="inlineStr">
        <is>
          <t>Corporate</t>
        </is>
      </c>
      <c r="E518" s="13" t="inlineStr">
        <is>
          <t>Reza Solicitors</t>
        </is>
      </c>
      <c r="F518" s="13" t="inlineStr">
        <is>
          <t>lawyer</t>
        </is>
      </c>
      <c r="G518" s="13" t="inlineStr">
        <is>
          <t>info@rezasolicitors.com</t>
        </is>
      </c>
      <c r="H518" s="13" t="inlineStr">
        <is>
          <t>general</t>
        </is>
      </c>
      <c r="I518" s="13" t="inlineStr">
        <is>
          <t>+44 20 7993 5414</t>
        </is>
      </c>
      <c r="J518" s="14" t="inlineStr">
        <is>
          <t>https://www.rezasolicitors.com/</t>
        </is>
      </c>
      <c r="K518" s="13" t="inlineStr">
        <is>
          <t>255-259 Commercial Road, London</t>
        </is>
      </c>
      <c r="L518" s="13" t="inlineStr">
        <is>
          <t>E1 2BT</t>
        </is>
      </c>
      <c r="M518" s="13" t="inlineStr">
        <is>
          <t>Whitechapel</t>
        </is>
      </c>
      <c r="N518" s="13" t="n">
        <v>2</v>
      </c>
      <c r="O518" s="15">
        <f>IFERROR(INDEX(Venues!$C$2:$C$10,MATCH(M518,Venues!$A$2:$A$10,0)),"Not checked")</f>
        <v/>
      </c>
      <c r="P518" s="15">
        <f>IFERROR(INDEX(Venues!$D$2:$D$10,MATCH(M518,Venues!$A$2:$A$10,0)),0)</f>
        <v/>
      </c>
      <c r="Q518" s="42">
        <f>IFERROR(INDEX(Venues!$E$2:$E$10,MATCH(M518,Venues!$A$2:$A$10,0)),"")</f>
        <v/>
      </c>
      <c r="R518" s="15">
        <f>IF(P518&gt;0,"Yes","No")</f>
        <v/>
      </c>
      <c r="S518" s="13" t="inlineStr">
        <is>
          <t>COLA Shoreditch Park</t>
        </is>
      </c>
      <c r="T518" s="42">
        <f>IFERROR(INDEX(Venues!$E$2:$E$10,MATCH(S518,Venues!$A$2:$A$10,0)),"")</f>
        <v/>
      </c>
      <c r="U518" s="15">
        <f>IFERROR(INDEX(Venues!$F$2:$F$10,MATCH(S518,Venues!$A$2:$A$10,0)),"")</f>
        <v/>
      </c>
      <c r="V518" s="43">
        <f>IFERROR(INDEX(Venues!$H$2:$H$10,MATCH(S518,Venues!$A$2:$A$10,0)),"")</f>
        <v/>
      </c>
      <c r="W518" s="15">
        <f>IF('Pilot offer'!$C$24="Yes",'Pilot offer'!$C$3,S518)</f>
        <v/>
      </c>
      <c r="X518" s="42">
        <f>IF('Pilot offer'!$C$24="Yes",'Pilot offer'!$C$5+'Pilot offer'!$C$6,T518)</f>
        <v/>
      </c>
      <c r="Y518" s="15">
        <f>IF('Pilot offer'!$C$24="Yes",'Pilot offer'!$C$8,U518)</f>
        <v/>
      </c>
      <c r="Z518" s="43">
        <f>IF('Pilot offer'!$C$24="Yes",'Pilot offer'!$C$11,"")</f>
        <v/>
      </c>
      <c r="AA518" s="15">
        <f>IF(X518="","",W518&amp;" · "&amp;TEXT(X518,"ddd d mmm, hh:mm")&amp;" · "&amp;Y518&amp;IF(Z518&lt;&gt;""," · £"&amp;TEXT(Z518,"0.00")&amp;" per player"," · price TBC (cost £"&amp;TEXT(V518,"0.00")&amp;" pp)"))</f>
        <v/>
      </c>
      <c r="AD518" s="44" t="n"/>
    </row>
    <row r="519">
      <c r="A519" s="13" t="n">
        <v>517</v>
      </c>
      <c r="B519" s="13" t="inlineStr">
        <is>
          <t>3 · E1 Whitechapel</t>
        </is>
      </c>
      <c r="C519" s="13" t="inlineStr">
        <is>
          <t>Office &amp; professional</t>
        </is>
      </c>
      <c r="D519" s="13" t="inlineStr">
        <is>
          <t>Corporate</t>
        </is>
      </c>
      <c r="E519" s="13" t="inlineStr">
        <is>
          <t>Royal Chambers Solicitors</t>
        </is>
      </c>
      <c r="F519" s="13" t="inlineStr">
        <is>
          <t>consultant</t>
        </is>
      </c>
      <c r="G519" s="13" t="inlineStr">
        <is>
          <t>info@rcsolicitors.uk</t>
        </is>
      </c>
      <c r="H519" s="13" t="inlineStr">
        <is>
          <t>general</t>
        </is>
      </c>
      <c r="I519" s="13" t="inlineStr">
        <is>
          <t>+44 7375 755722</t>
        </is>
      </c>
      <c r="J519" s="14" t="inlineStr">
        <is>
          <t>https://www.rcsolicitors.uk/</t>
        </is>
      </c>
      <c r="K519" s="13" t="inlineStr">
        <is>
          <t>255-259 Commercial Rd, London E1 2BT, UK</t>
        </is>
      </c>
      <c r="L519" s="13" t="inlineStr">
        <is>
          <t>E1 2BT</t>
        </is>
      </c>
      <c r="M519" s="13" t="inlineStr">
        <is>
          <t>Whitechapel</t>
        </is>
      </c>
      <c r="N519" s="13" t="n">
        <v>2</v>
      </c>
      <c r="O519" s="15">
        <f>IFERROR(INDEX(Venues!$C$2:$C$10,MATCH(M519,Venues!$A$2:$A$10,0)),"Not checked")</f>
        <v/>
      </c>
      <c r="P519" s="15">
        <f>IFERROR(INDEX(Venues!$D$2:$D$10,MATCH(M519,Venues!$A$2:$A$10,0)),0)</f>
        <v/>
      </c>
      <c r="Q519" s="42">
        <f>IFERROR(INDEX(Venues!$E$2:$E$10,MATCH(M519,Venues!$A$2:$A$10,0)),"")</f>
        <v/>
      </c>
      <c r="R519" s="15">
        <f>IF(P519&gt;0,"Yes","No")</f>
        <v/>
      </c>
      <c r="S519" s="13" t="inlineStr">
        <is>
          <t>COLA Shoreditch Park</t>
        </is>
      </c>
      <c r="T519" s="42">
        <f>IFERROR(INDEX(Venues!$E$2:$E$10,MATCH(S519,Venues!$A$2:$A$10,0)),"")</f>
        <v/>
      </c>
      <c r="U519" s="15">
        <f>IFERROR(INDEX(Venues!$F$2:$F$10,MATCH(S519,Venues!$A$2:$A$10,0)),"")</f>
        <v/>
      </c>
      <c r="V519" s="43">
        <f>IFERROR(INDEX(Venues!$H$2:$H$10,MATCH(S519,Venues!$A$2:$A$10,0)),"")</f>
        <v/>
      </c>
      <c r="W519" s="15">
        <f>IF('Pilot offer'!$C$24="Yes",'Pilot offer'!$C$3,S519)</f>
        <v/>
      </c>
      <c r="X519" s="42">
        <f>IF('Pilot offer'!$C$24="Yes",'Pilot offer'!$C$5+'Pilot offer'!$C$6,T519)</f>
        <v/>
      </c>
      <c r="Y519" s="15">
        <f>IF('Pilot offer'!$C$24="Yes",'Pilot offer'!$C$8,U519)</f>
        <v/>
      </c>
      <c r="Z519" s="43">
        <f>IF('Pilot offer'!$C$24="Yes",'Pilot offer'!$C$11,"")</f>
        <v/>
      </c>
      <c r="AA519" s="15">
        <f>IF(X519="","",W519&amp;" · "&amp;TEXT(X519,"ddd d mmm, hh:mm")&amp;" · "&amp;Y519&amp;IF(Z519&lt;&gt;""," · £"&amp;TEXT(Z519,"0.00")&amp;" per player"," · price TBC (cost £"&amp;TEXT(V519,"0.00")&amp;" pp)"))</f>
        <v/>
      </c>
      <c r="AD519" s="44" t="n"/>
    </row>
    <row r="520">
      <c r="A520" s="13" t="n">
        <v>518</v>
      </c>
      <c r="B520" s="13" t="inlineStr">
        <is>
          <t>3 · E1 Whitechapel</t>
        </is>
      </c>
      <c r="C520" s="13" t="inlineStr">
        <is>
          <t>Hospitality</t>
        </is>
      </c>
      <c r="D520" s="13" t="inlineStr">
        <is>
          <t>Local businesses</t>
        </is>
      </c>
      <c r="E520" s="13" t="inlineStr">
        <is>
          <t>Aptel East</t>
        </is>
      </c>
      <c r="F520" s="13" t="inlineStr">
        <is>
          <t>tourism: hotel</t>
        </is>
      </c>
      <c r="G520" s="13" t="inlineStr">
        <is>
          <t>reception@aptel.co.uk</t>
        </is>
      </c>
      <c r="H520" s="13" t="inlineStr">
        <is>
          <t>general</t>
        </is>
      </c>
      <c r="I520" s="13" t="inlineStr">
        <is>
          <t>+44 20 7052 3140</t>
        </is>
      </c>
      <c r="J520" s="14" t="inlineStr">
        <is>
          <t>https://www.aptel.co.uk</t>
        </is>
      </c>
      <c r="K520" s="13" t="inlineStr">
        <is>
          <t>Commercial Road 169-171, London</t>
        </is>
      </c>
      <c r="L520" s="13" t="inlineStr">
        <is>
          <t>E1 2DA</t>
        </is>
      </c>
      <c r="M520" s="13" t="inlineStr">
        <is>
          <t>Whitechapel</t>
        </is>
      </c>
      <c r="N520" s="13" t="n">
        <v>2</v>
      </c>
      <c r="O520" s="15">
        <f>IFERROR(INDEX(Venues!$C$2:$C$10,MATCH(M520,Venues!$A$2:$A$10,0)),"Not checked")</f>
        <v/>
      </c>
      <c r="P520" s="15">
        <f>IFERROR(INDEX(Venues!$D$2:$D$10,MATCH(M520,Venues!$A$2:$A$10,0)),0)</f>
        <v/>
      </c>
      <c r="Q520" s="42">
        <f>IFERROR(INDEX(Venues!$E$2:$E$10,MATCH(M520,Venues!$A$2:$A$10,0)),"")</f>
        <v/>
      </c>
      <c r="R520" s="15">
        <f>IF(P520&gt;0,"Yes","No")</f>
        <v/>
      </c>
      <c r="S520" s="13" t="inlineStr">
        <is>
          <t>COLA Shoreditch Park</t>
        </is>
      </c>
      <c r="T520" s="42">
        <f>IFERROR(INDEX(Venues!$E$2:$E$10,MATCH(S520,Venues!$A$2:$A$10,0)),"")</f>
        <v/>
      </c>
      <c r="U520" s="15">
        <f>IFERROR(INDEX(Venues!$F$2:$F$10,MATCH(S520,Venues!$A$2:$A$10,0)),"")</f>
        <v/>
      </c>
      <c r="V520" s="43">
        <f>IFERROR(INDEX(Venues!$H$2:$H$10,MATCH(S520,Venues!$A$2:$A$10,0)),"")</f>
        <v/>
      </c>
      <c r="W520" s="15">
        <f>IF('Pilot offer'!$C$24="Yes",'Pilot offer'!$C$3,S520)</f>
        <v/>
      </c>
      <c r="X520" s="42">
        <f>IF('Pilot offer'!$C$24="Yes",'Pilot offer'!$C$5+'Pilot offer'!$C$6,T520)</f>
        <v/>
      </c>
      <c r="Y520" s="15">
        <f>IF('Pilot offer'!$C$24="Yes",'Pilot offer'!$C$8,U520)</f>
        <v/>
      </c>
      <c r="Z520" s="43">
        <f>IF('Pilot offer'!$C$24="Yes",'Pilot offer'!$C$11,"")</f>
        <v/>
      </c>
      <c r="AA520" s="15">
        <f>IF(X520="","",W520&amp;" · "&amp;TEXT(X520,"ddd d mmm, hh:mm")&amp;" · "&amp;Y520&amp;IF(Z520&lt;&gt;""," · £"&amp;TEXT(Z520,"0.00")&amp;" per player"," · price TBC (cost £"&amp;TEXT(V520,"0.00")&amp;" pp)"))</f>
        <v/>
      </c>
      <c r="AD520" s="44" t="n"/>
    </row>
    <row r="521">
      <c r="A521" s="13" t="n">
        <v>519</v>
      </c>
      <c r="B521" s="13" t="inlineStr">
        <is>
          <t>3 · E1 Whitechapel</t>
        </is>
      </c>
      <c r="C521" s="13" t="inlineStr">
        <is>
          <t>Education</t>
        </is>
      </c>
      <c r="D521" s="13" t="inlineStr">
        <is>
          <t>Local businesses</t>
        </is>
      </c>
      <c r="E521" s="13" t="inlineStr">
        <is>
          <t>Daffodil Preparatory School</t>
        </is>
      </c>
      <c r="F521" s="13" t="inlineStr">
        <is>
          <t>amenity: school</t>
        </is>
      </c>
      <c r="G521" s="13" t="inlineStr">
        <is>
          <t>info@daffodilprepschool.org.uk</t>
        </is>
      </c>
      <c r="H521" s="13" t="inlineStr">
        <is>
          <t>general</t>
        </is>
      </c>
      <c r="I521" s="13" t="inlineStr">
        <is>
          <t>+44 20 4539 9737</t>
        </is>
      </c>
      <c r="J521" s="14" t="inlineStr">
        <is>
          <t>https://www.daffodilprepschool.org.uk/</t>
        </is>
      </c>
      <c r="K521" s="13" t="inlineStr">
        <is>
          <t>Commercial Road 161 - 163, London</t>
        </is>
      </c>
      <c r="L521" s="13" t="inlineStr">
        <is>
          <t>E1 2DA</t>
        </is>
      </c>
      <c r="M521" s="13" t="inlineStr">
        <is>
          <t>Whitechapel</t>
        </is>
      </c>
      <c r="N521" s="13" t="n">
        <v>3</v>
      </c>
      <c r="O521" s="15">
        <f>IFERROR(INDEX(Venues!$C$2:$C$10,MATCH(M521,Venues!$A$2:$A$10,0)),"Not checked")</f>
        <v/>
      </c>
      <c r="P521" s="15">
        <f>IFERROR(INDEX(Venues!$D$2:$D$10,MATCH(M521,Venues!$A$2:$A$10,0)),0)</f>
        <v/>
      </c>
      <c r="Q521" s="42">
        <f>IFERROR(INDEX(Venues!$E$2:$E$10,MATCH(M521,Venues!$A$2:$A$10,0)),"")</f>
        <v/>
      </c>
      <c r="R521" s="15">
        <f>IF(P521&gt;0,"Yes","No")</f>
        <v/>
      </c>
      <c r="S521" s="13" t="inlineStr">
        <is>
          <t>COLA Shoreditch Park</t>
        </is>
      </c>
      <c r="T521" s="42">
        <f>IFERROR(INDEX(Venues!$E$2:$E$10,MATCH(S521,Venues!$A$2:$A$10,0)),"")</f>
        <v/>
      </c>
      <c r="U521" s="15">
        <f>IFERROR(INDEX(Venues!$F$2:$F$10,MATCH(S521,Venues!$A$2:$A$10,0)),"")</f>
        <v/>
      </c>
      <c r="V521" s="43">
        <f>IFERROR(INDEX(Venues!$H$2:$H$10,MATCH(S521,Venues!$A$2:$A$10,0)),"")</f>
        <v/>
      </c>
      <c r="W521" s="15">
        <f>IF('Pilot offer'!$C$24="Yes",'Pilot offer'!$C$3,S521)</f>
        <v/>
      </c>
      <c r="X521" s="42">
        <f>IF('Pilot offer'!$C$24="Yes",'Pilot offer'!$C$5+'Pilot offer'!$C$6,T521)</f>
        <v/>
      </c>
      <c r="Y521" s="15">
        <f>IF('Pilot offer'!$C$24="Yes",'Pilot offer'!$C$8,U521)</f>
        <v/>
      </c>
      <c r="Z521" s="43">
        <f>IF('Pilot offer'!$C$24="Yes",'Pilot offer'!$C$11,"")</f>
        <v/>
      </c>
      <c r="AA521" s="15">
        <f>IF(X521="","",W521&amp;" · "&amp;TEXT(X521,"ddd d mmm, hh:mm")&amp;" · "&amp;Y521&amp;IF(Z521&lt;&gt;""," · £"&amp;TEXT(Z521,"0.00")&amp;" per player"," · price TBC (cost £"&amp;TEXT(V521,"0.00")&amp;" pp)"))</f>
        <v/>
      </c>
      <c r="AD521" s="44" t="n"/>
    </row>
    <row r="522">
      <c r="A522" s="13" t="n">
        <v>520</v>
      </c>
      <c r="B522" s="13" t="inlineStr">
        <is>
          <t>3 · E1 Whitechapel</t>
        </is>
      </c>
      <c r="C522" s="13" t="inlineStr">
        <is>
          <t>Education</t>
        </is>
      </c>
      <c r="D522" s="13" t="inlineStr">
        <is>
          <t>Local businesses</t>
        </is>
      </c>
      <c r="E522" s="13" t="inlineStr">
        <is>
          <t>Date Palm Primary</t>
        </is>
      </c>
      <c r="F522" s="13" t="inlineStr">
        <is>
          <t>amenity: school</t>
        </is>
      </c>
      <c r="G522" s="13" t="inlineStr">
        <is>
          <t>admin@datepalmprimary.com</t>
        </is>
      </c>
      <c r="H522" s="13" t="inlineStr">
        <is>
          <t>general</t>
        </is>
      </c>
      <c r="I522" s="13" t="inlineStr">
        <is>
          <t>+44 7877 134630</t>
        </is>
      </c>
      <c r="J522" s="14" t="inlineStr">
        <is>
          <t>https://www.datepalmprimary.com/</t>
        </is>
      </c>
      <c r="K522" s="13" t="inlineStr">
        <is>
          <t>Nelson Street 56-60, London</t>
        </is>
      </c>
      <c r="L522" s="13" t="inlineStr">
        <is>
          <t>E1 2DE</t>
        </is>
      </c>
      <c r="M522" s="13" t="inlineStr">
        <is>
          <t>Stepney 3G</t>
        </is>
      </c>
      <c r="N522" s="13" t="n">
        <v>19</v>
      </c>
      <c r="O522" s="15">
        <f>IFERROR(INDEX(Venues!$C$2:$C$10,MATCH(M522,Venues!$A$2:$A$10,0)),"Not checked")</f>
        <v/>
      </c>
      <c r="P522" s="15">
        <f>IFERROR(INDEX(Venues!$D$2:$D$10,MATCH(M522,Venues!$A$2:$A$10,0)),0)</f>
        <v/>
      </c>
      <c r="Q522" s="42">
        <f>IFERROR(INDEX(Venues!$E$2:$E$10,MATCH(M522,Venues!$A$2:$A$10,0)),"")</f>
        <v/>
      </c>
      <c r="R522" s="15">
        <f>IF(P522&gt;0,"Yes","No")</f>
        <v/>
      </c>
      <c r="S522" s="13" t="inlineStr">
        <is>
          <t>COLA Shoreditch Park</t>
        </is>
      </c>
      <c r="T522" s="42">
        <f>IFERROR(INDEX(Venues!$E$2:$E$10,MATCH(S522,Venues!$A$2:$A$10,0)),"")</f>
        <v/>
      </c>
      <c r="U522" s="15">
        <f>IFERROR(INDEX(Venues!$F$2:$F$10,MATCH(S522,Venues!$A$2:$A$10,0)),"")</f>
        <v/>
      </c>
      <c r="V522" s="43">
        <f>IFERROR(INDEX(Venues!$H$2:$H$10,MATCH(S522,Venues!$A$2:$A$10,0)),"")</f>
        <v/>
      </c>
      <c r="W522" s="15">
        <f>IF('Pilot offer'!$C$24="Yes",'Pilot offer'!$C$3,S522)</f>
        <v/>
      </c>
      <c r="X522" s="42">
        <f>IF('Pilot offer'!$C$24="Yes",'Pilot offer'!$C$5+'Pilot offer'!$C$6,T522)</f>
        <v/>
      </c>
      <c r="Y522" s="15">
        <f>IF('Pilot offer'!$C$24="Yes",'Pilot offer'!$C$8,U522)</f>
        <v/>
      </c>
      <c r="Z522" s="43">
        <f>IF('Pilot offer'!$C$24="Yes",'Pilot offer'!$C$11,"")</f>
        <v/>
      </c>
      <c r="AA522" s="15">
        <f>IF(X522="","",W522&amp;" · "&amp;TEXT(X522,"ddd d mmm, hh:mm")&amp;" · "&amp;Y522&amp;IF(Z522&lt;&gt;""," · £"&amp;TEXT(Z522,"0.00")&amp;" per player"," · price TBC (cost £"&amp;TEXT(V522,"0.00")&amp;" pp)"))</f>
        <v/>
      </c>
      <c r="AD522" s="44" t="n"/>
    </row>
    <row r="523">
      <c r="A523" s="13" t="n">
        <v>521</v>
      </c>
      <c r="B523" s="13" t="inlineStr">
        <is>
          <t>3 · E1 Whitechapel</t>
        </is>
      </c>
      <c r="C523" s="13" t="inlineStr">
        <is>
          <t>Education</t>
        </is>
      </c>
      <c r="D523" s="13" t="inlineStr">
        <is>
          <t>Local businesses</t>
        </is>
      </c>
      <c r="E523" s="13" t="inlineStr">
        <is>
          <t>Idea Store Watney Market</t>
        </is>
      </c>
      <c r="F523" s="13" t="inlineStr">
        <is>
          <t>amenity: library</t>
        </is>
      </c>
      <c r="G523" s="13" t="inlineStr">
        <is>
          <t>ideastore@towerhamlets.gov.uk</t>
        </is>
      </c>
      <c r="H523" s="13" t="inlineStr">
        <is>
          <t>openstreetmap_tag</t>
        </is>
      </c>
      <c r="I523" s="13" t="inlineStr">
        <is>
          <t>+44 20 7364 4332</t>
        </is>
      </c>
      <c r="J523" s="14" t="inlineStr">
        <is>
          <t>https://www.ideastore.co.uk/idea-store-watney-market</t>
        </is>
      </c>
      <c r="K523" s="13" t="inlineStr">
        <is>
          <t>Commercial Road 260, London</t>
        </is>
      </c>
      <c r="L523" s="13" t="inlineStr">
        <is>
          <t>E1 2FB</t>
        </is>
      </c>
      <c r="M523" s="13" t="inlineStr">
        <is>
          <t>Stepney 3G</t>
        </is>
      </c>
      <c r="N523" s="13" t="n">
        <v>19</v>
      </c>
      <c r="O523" s="15">
        <f>IFERROR(INDEX(Venues!$C$2:$C$10,MATCH(M523,Venues!$A$2:$A$10,0)),"Not checked")</f>
        <v/>
      </c>
      <c r="P523" s="15">
        <f>IFERROR(INDEX(Venues!$D$2:$D$10,MATCH(M523,Venues!$A$2:$A$10,0)),0)</f>
        <v/>
      </c>
      <c r="Q523" s="42">
        <f>IFERROR(INDEX(Venues!$E$2:$E$10,MATCH(M523,Venues!$A$2:$A$10,0)),"")</f>
        <v/>
      </c>
      <c r="R523" s="15">
        <f>IF(P523&gt;0,"Yes","No")</f>
        <v/>
      </c>
      <c r="S523" s="13" t="inlineStr">
        <is>
          <t>COLA Shoreditch Park</t>
        </is>
      </c>
      <c r="T523" s="42">
        <f>IFERROR(INDEX(Venues!$E$2:$E$10,MATCH(S523,Venues!$A$2:$A$10,0)),"")</f>
        <v/>
      </c>
      <c r="U523" s="15">
        <f>IFERROR(INDEX(Venues!$F$2:$F$10,MATCH(S523,Venues!$A$2:$A$10,0)),"")</f>
        <v/>
      </c>
      <c r="V523" s="43">
        <f>IFERROR(INDEX(Venues!$H$2:$H$10,MATCH(S523,Venues!$A$2:$A$10,0)),"")</f>
        <v/>
      </c>
      <c r="W523" s="15">
        <f>IF('Pilot offer'!$C$24="Yes",'Pilot offer'!$C$3,S523)</f>
        <v/>
      </c>
      <c r="X523" s="42">
        <f>IF('Pilot offer'!$C$24="Yes",'Pilot offer'!$C$5+'Pilot offer'!$C$6,T523)</f>
        <v/>
      </c>
      <c r="Y523" s="15">
        <f>IF('Pilot offer'!$C$24="Yes",'Pilot offer'!$C$8,U523)</f>
        <v/>
      </c>
      <c r="Z523" s="43">
        <f>IF('Pilot offer'!$C$24="Yes",'Pilot offer'!$C$11,"")</f>
        <v/>
      </c>
      <c r="AA523" s="15">
        <f>IF(X523="","",W523&amp;" · "&amp;TEXT(X523,"ddd d mmm, hh:mm")&amp;" · "&amp;Y523&amp;IF(Z523&lt;&gt;""," · £"&amp;TEXT(Z523,"0.00")&amp;" per player"," · price TBC (cost £"&amp;TEXT(V523,"0.00")&amp;" pp)"))</f>
        <v/>
      </c>
      <c r="AD523" s="44" t="n"/>
    </row>
    <row r="524">
      <c r="A524" s="13" t="n">
        <v>522</v>
      </c>
      <c r="B524" s="13" t="inlineStr">
        <is>
          <t>3 · E1 Whitechapel</t>
        </is>
      </c>
      <c r="C524" s="13" t="inlineStr">
        <is>
          <t>Office &amp; professional</t>
        </is>
      </c>
      <c r="D524" s="13" t="inlineStr">
        <is>
          <t>Corporate</t>
        </is>
      </c>
      <c r="E524" s="13" t="inlineStr">
        <is>
          <t>Lawmatic Solicitors</t>
        </is>
      </c>
      <c r="F524" s="13" t="inlineStr">
        <is>
          <t>consultant</t>
        </is>
      </c>
      <c r="G524" s="13" t="inlineStr">
        <is>
          <t>info@lawmaticsolicitors.com</t>
        </is>
      </c>
      <c r="H524" s="13" t="inlineStr">
        <is>
          <t>general</t>
        </is>
      </c>
      <c r="I524" s="13" t="inlineStr">
        <is>
          <t>+44 20 8077 5079</t>
        </is>
      </c>
      <c r="J524" s="14" t="inlineStr">
        <is>
          <t>https://www.lawmaticsolicitors.com/</t>
        </is>
      </c>
      <c r="K524" s="13" t="inlineStr">
        <is>
          <t>18 Tapestry Wy, London E1 2FJ, UK</t>
        </is>
      </c>
      <c r="L524" s="13" t="inlineStr">
        <is>
          <t>E1 2FJ</t>
        </is>
      </c>
      <c r="M524" s="13" t="inlineStr">
        <is>
          <t>Whitechapel</t>
        </is>
      </c>
      <c r="N524" s="13" t="n">
        <v>8</v>
      </c>
      <c r="O524" s="15">
        <f>IFERROR(INDEX(Venues!$C$2:$C$10,MATCH(M524,Venues!$A$2:$A$10,0)),"Not checked")</f>
        <v/>
      </c>
      <c r="P524" s="15">
        <f>IFERROR(INDEX(Venues!$D$2:$D$10,MATCH(M524,Venues!$A$2:$A$10,0)),0)</f>
        <v/>
      </c>
      <c r="Q524" s="42">
        <f>IFERROR(INDEX(Venues!$E$2:$E$10,MATCH(M524,Venues!$A$2:$A$10,0)),"")</f>
        <v/>
      </c>
      <c r="R524" s="15">
        <f>IF(P524&gt;0,"Yes","No")</f>
        <v/>
      </c>
      <c r="S524" s="13" t="inlineStr">
        <is>
          <t>COLA Shoreditch Park</t>
        </is>
      </c>
      <c r="T524" s="42">
        <f>IFERROR(INDEX(Venues!$E$2:$E$10,MATCH(S524,Venues!$A$2:$A$10,0)),"")</f>
        <v/>
      </c>
      <c r="U524" s="15">
        <f>IFERROR(INDEX(Venues!$F$2:$F$10,MATCH(S524,Venues!$A$2:$A$10,0)),"")</f>
        <v/>
      </c>
      <c r="V524" s="43">
        <f>IFERROR(INDEX(Venues!$H$2:$H$10,MATCH(S524,Venues!$A$2:$A$10,0)),"")</f>
        <v/>
      </c>
      <c r="W524" s="15">
        <f>IF('Pilot offer'!$C$24="Yes",'Pilot offer'!$C$3,S524)</f>
        <v/>
      </c>
      <c r="X524" s="42">
        <f>IF('Pilot offer'!$C$24="Yes",'Pilot offer'!$C$5+'Pilot offer'!$C$6,T524)</f>
        <v/>
      </c>
      <c r="Y524" s="15">
        <f>IF('Pilot offer'!$C$24="Yes",'Pilot offer'!$C$8,U524)</f>
        <v/>
      </c>
      <c r="Z524" s="43">
        <f>IF('Pilot offer'!$C$24="Yes",'Pilot offer'!$C$11,"")</f>
        <v/>
      </c>
      <c r="AA524" s="15">
        <f>IF(X524="","",W524&amp;" · "&amp;TEXT(X524,"ddd d mmm, hh:mm")&amp;" · "&amp;Y524&amp;IF(Z524&lt;&gt;""," · £"&amp;TEXT(Z524,"0.00")&amp;" per player"," · price TBC (cost £"&amp;TEXT(V524,"0.00")&amp;" pp)"))</f>
        <v/>
      </c>
      <c r="AD524" s="44" t="n"/>
    </row>
    <row r="525">
      <c r="A525" s="13" t="n">
        <v>523</v>
      </c>
      <c r="B525" s="13" t="inlineStr">
        <is>
          <t>3 · E1 Whitechapel</t>
        </is>
      </c>
      <c r="C525" s="13" t="inlineStr">
        <is>
          <t>Office &amp; professional</t>
        </is>
      </c>
      <c r="D525" s="13" t="inlineStr">
        <is>
          <t>Corporate</t>
        </is>
      </c>
      <c r="E525" s="13" t="inlineStr">
        <is>
          <t>MHC Chartered Accountant</t>
        </is>
      </c>
      <c r="F525" s="13" t="inlineStr">
        <is>
          <t>finance</t>
        </is>
      </c>
      <c r="G525" s="13" t="inlineStr">
        <is>
          <t>info@mhcaccountant.co.uk</t>
        </is>
      </c>
      <c r="H525" s="13" t="inlineStr">
        <is>
          <t>general</t>
        </is>
      </c>
      <c r="I525" s="13" t="inlineStr">
        <is>
          <t>+44 20 7790 0416</t>
        </is>
      </c>
      <c r="J525" s="14" t="inlineStr">
        <is>
          <t>http://mhcaccountant.co.uk/</t>
        </is>
      </c>
      <c r="K525" s="13" t="inlineStr">
        <is>
          <t>22 Cavell St, London E1 2HP, UK</t>
        </is>
      </c>
      <c r="L525" s="13" t="inlineStr">
        <is>
          <t>E1 2HP</t>
        </is>
      </c>
      <c r="M525" s="13" t="inlineStr">
        <is>
          <t>Whitechapel</t>
        </is>
      </c>
      <c r="N525" s="13" t="n">
        <v>3</v>
      </c>
      <c r="O525" s="15">
        <f>IFERROR(INDEX(Venues!$C$2:$C$10,MATCH(M525,Venues!$A$2:$A$10,0)),"Not checked")</f>
        <v/>
      </c>
      <c r="P525" s="15">
        <f>IFERROR(INDEX(Venues!$D$2:$D$10,MATCH(M525,Venues!$A$2:$A$10,0)),0)</f>
        <v/>
      </c>
      <c r="Q525" s="42">
        <f>IFERROR(INDEX(Venues!$E$2:$E$10,MATCH(M525,Venues!$A$2:$A$10,0)),"")</f>
        <v/>
      </c>
      <c r="R525" s="15">
        <f>IF(P525&gt;0,"Yes","No")</f>
        <v/>
      </c>
      <c r="S525" s="13" t="inlineStr">
        <is>
          <t>COLA Shoreditch Park</t>
        </is>
      </c>
      <c r="T525" s="42">
        <f>IFERROR(INDEX(Venues!$E$2:$E$10,MATCH(S525,Venues!$A$2:$A$10,0)),"")</f>
        <v/>
      </c>
      <c r="U525" s="15">
        <f>IFERROR(INDEX(Venues!$F$2:$F$10,MATCH(S525,Venues!$A$2:$A$10,0)),"")</f>
        <v/>
      </c>
      <c r="V525" s="43">
        <f>IFERROR(INDEX(Venues!$H$2:$H$10,MATCH(S525,Venues!$A$2:$A$10,0)),"")</f>
        <v/>
      </c>
      <c r="W525" s="15">
        <f>IF('Pilot offer'!$C$24="Yes",'Pilot offer'!$C$3,S525)</f>
        <v/>
      </c>
      <c r="X525" s="42">
        <f>IF('Pilot offer'!$C$24="Yes",'Pilot offer'!$C$5+'Pilot offer'!$C$6,T525)</f>
        <v/>
      </c>
      <c r="Y525" s="15">
        <f>IF('Pilot offer'!$C$24="Yes",'Pilot offer'!$C$8,U525)</f>
        <v/>
      </c>
      <c r="Z525" s="43">
        <f>IF('Pilot offer'!$C$24="Yes",'Pilot offer'!$C$11,"")</f>
        <v/>
      </c>
      <c r="AA525" s="15">
        <f>IF(X525="","",W525&amp;" · "&amp;TEXT(X525,"ddd d mmm, hh:mm")&amp;" · "&amp;Y525&amp;IF(Z525&lt;&gt;""," · £"&amp;TEXT(Z525,"0.00")&amp;" per player"," · price TBC (cost £"&amp;TEXT(V525,"0.00")&amp;" pp)"))</f>
        <v/>
      </c>
      <c r="AD525" s="44" t="n"/>
    </row>
    <row r="526">
      <c r="A526" s="13" t="n">
        <v>524</v>
      </c>
      <c r="B526" s="13" t="inlineStr">
        <is>
          <t>3 · E1 Whitechapel</t>
        </is>
      </c>
      <c r="C526" s="13" t="inlineStr">
        <is>
          <t>Education</t>
        </is>
      </c>
      <c r="D526" s="13" t="inlineStr">
        <is>
          <t>Local businesses</t>
        </is>
      </c>
      <c r="E526" s="13" t="inlineStr">
        <is>
          <t>London Islamic School</t>
        </is>
      </c>
      <c r="F526" s="13" t="inlineStr">
        <is>
          <t>amenity: school</t>
        </is>
      </c>
      <c r="G526" s="13" t="inlineStr">
        <is>
          <t>info@londonislamicschool.org</t>
        </is>
      </c>
      <c r="H526" s="13" t="inlineStr">
        <is>
          <t>general</t>
        </is>
      </c>
      <c r="I526" s="13" t="inlineStr">
        <is>
          <t>+44 20 7265 9667</t>
        </is>
      </c>
      <c r="J526" s="14" t="inlineStr">
        <is>
          <t>http://www.londonislamicschool.org</t>
        </is>
      </c>
      <c r="K526" s="13" t="inlineStr">
        <is>
          <t>Damien Street 18-22, London</t>
        </is>
      </c>
      <c r="L526" s="13" t="inlineStr">
        <is>
          <t>E1 2HX</t>
        </is>
      </c>
      <c r="M526" s="13" t="inlineStr">
        <is>
          <t>Stepney 3G</t>
        </is>
      </c>
      <c r="N526" s="13" t="n">
        <v>16</v>
      </c>
      <c r="O526" s="15">
        <f>IFERROR(INDEX(Venues!$C$2:$C$10,MATCH(M526,Venues!$A$2:$A$10,0)),"Not checked")</f>
        <v/>
      </c>
      <c r="P526" s="15">
        <f>IFERROR(INDEX(Venues!$D$2:$D$10,MATCH(M526,Venues!$A$2:$A$10,0)),0)</f>
        <v/>
      </c>
      <c r="Q526" s="42">
        <f>IFERROR(INDEX(Venues!$E$2:$E$10,MATCH(M526,Venues!$A$2:$A$10,0)),"")</f>
        <v/>
      </c>
      <c r="R526" s="15">
        <f>IF(P526&gt;0,"Yes","No")</f>
        <v/>
      </c>
      <c r="S526" s="13" t="inlineStr">
        <is>
          <t>COLA Shoreditch Park</t>
        </is>
      </c>
      <c r="T526" s="42">
        <f>IFERROR(INDEX(Venues!$E$2:$E$10,MATCH(S526,Venues!$A$2:$A$10,0)),"")</f>
        <v/>
      </c>
      <c r="U526" s="15">
        <f>IFERROR(INDEX(Venues!$F$2:$F$10,MATCH(S526,Venues!$A$2:$A$10,0)),"")</f>
        <v/>
      </c>
      <c r="V526" s="43">
        <f>IFERROR(INDEX(Venues!$H$2:$H$10,MATCH(S526,Venues!$A$2:$A$10,0)),"")</f>
        <v/>
      </c>
      <c r="W526" s="15">
        <f>IF('Pilot offer'!$C$24="Yes",'Pilot offer'!$C$3,S526)</f>
        <v/>
      </c>
      <c r="X526" s="42">
        <f>IF('Pilot offer'!$C$24="Yes",'Pilot offer'!$C$5+'Pilot offer'!$C$6,T526)</f>
        <v/>
      </c>
      <c r="Y526" s="15">
        <f>IF('Pilot offer'!$C$24="Yes",'Pilot offer'!$C$8,U526)</f>
        <v/>
      </c>
      <c r="Z526" s="43">
        <f>IF('Pilot offer'!$C$24="Yes",'Pilot offer'!$C$11,"")</f>
        <v/>
      </c>
      <c r="AA526" s="15">
        <f>IF(X526="","",W526&amp;" · "&amp;TEXT(X526,"ddd d mmm, hh:mm")&amp;" · "&amp;Y526&amp;IF(Z526&lt;&gt;""," · £"&amp;TEXT(Z526,"0.00")&amp;" per player"," · price TBC (cost £"&amp;TEXT(V526,"0.00")&amp;" pp)"))</f>
        <v/>
      </c>
      <c r="AD526" s="44" t="n"/>
    </row>
    <row r="527">
      <c r="A527" s="13" t="n">
        <v>525</v>
      </c>
      <c r="B527" s="13" t="inlineStr">
        <is>
          <t>3 · E1 Whitechapel</t>
        </is>
      </c>
      <c r="C527" s="13" t="inlineStr">
        <is>
          <t>Office &amp; professional</t>
        </is>
      </c>
      <c r="D527" s="13" t="inlineStr">
        <is>
          <t>Corporate</t>
        </is>
      </c>
      <c r="E527" s="13" t="inlineStr">
        <is>
          <t>Here&amp;Now365- defining Multicultural Marketing</t>
        </is>
      </c>
      <c r="F527" s="13" t="inlineStr">
        <is>
          <t>service</t>
        </is>
      </c>
      <c r="G527" s="13" t="inlineStr">
        <is>
          <t>info@hereandnow365.co.uk</t>
        </is>
      </c>
      <c r="H527" s="13" t="inlineStr">
        <is>
          <t>general</t>
        </is>
      </c>
      <c r="I527" s="13" t="inlineStr">
        <is>
          <t>+44 20 4548 9715</t>
        </is>
      </c>
      <c r="J527" s="14" t="inlineStr">
        <is>
          <t>https://www.hereandnow365.co.uk/</t>
        </is>
      </c>
      <c r="K527" s="13" t="inlineStr">
        <is>
          <t>Multicultural Marketing LightHouse, 20 Rampart St, London E1 2LS, UK</t>
        </is>
      </c>
      <c r="L527" s="13" t="inlineStr">
        <is>
          <t>E1 2LS</t>
        </is>
      </c>
      <c r="M527" s="13" t="inlineStr">
        <is>
          <t>Whitechapel</t>
        </is>
      </c>
      <c r="N527" s="13" t="n">
        <v>2</v>
      </c>
      <c r="O527" s="15">
        <f>IFERROR(INDEX(Venues!$C$2:$C$10,MATCH(M527,Venues!$A$2:$A$10,0)),"Not checked")</f>
        <v/>
      </c>
      <c r="P527" s="15">
        <f>IFERROR(INDEX(Venues!$D$2:$D$10,MATCH(M527,Venues!$A$2:$A$10,0)),0)</f>
        <v/>
      </c>
      <c r="Q527" s="42">
        <f>IFERROR(INDEX(Venues!$E$2:$E$10,MATCH(M527,Venues!$A$2:$A$10,0)),"")</f>
        <v/>
      </c>
      <c r="R527" s="15">
        <f>IF(P527&gt;0,"Yes","No")</f>
        <v/>
      </c>
      <c r="S527" s="13" t="inlineStr">
        <is>
          <t>COLA Shoreditch Park</t>
        </is>
      </c>
      <c r="T527" s="42">
        <f>IFERROR(INDEX(Venues!$E$2:$E$10,MATCH(S527,Venues!$A$2:$A$10,0)),"")</f>
        <v/>
      </c>
      <c r="U527" s="15">
        <f>IFERROR(INDEX(Venues!$F$2:$F$10,MATCH(S527,Venues!$A$2:$A$10,0)),"")</f>
        <v/>
      </c>
      <c r="V527" s="43">
        <f>IFERROR(INDEX(Venues!$H$2:$H$10,MATCH(S527,Venues!$A$2:$A$10,0)),"")</f>
        <v/>
      </c>
      <c r="W527" s="15">
        <f>IF('Pilot offer'!$C$24="Yes",'Pilot offer'!$C$3,S527)</f>
        <v/>
      </c>
      <c r="X527" s="42">
        <f>IF('Pilot offer'!$C$24="Yes",'Pilot offer'!$C$5+'Pilot offer'!$C$6,T527)</f>
        <v/>
      </c>
      <c r="Y527" s="15">
        <f>IF('Pilot offer'!$C$24="Yes",'Pilot offer'!$C$8,U527)</f>
        <v/>
      </c>
      <c r="Z527" s="43">
        <f>IF('Pilot offer'!$C$24="Yes",'Pilot offer'!$C$11,"")</f>
        <v/>
      </c>
      <c r="AA527" s="15">
        <f>IF(X527="","",W527&amp;" · "&amp;TEXT(X527,"ddd d mmm, hh:mm")&amp;" · "&amp;Y527&amp;IF(Z527&lt;&gt;""," · £"&amp;TEXT(Z527,"0.00")&amp;" per player"," · price TBC (cost £"&amp;TEXT(V527,"0.00")&amp;" pp)"))</f>
        <v/>
      </c>
      <c r="AD527" s="44" t="n"/>
    </row>
    <row r="528">
      <c r="A528" s="13" t="n">
        <v>526</v>
      </c>
      <c r="B528" s="13" t="inlineStr">
        <is>
          <t>3 · E1 Whitechapel</t>
        </is>
      </c>
      <c r="C528" s="13" t="inlineStr">
        <is>
          <t>Education</t>
        </is>
      </c>
      <c r="D528" s="13" t="inlineStr">
        <is>
          <t>Local businesses</t>
        </is>
      </c>
      <c r="E528" s="13" t="inlineStr">
        <is>
          <t>Buttercup Primary School</t>
        </is>
      </c>
      <c r="F528" s="13" t="inlineStr">
        <is>
          <t>amenity: school</t>
        </is>
      </c>
      <c r="G528" s="13" t="inlineStr">
        <is>
          <t>info@buttercupprimary.co.uk</t>
        </is>
      </c>
      <c r="H528" s="13" t="inlineStr">
        <is>
          <t>general</t>
        </is>
      </c>
      <c r="I528" s="13" t="inlineStr">
        <is>
          <t>+44 20 3759 7408</t>
        </is>
      </c>
      <c r="J528" s="14" t="inlineStr">
        <is>
          <t>https://buttercupprimary.co.uk/</t>
        </is>
      </c>
      <c r="K528" s="13" t="inlineStr">
        <is>
          <t>Cannon Street Road 181, London</t>
        </is>
      </c>
      <c r="L528" s="13" t="inlineStr">
        <is>
          <t>E1 2LX</t>
        </is>
      </c>
      <c r="M528" s="13" t="inlineStr">
        <is>
          <t>Whitechapel</t>
        </is>
      </c>
      <c r="N528" s="13" t="n">
        <v>3</v>
      </c>
      <c r="O528" s="15">
        <f>IFERROR(INDEX(Venues!$C$2:$C$10,MATCH(M528,Venues!$A$2:$A$10,0)),"Not checked")</f>
        <v/>
      </c>
      <c r="P528" s="15">
        <f>IFERROR(INDEX(Venues!$D$2:$D$10,MATCH(M528,Venues!$A$2:$A$10,0)),0)</f>
        <v/>
      </c>
      <c r="Q528" s="42">
        <f>IFERROR(INDEX(Venues!$E$2:$E$10,MATCH(M528,Venues!$A$2:$A$10,0)),"")</f>
        <v/>
      </c>
      <c r="R528" s="15">
        <f>IF(P528&gt;0,"Yes","No")</f>
        <v/>
      </c>
      <c r="S528" s="13" t="inlineStr">
        <is>
          <t>COLA Shoreditch Park</t>
        </is>
      </c>
      <c r="T528" s="42">
        <f>IFERROR(INDEX(Venues!$E$2:$E$10,MATCH(S528,Venues!$A$2:$A$10,0)),"")</f>
        <v/>
      </c>
      <c r="U528" s="15">
        <f>IFERROR(INDEX(Venues!$F$2:$F$10,MATCH(S528,Venues!$A$2:$A$10,0)),"")</f>
        <v/>
      </c>
      <c r="V528" s="43">
        <f>IFERROR(INDEX(Venues!$H$2:$H$10,MATCH(S528,Venues!$A$2:$A$10,0)),"")</f>
        <v/>
      </c>
      <c r="W528" s="15">
        <f>IF('Pilot offer'!$C$24="Yes",'Pilot offer'!$C$3,S528)</f>
        <v/>
      </c>
      <c r="X528" s="42">
        <f>IF('Pilot offer'!$C$24="Yes",'Pilot offer'!$C$5+'Pilot offer'!$C$6,T528)</f>
        <v/>
      </c>
      <c r="Y528" s="15">
        <f>IF('Pilot offer'!$C$24="Yes",'Pilot offer'!$C$8,U528)</f>
        <v/>
      </c>
      <c r="Z528" s="43">
        <f>IF('Pilot offer'!$C$24="Yes",'Pilot offer'!$C$11,"")</f>
        <v/>
      </c>
      <c r="AA528" s="15">
        <f>IF(X528="","",W528&amp;" · "&amp;TEXT(X528,"ddd d mmm, hh:mm")&amp;" · "&amp;Y528&amp;IF(Z528&lt;&gt;""," · £"&amp;TEXT(Z528,"0.00")&amp;" per player"," · price TBC (cost £"&amp;TEXT(V528,"0.00")&amp;" pp)"))</f>
        <v/>
      </c>
      <c r="AD528" s="44" t="n"/>
    </row>
    <row r="529">
      <c r="A529" s="13" t="n">
        <v>527</v>
      </c>
      <c r="B529" s="13" t="inlineStr">
        <is>
          <t>3 · E1 Whitechapel</t>
        </is>
      </c>
      <c r="C529" s="13" t="inlineStr">
        <is>
          <t>Education</t>
        </is>
      </c>
      <c r="D529" s="13" t="inlineStr">
        <is>
          <t>Local businesses</t>
        </is>
      </c>
      <c r="E529" s="13" t="inlineStr">
        <is>
          <t>Jamiatul Ummah School</t>
        </is>
      </c>
      <c r="F529" s="13" t="inlineStr">
        <is>
          <t>amenity: school</t>
        </is>
      </c>
      <c r="G529" s="13" t="inlineStr">
        <is>
          <t>info@jamiatulummah.org.uk</t>
        </is>
      </c>
      <c r="H529" s="13" t="inlineStr">
        <is>
          <t>general</t>
        </is>
      </c>
      <c r="I529" s="13" t="inlineStr">
        <is>
          <t>+44 20 7790 7878</t>
        </is>
      </c>
      <c r="J529" s="14" t="inlineStr">
        <is>
          <t>https://jamiatulummah.org.uk/</t>
        </is>
      </c>
      <c r="K529" s="13" t="inlineStr">
        <is>
          <t>Bigland Street 56, London</t>
        </is>
      </c>
      <c r="L529" s="13" t="inlineStr">
        <is>
          <t>E1 2ND</t>
        </is>
      </c>
      <c r="M529" s="13" t="inlineStr">
        <is>
          <t>Whitechapel</t>
        </is>
      </c>
      <c r="N529" s="13" t="n">
        <v>3</v>
      </c>
      <c r="O529" s="15">
        <f>IFERROR(INDEX(Venues!$C$2:$C$10,MATCH(M529,Venues!$A$2:$A$10,0)),"Not checked")</f>
        <v/>
      </c>
      <c r="P529" s="15">
        <f>IFERROR(INDEX(Venues!$D$2:$D$10,MATCH(M529,Venues!$A$2:$A$10,0)),0)</f>
        <v/>
      </c>
      <c r="Q529" s="42">
        <f>IFERROR(INDEX(Venues!$E$2:$E$10,MATCH(M529,Venues!$A$2:$A$10,0)),"")</f>
        <v/>
      </c>
      <c r="R529" s="15">
        <f>IF(P529&gt;0,"Yes","No")</f>
        <v/>
      </c>
      <c r="S529" s="13" t="inlineStr">
        <is>
          <t>COLA Shoreditch Park</t>
        </is>
      </c>
      <c r="T529" s="42">
        <f>IFERROR(INDEX(Venues!$E$2:$E$10,MATCH(S529,Venues!$A$2:$A$10,0)),"")</f>
        <v/>
      </c>
      <c r="U529" s="15">
        <f>IFERROR(INDEX(Venues!$F$2:$F$10,MATCH(S529,Venues!$A$2:$A$10,0)),"")</f>
        <v/>
      </c>
      <c r="V529" s="43">
        <f>IFERROR(INDEX(Venues!$H$2:$H$10,MATCH(S529,Venues!$A$2:$A$10,0)),"")</f>
        <v/>
      </c>
      <c r="W529" s="15">
        <f>IF('Pilot offer'!$C$24="Yes",'Pilot offer'!$C$3,S529)</f>
        <v/>
      </c>
      <c r="X529" s="42">
        <f>IF('Pilot offer'!$C$24="Yes",'Pilot offer'!$C$5+'Pilot offer'!$C$6,T529)</f>
        <v/>
      </c>
      <c r="Y529" s="15">
        <f>IF('Pilot offer'!$C$24="Yes",'Pilot offer'!$C$8,U529)</f>
        <v/>
      </c>
      <c r="Z529" s="43">
        <f>IF('Pilot offer'!$C$24="Yes",'Pilot offer'!$C$11,"")</f>
        <v/>
      </c>
      <c r="AA529" s="15">
        <f>IF(X529="","",W529&amp;" · "&amp;TEXT(X529,"ddd d mmm, hh:mm")&amp;" · "&amp;Y529&amp;IF(Z529&lt;&gt;""," · £"&amp;TEXT(Z529,"0.00")&amp;" per player"," · price TBC (cost £"&amp;TEXT(V529,"0.00")&amp;" pp)"))</f>
        <v/>
      </c>
      <c r="AD529" s="44" t="n"/>
    </row>
    <row r="530">
      <c r="A530" s="13" t="n">
        <v>528</v>
      </c>
      <c r="B530" s="13" t="inlineStr">
        <is>
          <t>3 · E1 Whitechapel</t>
        </is>
      </c>
      <c r="C530" s="13" t="inlineStr">
        <is>
          <t>Leisure &amp; culture</t>
        </is>
      </c>
      <c r="D530" s="13" t="inlineStr">
        <is>
          <t>Local businesses</t>
        </is>
      </c>
      <c r="E530" s="13" t="inlineStr">
        <is>
          <t>Grapple Collective</t>
        </is>
      </c>
      <c r="F530" s="13" t="inlineStr">
        <is>
          <t>amenity: dojo</t>
        </is>
      </c>
      <c r="G530" s="13" t="inlineStr">
        <is>
          <t>grapplecollective@gmail.com</t>
        </is>
      </c>
      <c r="H530" s="13" t="inlineStr">
        <is>
          <t>openstreetmap_tag</t>
        </is>
      </c>
      <c r="I530" s="13" t="inlineStr">
        <is>
          <t>+44 7975 914940</t>
        </is>
      </c>
      <c r="J530" s="14" t="inlineStr">
        <is>
          <t>https://www.grapplecollective.com/</t>
        </is>
      </c>
      <c r="K530" s="13" t="inlineStr">
        <is>
          <t>Chapman Street 117, London</t>
        </is>
      </c>
      <c r="L530" s="13" t="inlineStr">
        <is>
          <t>E1 2PH</t>
        </is>
      </c>
      <c r="M530" s="13" t="inlineStr">
        <is>
          <t>Whitechapel</t>
        </is>
      </c>
      <c r="N530" s="13" t="n">
        <v>5</v>
      </c>
      <c r="O530" s="15">
        <f>IFERROR(INDEX(Venues!$C$2:$C$10,MATCH(M530,Venues!$A$2:$A$10,0)),"Not checked")</f>
        <v/>
      </c>
      <c r="P530" s="15">
        <f>IFERROR(INDEX(Venues!$D$2:$D$10,MATCH(M530,Venues!$A$2:$A$10,0)),0)</f>
        <v/>
      </c>
      <c r="Q530" s="42">
        <f>IFERROR(INDEX(Venues!$E$2:$E$10,MATCH(M530,Venues!$A$2:$A$10,0)),"")</f>
        <v/>
      </c>
      <c r="R530" s="15">
        <f>IF(P530&gt;0,"Yes","No")</f>
        <v/>
      </c>
      <c r="S530" s="13" t="inlineStr">
        <is>
          <t>COLA Shoreditch Park</t>
        </is>
      </c>
      <c r="T530" s="42">
        <f>IFERROR(INDEX(Venues!$E$2:$E$10,MATCH(S530,Venues!$A$2:$A$10,0)),"")</f>
        <v/>
      </c>
      <c r="U530" s="15">
        <f>IFERROR(INDEX(Venues!$F$2:$F$10,MATCH(S530,Venues!$A$2:$A$10,0)),"")</f>
        <v/>
      </c>
      <c r="V530" s="43">
        <f>IFERROR(INDEX(Venues!$H$2:$H$10,MATCH(S530,Venues!$A$2:$A$10,0)),"")</f>
        <v/>
      </c>
      <c r="W530" s="15">
        <f>IF('Pilot offer'!$C$24="Yes",'Pilot offer'!$C$3,S530)</f>
        <v/>
      </c>
      <c r="X530" s="42">
        <f>IF('Pilot offer'!$C$24="Yes",'Pilot offer'!$C$5+'Pilot offer'!$C$6,T530)</f>
        <v/>
      </c>
      <c r="Y530" s="15">
        <f>IF('Pilot offer'!$C$24="Yes",'Pilot offer'!$C$8,U530)</f>
        <v/>
      </c>
      <c r="Z530" s="43">
        <f>IF('Pilot offer'!$C$24="Yes",'Pilot offer'!$C$11,"")</f>
        <v/>
      </c>
      <c r="AA530" s="15">
        <f>IF(X530="","",W530&amp;" · "&amp;TEXT(X530,"ddd d mmm, hh:mm")&amp;" · "&amp;Y530&amp;IF(Z530&lt;&gt;""," · £"&amp;TEXT(Z530,"0.00")&amp;" per player"," · price TBC (cost £"&amp;TEXT(V530,"0.00")&amp;" pp)"))</f>
        <v/>
      </c>
      <c r="AD530" s="44" t="n"/>
    </row>
    <row r="531">
      <c r="A531" s="13" t="n">
        <v>529</v>
      </c>
      <c r="B531" s="13" t="inlineStr">
        <is>
          <t>3 · E1 Whitechapel</t>
        </is>
      </c>
      <c r="C531" s="13" t="inlineStr">
        <is>
          <t>Retail</t>
        </is>
      </c>
      <c r="D531" s="13" t="inlineStr">
        <is>
          <t>Local businesses</t>
        </is>
      </c>
      <c r="E531" s="13" t="inlineStr">
        <is>
          <t>Diamond</t>
        </is>
      </c>
      <c r="F531" s="13" t="inlineStr">
        <is>
          <t>shop: dry cleaning</t>
        </is>
      </c>
      <c r="G531" s="13" t="inlineStr">
        <is>
          <t>info@diamondtdc.co.uk</t>
        </is>
      </c>
      <c r="H531" s="13" t="inlineStr">
        <is>
          <t>general</t>
        </is>
      </c>
      <c r="I531" s="13" t="inlineStr">
        <is>
          <t>+44 20 7790 7318</t>
        </is>
      </c>
      <c r="J531" s="14" t="inlineStr">
        <is>
          <t>https://diamondtdc.co.uk/</t>
        </is>
      </c>
      <c r="K531" s="13" t="inlineStr">
        <is>
          <t>Watney Market 21, London</t>
        </is>
      </c>
      <c r="L531" s="13" t="inlineStr">
        <is>
          <t>E1 2PP</t>
        </is>
      </c>
      <c r="M531" s="13" t="inlineStr">
        <is>
          <t>Stepney 3G</t>
        </is>
      </c>
      <c r="N531" s="13" t="n">
        <v>20</v>
      </c>
      <c r="O531" s="15">
        <f>IFERROR(INDEX(Venues!$C$2:$C$10,MATCH(M531,Venues!$A$2:$A$10,0)),"Not checked")</f>
        <v/>
      </c>
      <c r="P531" s="15">
        <f>IFERROR(INDEX(Venues!$D$2:$D$10,MATCH(M531,Venues!$A$2:$A$10,0)),0)</f>
        <v/>
      </c>
      <c r="Q531" s="42">
        <f>IFERROR(INDEX(Venues!$E$2:$E$10,MATCH(M531,Venues!$A$2:$A$10,0)),"")</f>
        <v/>
      </c>
      <c r="R531" s="15">
        <f>IF(P531&gt;0,"Yes","No")</f>
        <v/>
      </c>
      <c r="S531" s="13" t="inlineStr">
        <is>
          <t>COLA Shoreditch Park</t>
        </is>
      </c>
      <c r="T531" s="42">
        <f>IFERROR(INDEX(Venues!$E$2:$E$10,MATCH(S531,Venues!$A$2:$A$10,0)),"")</f>
        <v/>
      </c>
      <c r="U531" s="15">
        <f>IFERROR(INDEX(Venues!$F$2:$F$10,MATCH(S531,Venues!$A$2:$A$10,0)),"")</f>
        <v/>
      </c>
      <c r="V531" s="43">
        <f>IFERROR(INDEX(Venues!$H$2:$H$10,MATCH(S531,Venues!$A$2:$A$10,0)),"")</f>
        <v/>
      </c>
      <c r="W531" s="15">
        <f>IF('Pilot offer'!$C$24="Yes",'Pilot offer'!$C$3,S531)</f>
        <v/>
      </c>
      <c r="X531" s="42">
        <f>IF('Pilot offer'!$C$24="Yes",'Pilot offer'!$C$5+'Pilot offer'!$C$6,T531)</f>
        <v/>
      </c>
      <c r="Y531" s="15">
        <f>IF('Pilot offer'!$C$24="Yes",'Pilot offer'!$C$8,U531)</f>
        <v/>
      </c>
      <c r="Z531" s="43">
        <f>IF('Pilot offer'!$C$24="Yes",'Pilot offer'!$C$11,"")</f>
        <v/>
      </c>
      <c r="AA531" s="15">
        <f>IF(X531="","",W531&amp;" · "&amp;TEXT(X531,"ddd d mmm, hh:mm")&amp;" · "&amp;Y531&amp;IF(Z531&lt;&gt;""," · £"&amp;TEXT(Z531,"0.00")&amp;" per player"," · price TBC (cost £"&amp;TEXT(V531,"0.00")&amp;" pp)"))</f>
        <v/>
      </c>
      <c r="AD531" s="44" t="n"/>
    </row>
    <row r="532">
      <c r="A532" s="13" t="n">
        <v>530</v>
      </c>
      <c r="B532" s="13" t="inlineStr">
        <is>
          <t>3 · E1 Whitechapel</t>
        </is>
      </c>
      <c r="C532" s="13" t="inlineStr">
        <is>
          <t>Retail</t>
        </is>
      </c>
      <c r="D532" s="13" t="inlineStr">
        <is>
          <t>Local businesses</t>
        </is>
      </c>
      <c r="E532" s="13" t="inlineStr">
        <is>
          <t>Brigita</t>
        </is>
      </c>
      <c r="F532" s="13" t="inlineStr">
        <is>
          <t>shop: hairdresser</t>
        </is>
      </c>
      <c r="G532" s="13" t="inlineStr">
        <is>
          <t>info@brigita.co.uk</t>
        </is>
      </c>
      <c r="H532" s="13" t="inlineStr">
        <is>
          <t>general</t>
        </is>
      </c>
      <c r="I532" s="13" t="inlineStr">
        <is>
          <t>+44 20 7790 8008</t>
        </is>
      </c>
      <c r="J532" s="14" t="inlineStr">
        <is>
          <t>https://www.brigita.co.uk/</t>
        </is>
      </c>
      <c r="K532" s="13" t="inlineStr">
        <is>
          <t>Watney Market 8, London</t>
        </is>
      </c>
      <c r="L532" s="13" t="inlineStr">
        <is>
          <t>E1 2PR</t>
        </is>
      </c>
      <c r="M532" s="13" t="inlineStr">
        <is>
          <t>Stepney 3G</t>
        </is>
      </c>
      <c r="N532" s="13" t="n">
        <v>19</v>
      </c>
      <c r="O532" s="15">
        <f>IFERROR(INDEX(Venues!$C$2:$C$10,MATCH(M532,Venues!$A$2:$A$10,0)),"Not checked")</f>
        <v/>
      </c>
      <c r="P532" s="15">
        <f>IFERROR(INDEX(Venues!$D$2:$D$10,MATCH(M532,Venues!$A$2:$A$10,0)),0)</f>
        <v/>
      </c>
      <c r="Q532" s="42">
        <f>IFERROR(INDEX(Venues!$E$2:$E$10,MATCH(M532,Venues!$A$2:$A$10,0)),"")</f>
        <v/>
      </c>
      <c r="R532" s="15">
        <f>IF(P532&gt;0,"Yes","No")</f>
        <v/>
      </c>
      <c r="S532" s="13" t="inlineStr">
        <is>
          <t>COLA Shoreditch Park</t>
        </is>
      </c>
      <c r="T532" s="42">
        <f>IFERROR(INDEX(Venues!$E$2:$E$10,MATCH(S532,Venues!$A$2:$A$10,0)),"")</f>
        <v/>
      </c>
      <c r="U532" s="15">
        <f>IFERROR(INDEX(Venues!$F$2:$F$10,MATCH(S532,Venues!$A$2:$A$10,0)),"")</f>
        <v/>
      </c>
      <c r="V532" s="43">
        <f>IFERROR(INDEX(Venues!$H$2:$H$10,MATCH(S532,Venues!$A$2:$A$10,0)),"")</f>
        <v/>
      </c>
      <c r="W532" s="15">
        <f>IF('Pilot offer'!$C$24="Yes",'Pilot offer'!$C$3,S532)</f>
        <v/>
      </c>
      <c r="X532" s="42">
        <f>IF('Pilot offer'!$C$24="Yes",'Pilot offer'!$C$5+'Pilot offer'!$C$6,T532)</f>
        <v/>
      </c>
      <c r="Y532" s="15">
        <f>IF('Pilot offer'!$C$24="Yes",'Pilot offer'!$C$8,U532)</f>
        <v/>
      </c>
      <c r="Z532" s="43">
        <f>IF('Pilot offer'!$C$24="Yes",'Pilot offer'!$C$11,"")</f>
        <v/>
      </c>
      <c r="AA532" s="15">
        <f>IF(X532="","",W532&amp;" · "&amp;TEXT(X532,"ddd d mmm, hh:mm")&amp;" · "&amp;Y532&amp;IF(Z532&lt;&gt;""," · £"&amp;TEXT(Z532,"0.00")&amp;" per player"," · price TBC (cost £"&amp;TEXT(V532,"0.00")&amp;" pp)"))</f>
        <v/>
      </c>
      <c r="AD532" s="44" t="n"/>
    </row>
    <row r="533">
      <c r="A533" s="13" t="n">
        <v>531</v>
      </c>
      <c r="B533" s="13" t="inlineStr">
        <is>
          <t>3 · E1 Whitechapel</t>
        </is>
      </c>
      <c r="C533" s="13" t="inlineStr">
        <is>
          <t>Office &amp; professional</t>
        </is>
      </c>
      <c r="D533" s="13" t="inlineStr">
        <is>
          <t>Corporate</t>
        </is>
      </c>
      <c r="E533" s="13" t="inlineStr">
        <is>
          <t>Castle Accident Management</t>
        </is>
      </c>
      <c r="F533" s="13" t="inlineStr">
        <is>
          <t>consultant</t>
        </is>
      </c>
      <c r="G533" s="13" t="inlineStr">
        <is>
          <t>info@castleaccidentmanagement.com</t>
        </is>
      </c>
      <c r="H533" s="13" t="inlineStr">
        <is>
          <t>general</t>
        </is>
      </c>
      <c r="I533" s="13" t="inlineStr">
        <is>
          <t>+44 20 8981 4633</t>
        </is>
      </c>
      <c r="J533" s="14" t="inlineStr">
        <is>
          <t>https://castleaccidentmanagement.com/</t>
        </is>
      </c>
      <c r="K533" s="13" t="inlineStr">
        <is>
          <t>363 Commercial Rd, Stepney Green, London E1 2PS, UK</t>
        </is>
      </c>
      <c r="L533" s="13" t="inlineStr">
        <is>
          <t>E1 2PS</t>
        </is>
      </c>
      <c r="M533" s="13" t="inlineStr">
        <is>
          <t>Whitechapel</t>
        </is>
      </c>
      <c r="N533" s="13" t="n">
        <v>6</v>
      </c>
      <c r="O533" s="15">
        <f>IFERROR(INDEX(Venues!$C$2:$C$10,MATCH(M533,Venues!$A$2:$A$10,0)),"Not checked")</f>
        <v/>
      </c>
      <c r="P533" s="15">
        <f>IFERROR(INDEX(Venues!$D$2:$D$10,MATCH(M533,Venues!$A$2:$A$10,0)),0)</f>
        <v/>
      </c>
      <c r="Q533" s="42">
        <f>IFERROR(INDEX(Venues!$E$2:$E$10,MATCH(M533,Venues!$A$2:$A$10,0)),"")</f>
        <v/>
      </c>
      <c r="R533" s="15">
        <f>IF(P533&gt;0,"Yes","No")</f>
        <v/>
      </c>
      <c r="S533" s="13" t="inlineStr">
        <is>
          <t>COLA Shoreditch Park</t>
        </is>
      </c>
      <c r="T533" s="42">
        <f>IFERROR(INDEX(Venues!$E$2:$E$10,MATCH(S533,Venues!$A$2:$A$10,0)),"")</f>
        <v/>
      </c>
      <c r="U533" s="15">
        <f>IFERROR(INDEX(Venues!$F$2:$F$10,MATCH(S533,Venues!$A$2:$A$10,0)),"")</f>
        <v/>
      </c>
      <c r="V533" s="43">
        <f>IFERROR(INDEX(Venues!$H$2:$H$10,MATCH(S533,Venues!$A$2:$A$10,0)),"")</f>
        <v/>
      </c>
      <c r="W533" s="15">
        <f>IF('Pilot offer'!$C$24="Yes",'Pilot offer'!$C$3,S533)</f>
        <v/>
      </c>
      <c r="X533" s="42">
        <f>IF('Pilot offer'!$C$24="Yes",'Pilot offer'!$C$5+'Pilot offer'!$C$6,T533)</f>
        <v/>
      </c>
      <c r="Y533" s="15">
        <f>IF('Pilot offer'!$C$24="Yes",'Pilot offer'!$C$8,U533)</f>
        <v/>
      </c>
      <c r="Z533" s="43">
        <f>IF('Pilot offer'!$C$24="Yes",'Pilot offer'!$C$11,"")</f>
        <v/>
      </c>
      <c r="AA533" s="15">
        <f>IF(X533="","",W533&amp;" · "&amp;TEXT(X533,"ddd d mmm, hh:mm")&amp;" · "&amp;Y533&amp;IF(Z533&lt;&gt;""," · £"&amp;TEXT(Z533,"0.00")&amp;" per player"," · price TBC (cost £"&amp;TEXT(V533,"0.00")&amp;" pp)"))</f>
        <v/>
      </c>
      <c r="AD533" s="44" t="n"/>
    </row>
    <row r="534">
      <c r="A534" s="13" t="n">
        <v>532</v>
      </c>
      <c r="B534" s="13" t="inlineStr">
        <is>
          <t>3 · E1 Whitechapel</t>
        </is>
      </c>
      <c r="C534" s="13" t="inlineStr">
        <is>
          <t>Health</t>
        </is>
      </c>
      <c r="D534" s="13" t="inlineStr">
        <is>
          <t>Local businesses</t>
        </is>
      </c>
      <c r="E534" s="13" t="inlineStr">
        <is>
          <t>Jaypharm Chemist</t>
        </is>
      </c>
      <c r="F534" s="13" t="inlineStr">
        <is>
          <t>shop: chemist</t>
        </is>
      </c>
      <c r="G534" s="13" t="inlineStr">
        <is>
          <t>cordeve3@gmail.com</t>
        </is>
      </c>
      <c r="H534" s="13" t="inlineStr">
        <is>
          <t>freemail</t>
        </is>
      </c>
      <c r="I534" s="13" t="inlineStr">
        <is>
          <t>+44 20 7790 2296</t>
        </is>
      </c>
      <c r="J534" s="14" t="inlineStr">
        <is>
          <t>https://jaypharmchemist.co.uk/</t>
        </is>
      </c>
      <c r="K534" s="13" t="inlineStr">
        <is>
          <t>Commercial Road 361, London</t>
        </is>
      </c>
      <c r="L534" s="13" t="inlineStr">
        <is>
          <t>E1 2PS</t>
        </is>
      </c>
      <c r="M534" s="13" t="inlineStr">
        <is>
          <t>Stepney 3G</t>
        </is>
      </c>
      <c r="N534" s="13" t="n">
        <v>17</v>
      </c>
      <c r="O534" s="15">
        <f>IFERROR(INDEX(Venues!$C$2:$C$10,MATCH(M534,Venues!$A$2:$A$10,0)),"Not checked")</f>
        <v/>
      </c>
      <c r="P534" s="15">
        <f>IFERROR(INDEX(Venues!$D$2:$D$10,MATCH(M534,Venues!$A$2:$A$10,0)),0)</f>
        <v/>
      </c>
      <c r="Q534" s="42">
        <f>IFERROR(INDEX(Venues!$E$2:$E$10,MATCH(M534,Venues!$A$2:$A$10,0)),"")</f>
        <v/>
      </c>
      <c r="R534" s="15">
        <f>IF(P534&gt;0,"Yes","No")</f>
        <v/>
      </c>
      <c r="S534" s="13" t="inlineStr">
        <is>
          <t>COLA Shoreditch Park</t>
        </is>
      </c>
      <c r="T534" s="42">
        <f>IFERROR(INDEX(Venues!$E$2:$E$10,MATCH(S534,Venues!$A$2:$A$10,0)),"")</f>
        <v/>
      </c>
      <c r="U534" s="15">
        <f>IFERROR(INDEX(Venues!$F$2:$F$10,MATCH(S534,Venues!$A$2:$A$10,0)),"")</f>
        <v/>
      </c>
      <c r="V534" s="43">
        <f>IFERROR(INDEX(Venues!$H$2:$H$10,MATCH(S534,Venues!$A$2:$A$10,0)),"")</f>
        <v/>
      </c>
      <c r="W534" s="15">
        <f>IF('Pilot offer'!$C$24="Yes",'Pilot offer'!$C$3,S534)</f>
        <v/>
      </c>
      <c r="X534" s="42">
        <f>IF('Pilot offer'!$C$24="Yes",'Pilot offer'!$C$5+'Pilot offer'!$C$6,T534)</f>
        <v/>
      </c>
      <c r="Y534" s="15">
        <f>IF('Pilot offer'!$C$24="Yes",'Pilot offer'!$C$8,U534)</f>
        <v/>
      </c>
      <c r="Z534" s="43">
        <f>IF('Pilot offer'!$C$24="Yes",'Pilot offer'!$C$11,"")</f>
        <v/>
      </c>
      <c r="AA534" s="15">
        <f>IF(X534="","",W534&amp;" · "&amp;TEXT(X534,"ddd d mmm, hh:mm")&amp;" · "&amp;Y534&amp;IF(Z534&lt;&gt;""," · £"&amp;TEXT(Z534,"0.00")&amp;" per player"," · price TBC (cost £"&amp;TEXT(V534,"0.00")&amp;" pp)"))</f>
        <v/>
      </c>
      <c r="AD534" s="44" t="n"/>
    </row>
    <row r="535">
      <c r="A535" s="13" t="n">
        <v>533</v>
      </c>
      <c r="B535" s="13" t="inlineStr">
        <is>
          <t>3 · E1 Whitechapel</t>
        </is>
      </c>
      <c r="C535" s="13" t="inlineStr">
        <is>
          <t>Retail</t>
        </is>
      </c>
      <c r="D535" s="13" t="inlineStr">
        <is>
          <t>Local businesses</t>
        </is>
      </c>
      <c r="E535" s="13" t="inlineStr">
        <is>
          <t>Rinkoff Bakery</t>
        </is>
      </c>
      <c r="F535" s="13" t="inlineStr">
        <is>
          <t>shop: bakery</t>
        </is>
      </c>
      <c r="G535" s="13" t="inlineStr">
        <is>
          <t>info@rinkoffs.co.uk</t>
        </is>
      </c>
      <c r="H535" s="13" t="inlineStr">
        <is>
          <t>general</t>
        </is>
      </c>
      <c r="I535" s="13" t="inlineStr">
        <is>
          <t>+44 20 7791 4909</t>
        </is>
      </c>
      <c r="J535" s="14" t="inlineStr">
        <is>
          <t>https://www.rinkoffbakery.co.uk</t>
        </is>
      </c>
      <c r="K535" s="13" t="inlineStr">
        <is>
          <t>Jubilee Street 224, London</t>
        </is>
      </c>
      <c r="L535" s="13" t="inlineStr">
        <is>
          <t>E1 3BS</t>
        </is>
      </c>
      <c r="M535" s="13" t="inlineStr">
        <is>
          <t>Stepney 3G</t>
        </is>
      </c>
      <c r="N535" s="13" t="n">
        <v>9</v>
      </c>
      <c r="O535" s="15">
        <f>IFERROR(INDEX(Venues!$C$2:$C$10,MATCH(M535,Venues!$A$2:$A$10,0)),"Not checked")</f>
        <v/>
      </c>
      <c r="P535" s="15">
        <f>IFERROR(INDEX(Venues!$D$2:$D$10,MATCH(M535,Venues!$A$2:$A$10,0)),0)</f>
        <v/>
      </c>
      <c r="Q535" s="42">
        <f>IFERROR(INDEX(Venues!$E$2:$E$10,MATCH(M535,Venues!$A$2:$A$10,0)),"")</f>
        <v/>
      </c>
      <c r="R535" s="15">
        <f>IF(P535&gt;0,"Yes","No")</f>
        <v/>
      </c>
      <c r="S535" s="13" t="inlineStr">
        <is>
          <t>COLA Shoreditch Park</t>
        </is>
      </c>
      <c r="T535" s="42">
        <f>IFERROR(INDEX(Venues!$E$2:$E$10,MATCH(S535,Venues!$A$2:$A$10,0)),"")</f>
        <v/>
      </c>
      <c r="U535" s="15">
        <f>IFERROR(INDEX(Venues!$F$2:$F$10,MATCH(S535,Venues!$A$2:$A$10,0)),"")</f>
        <v/>
      </c>
      <c r="V535" s="43">
        <f>IFERROR(INDEX(Venues!$H$2:$H$10,MATCH(S535,Venues!$A$2:$A$10,0)),"")</f>
        <v/>
      </c>
      <c r="W535" s="15">
        <f>IF('Pilot offer'!$C$24="Yes",'Pilot offer'!$C$3,S535)</f>
        <v/>
      </c>
      <c r="X535" s="42">
        <f>IF('Pilot offer'!$C$24="Yes",'Pilot offer'!$C$5+'Pilot offer'!$C$6,T535)</f>
        <v/>
      </c>
      <c r="Y535" s="15">
        <f>IF('Pilot offer'!$C$24="Yes",'Pilot offer'!$C$8,U535)</f>
        <v/>
      </c>
      <c r="Z535" s="43">
        <f>IF('Pilot offer'!$C$24="Yes",'Pilot offer'!$C$11,"")</f>
        <v/>
      </c>
      <c r="AA535" s="15">
        <f>IF(X535="","",W535&amp;" · "&amp;TEXT(X535,"ddd d mmm, hh:mm")&amp;" · "&amp;Y535&amp;IF(Z535&lt;&gt;""," · £"&amp;TEXT(Z535,"0.00")&amp;" per player"," · price TBC (cost £"&amp;TEXT(V535,"0.00")&amp;" pp)"))</f>
        <v/>
      </c>
      <c r="AD535" s="44" t="n"/>
    </row>
    <row r="536">
      <c r="A536" s="13" t="n">
        <v>534</v>
      </c>
      <c r="B536" s="13" t="inlineStr">
        <is>
          <t>3 · E1 Whitechapel</t>
        </is>
      </c>
      <c r="C536" s="13" t="inlineStr">
        <is>
          <t>Education</t>
        </is>
      </c>
      <c r="D536" s="13" t="inlineStr">
        <is>
          <t>Local businesses</t>
        </is>
      </c>
      <c r="E536" s="13" t="inlineStr">
        <is>
          <t>Stepney Park Primary School</t>
        </is>
      </c>
      <c r="F536" s="13" t="inlineStr">
        <is>
          <t>amenity: school</t>
        </is>
      </c>
      <c r="G536" s="13" t="inlineStr">
        <is>
          <t>admin@stepneypark.towerhamlets.sch.uk</t>
        </is>
      </c>
      <c r="H536" s="13" t="inlineStr">
        <is>
          <t>general</t>
        </is>
      </c>
      <c r="I536" s="13" t="inlineStr">
        <is>
          <t>+44 20 7884 5225</t>
        </is>
      </c>
      <c r="J536" s="14" t="inlineStr">
        <is>
          <t>https://www.stepneypark.towerhamlets.sch.uk/</t>
        </is>
      </c>
      <c r="K536" s="13" t="inlineStr">
        <is>
          <t>Smithy Street, London</t>
        </is>
      </c>
      <c r="L536" s="13" t="inlineStr">
        <is>
          <t>E1 3BW</t>
        </is>
      </c>
      <c r="M536" s="13" t="inlineStr">
        <is>
          <t>Stepney 3G</t>
        </is>
      </c>
      <c r="N536" s="13" t="n">
        <v>9</v>
      </c>
      <c r="O536" s="15">
        <f>IFERROR(INDEX(Venues!$C$2:$C$10,MATCH(M536,Venues!$A$2:$A$10,0)),"Not checked")</f>
        <v/>
      </c>
      <c r="P536" s="15">
        <f>IFERROR(INDEX(Venues!$D$2:$D$10,MATCH(M536,Venues!$A$2:$A$10,0)),0)</f>
        <v/>
      </c>
      <c r="Q536" s="42">
        <f>IFERROR(INDEX(Venues!$E$2:$E$10,MATCH(M536,Venues!$A$2:$A$10,0)),"")</f>
        <v/>
      </c>
      <c r="R536" s="15">
        <f>IF(P536&gt;0,"Yes","No")</f>
        <v/>
      </c>
      <c r="S536" s="13" t="inlineStr">
        <is>
          <t>COLA Shoreditch Park</t>
        </is>
      </c>
      <c r="T536" s="42">
        <f>IFERROR(INDEX(Venues!$E$2:$E$10,MATCH(S536,Venues!$A$2:$A$10,0)),"")</f>
        <v/>
      </c>
      <c r="U536" s="15">
        <f>IFERROR(INDEX(Venues!$F$2:$F$10,MATCH(S536,Venues!$A$2:$A$10,0)),"")</f>
        <v/>
      </c>
      <c r="V536" s="43">
        <f>IFERROR(INDEX(Venues!$H$2:$H$10,MATCH(S536,Venues!$A$2:$A$10,0)),"")</f>
        <v/>
      </c>
      <c r="W536" s="15">
        <f>IF('Pilot offer'!$C$24="Yes",'Pilot offer'!$C$3,S536)</f>
        <v/>
      </c>
      <c r="X536" s="42">
        <f>IF('Pilot offer'!$C$24="Yes",'Pilot offer'!$C$5+'Pilot offer'!$C$6,T536)</f>
        <v/>
      </c>
      <c r="Y536" s="15">
        <f>IF('Pilot offer'!$C$24="Yes",'Pilot offer'!$C$8,U536)</f>
        <v/>
      </c>
      <c r="Z536" s="43">
        <f>IF('Pilot offer'!$C$24="Yes",'Pilot offer'!$C$11,"")</f>
        <v/>
      </c>
      <c r="AA536" s="15">
        <f>IF(X536="","",W536&amp;" · "&amp;TEXT(X536,"ddd d mmm, hh:mm")&amp;" · "&amp;Y536&amp;IF(Z536&lt;&gt;""," · £"&amp;TEXT(Z536,"0.00")&amp;" per player"," · price TBC (cost £"&amp;TEXT(V536,"0.00")&amp;" pp)"))</f>
        <v/>
      </c>
      <c r="AD536" s="44" t="n"/>
    </row>
    <row r="537">
      <c r="A537" s="13" t="n">
        <v>535</v>
      </c>
      <c r="B537" s="13" t="inlineStr">
        <is>
          <t>3 · E1 Whitechapel</t>
        </is>
      </c>
      <c r="C537" s="13" t="inlineStr">
        <is>
          <t>Hospitality</t>
        </is>
      </c>
      <c r="D537" s="13" t="inlineStr">
        <is>
          <t>Local businesses</t>
        </is>
      </c>
      <c r="E537" s="13" t="inlineStr">
        <is>
          <t>Stepney's</t>
        </is>
      </c>
      <c r="F537" s="13" t="inlineStr">
        <is>
          <t>amenity: cafe</t>
        </is>
      </c>
      <c r="G537" s="13" t="inlineStr">
        <is>
          <t>info@stepneycityfarm.org</t>
        </is>
      </c>
      <c r="H537" s="13" t="inlineStr">
        <is>
          <t>general</t>
        </is>
      </c>
      <c r="I537" s="13" t="n"/>
      <c r="J537" s="14" t="inlineStr">
        <is>
          <t>https://stepneycityfarm.org/at-the-farm/farm-cafe/</t>
        </is>
      </c>
      <c r="K537" s="13" t="inlineStr">
        <is>
          <t>Stepney High Street, London</t>
        </is>
      </c>
      <c r="L537" s="13" t="inlineStr">
        <is>
          <t>E1 3DG</t>
        </is>
      </c>
      <c r="M537" s="13" t="inlineStr">
        <is>
          <t>Stepney 3G</t>
        </is>
      </c>
      <c r="N537" s="13" t="n">
        <v>13</v>
      </c>
      <c r="O537" s="15">
        <f>IFERROR(INDEX(Venues!$C$2:$C$10,MATCH(M537,Venues!$A$2:$A$10,0)),"Not checked")</f>
        <v/>
      </c>
      <c r="P537" s="15">
        <f>IFERROR(INDEX(Venues!$D$2:$D$10,MATCH(M537,Venues!$A$2:$A$10,0)),0)</f>
        <v/>
      </c>
      <c r="Q537" s="42">
        <f>IFERROR(INDEX(Venues!$E$2:$E$10,MATCH(M537,Venues!$A$2:$A$10,0)),"")</f>
        <v/>
      </c>
      <c r="R537" s="15">
        <f>IF(P537&gt;0,"Yes","No")</f>
        <v/>
      </c>
      <c r="S537" s="13" t="inlineStr">
        <is>
          <t>COLA Shoreditch Park</t>
        </is>
      </c>
      <c r="T537" s="42">
        <f>IFERROR(INDEX(Venues!$E$2:$E$10,MATCH(S537,Venues!$A$2:$A$10,0)),"")</f>
        <v/>
      </c>
      <c r="U537" s="15">
        <f>IFERROR(INDEX(Venues!$F$2:$F$10,MATCH(S537,Venues!$A$2:$A$10,0)),"")</f>
        <v/>
      </c>
      <c r="V537" s="43">
        <f>IFERROR(INDEX(Venues!$H$2:$H$10,MATCH(S537,Venues!$A$2:$A$10,0)),"")</f>
        <v/>
      </c>
      <c r="W537" s="15">
        <f>IF('Pilot offer'!$C$24="Yes",'Pilot offer'!$C$3,S537)</f>
        <v/>
      </c>
      <c r="X537" s="42">
        <f>IF('Pilot offer'!$C$24="Yes",'Pilot offer'!$C$5+'Pilot offer'!$C$6,T537)</f>
        <v/>
      </c>
      <c r="Y537" s="15">
        <f>IF('Pilot offer'!$C$24="Yes",'Pilot offer'!$C$8,U537)</f>
        <v/>
      </c>
      <c r="Z537" s="43">
        <f>IF('Pilot offer'!$C$24="Yes",'Pilot offer'!$C$11,"")</f>
        <v/>
      </c>
      <c r="AA537" s="15">
        <f>IF(X537="","",W537&amp;" · "&amp;TEXT(X537,"ddd d mmm, hh:mm")&amp;" · "&amp;Y537&amp;IF(Z537&lt;&gt;""," · £"&amp;TEXT(Z537,"0.00")&amp;" per player"," · price TBC (cost £"&amp;TEXT(V537,"0.00")&amp;" pp)"))</f>
        <v/>
      </c>
      <c r="AD537" s="44" t="n"/>
    </row>
    <row r="538">
      <c r="A538" s="13" t="n">
        <v>536</v>
      </c>
      <c r="B538" s="13" t="inlineStr">
        <is>
          <t>3 · E1 Whitechapel</t>
        </is>
      </c>
      <c r="C538" s="13" t="inlineStr">
        <is>
          <t>Office &amp; professional</t>
        </is>
      </c>
      <c r="D538" s="13" t="inlineStr">
        <is>
          <t>Corporate</t>
        </is>
      </c>
      <c r="E538" s="13" t="inlineStr">
        <is>
          <t>Kampus Group</t>
        </is>
      </c>
      <c r="F538" s="13" t="inlineStr">
        <is>
          <t>consultant</t>
        </is>
      </c>
      <c r="G538" s="13" t="inlineStr">
        <is>
          <t>info@kampus-group.com</t>
        </is>
      </c>
      <c r="H538" s="13" t="inlineStr">
        <is>
          <t>general</t>
        </is>
      </c>
      <c r="I538" s="13" t="inlineStr">
        <is>
          <t>+44 20 7423 9333</t>
        </is>
      </c>
      <c r="J538" s="14" t="inlineStr">
        <is>
          <t>https://kampus-group.com/</t>
        </is>
      </c>
      <c r="K538" s="13" t="inlineStr">
        <is>
          <t>First Floor, Botanical Works, 2 Jubilee St, Stepney Green, London E1 3FU, UK</t>
        </is>
      </c>
      <c r="L538" s="13" t="inlineStr">
        <is>
          <t>E1 3FU</t>
        </is>
      </c>
      <c r="M538" s="13" t="inlineStr">
        <is>
          <t>Whitechapel</t>
        </is>
      </c>
      <c r="N538" s="13" t="n">
        <v>7</v>
      </c>
      <c r="O538" s="15">
        <f>IFERROR(INDEX(Venues!$C$2:$C$10,MATCH(M538,Venues!$A$2:$A$10,0)),"Not checked")</f>
        <v/>
      </c>
      <c r="P538" s="15">
        <f>IFERROR(INDEX(Venues!$D$2:$D$10,MATCH(M538,Venues!$A$2:$A$10,0)),0)</f>
        <v/>
      </c>
      <c r="Q538" s="42">
        <f>IFERROR(INDEX(Venues!$E$2:$E$10,MATCH(M538,Venues!$A$2:$A$10,0)),"")</f>
        <v/>
      </c>
      <c r="R538" s="15">
        <f>IF(P538&gt;0,"Yes","No")</f>
        <v/>
      </c>
      <c r="S538" s="13" t="inlineStr">
        <is>
          <t>COLA Shoreditch Park</t>
        </is>
      </c>
      <c r="T538" s="42">
        <f>IFERROR(INDEX(Venues!$E$2:$E$10,MATCH(S538,Venues!$A$2:$A$10,0)),"")</f>
        <v/>
      </c>
      <c r="U538" s="15">
        <f>IFERROR(INDEX(Venues!$F$2:$F$10,MATCH(S538,Venues!$A$2:$A$10,0)),"")</f>
        <v/>
      </c>
      <c r="V538" s="43">
        <f>IFERROR(INDEX(Venues!$H$2:$H$10,MATCH(S538,Venues!$A$2:$A$10,0)),"")</f>
        <v/>
      </c>
      <c r="W538" s="15">
        <f>IF('Pilot offer'!$C$24="Yes",'Pilot offer'!$C$3,S538)</f>
        <v/>
      </c>
      <c r="X538" s="42">
        <f>IF('Pilot offer'!$C$24="Yes",'Pilot offer'!$C$5+'Pilot offer'!$C$6,T538)</f>
        <v/>
      </c>
      <c r="Y538" s="15">
        <f>IF('Pilot offer'!$C$24="Yes",'Pilot offer'!$C$8,U538)</f>
        <v/>
      </c>
      <c r="Z538" s="43">
        <f>IF('Pilot offer'!$C$24="Yes",'Pilot offer'!$C$11,"")</f>
        <v/>
      </c>
      <c r="AA538" s="15">
        <f>IF(X538="","",W538&amp;" · "&amp;TEXT(X538,"ddd d mmm, hh:mm")&amp;" · "&amp;Y538&amp;IF(Z538&lt;&gt;""," · £"&amp;TEXT(Z538,"0.00")&amp;" per player"," · price TBC (cost £"&amp;TEXT(V538,"0.00")&amp;" pp)"))</f>
        <v/>
      </c>
      <c r="AD538" s="44" t="n"/>
    </row>
    <row r="539">
      <c r="A539" s="13" t="n">
        <v>537</v>
      </c>
      <c r="B539" s="13" t="inlineStr">
        <is>
          <t>3 · E1 Whitechapel</t>
        </is>
      </c>
      <c r="C539" s="13" t="inlineStr">
        <is>
          <t>Office &amp; professional</t>
        </is>
      </c>
      <c r="D539" s="13" t="inlineStr">
        <is>
          <t>Corporate</t>
        </is>
      </c>
      <c r="E539" s="13" t="inlineStr">
        <is>
          <t>South West Marketing</t>
        </is>
      </c>
      <c r="F539" s="13" t="inlineStr">
        <is>
          <t>consultant</t>
        </is>
      </c>
      <c r="G539" s="13" t="inlineStr">
        <is>
          <t>emily@woodhallmarketing.co.uk</t>
        </is>
      </c>
      <c r="H539" s="13" t="inlineStr">
        <is>
          <t>person_or_other</t>
        </is>
      </c>
      <c r="I539" s="13" t="inlineStr">
        <is>
          <t>+44 1752 863400</t>
        </is>
      </c>
      <c r="J539" s="14" t="inlineStr">
        <is>
          <t>http://www.southwest-marketing.co.uk/</t>
        </is>
      </c>
      <c r="K539" s="13" t="inlineStr">
        <is>
          <t>Temple Court, 52 Rectory Square, Greater, London E1 3NU, UK</t>
        </is>
      </c>
      <c r="L539" s="13" t="inlineStr">
        <is>
          <t>E1 3NU</t>
        </is>
      </c>
      <c r="M539" s="13" t="inlineStr">
        <is>
          <t>Stepney 3G</t>
        </is>
      </c>
      <c r="N539" s="13" t="n">
        <v>10</v>
      </c>
      <c r="O539" s="15">
        <f>IFERROR(INDEX(Venues!$C$2:$C$10,MATCH(M539,Venues!$A$2:$A$10,0)),"Not checked")</f>
        <v/>
      </c>
      <c r="P539" s="15">
        <f>IFERROR(INDEX(Venues!$D$2:$D$10,MATCH(M539,Venues!$A$2:$A$10,0)),0)</f>
        <v/>
      </c>
      <c r="Q539" s="42">
        <f>IFERROR(INDEX(Venues!$E$2:$E$10,MATCH(M539,Venues!$A$2:$A$10,0)),"")</f>
        <v/>
      </c>
      <c r="R539" s="15">
        <f>IF(P539&gt;0,"Yes","No")</f>
        <v/>
      </c>
      <c r="S539" s="13" t="inlineStr">
        <is>
          <t>COLA Shoreditch Park</t>
        </is>
      </c>
      <c r="T539" s="42">
        <f>IFERROR(INDEX(Venues!$E$2:$E$10,MATCH(S539,Venues!$A$2:$A$10,0)),"")</f>
        <v/>
      </c>
      <c r="U539" s="15">
        <f>IFERROR(INDEX(Venues!$F$2:$F$10,MATCH(S539,Venues!$A$2:$A$10,0)),"")</f>
        <v/>
      </c>
      <c r="V539" s="43">
        <f>IFERROR(INDEX(Venues!$H$2:$H$10,MATCH(S539,Venues!$A$2:$A$10,0)),"")</f>
        <v/>
      </c>
      <c r="W539" s="15">
        <f>IF('Pilot offer'!$C$24="Yes",'Pilot offer'!$C$3,S539)</f>
        <v/>
      </c>
      <c r="X539" s="42">
        <f>IF('Pilot offer'!$C$24="Yes",'Pilot offer'!$C$5+'Pilot offer'!$C$6,T539)</f>
        <v/>
      </c>
      <c r="Y539" s="15">
        <f>IF('Pilot offer'!$C$24="Yes",'Pilot offer'!$C$8,U539)</f>
        <v/>
      </c>
      <c r="Z539" s="43">
        <f>IF('Pilot offer'!$C$24="Yes",'Pilot offer'!$C$11,"")</f>
        <v/>
      </c>
      <c r="AA539" s="15">
        <f>IF(X539="","",W539&amp;" · "&amp;TEXT(X539,"ddd d mmm, hh:mm")&amp;" · "&amp;Y539&amp;IF(Z539&lt;&gt;""," · £"&amp;TEXT(Z539,"0.00")&amp;" per player"," · price TBC (cost £"&amp;TEXT(V539,"0.00")&amp;" pp)"))</f>
        <v/>
      </c>
      <c r="AD539" s="44" t="n"/>
    </row>
    <row r="540">
      <c r="A540" s="13" t="n">
        <v>538</v>
      </c>
      <c r="B540" s="13" t="inlineStr">
        <is>
          <t>3 · E1 Whitechapel</t>
        </is>
      </c>
      <c r="C540" s="13" t="inlineStr">
        <is>
          <t>Hospitality</t>
        </is>
      </c>
      <c r="D540" s="13" t="inlineStr">
        <is>
          <t>Local businesses</t>
        </is>
      </c>
      <c r="E540" s="13" t="inlineStr">
        <is>
          <t>Afrikana</t>
        </is>
      </c>
      <c r="F540" s="13" t="inlineStr">
        <is>
          <t>amenity: restaurant</t>
        </is>
      </c>
      <c r="G540" s="13" t="inlineStr">
        <is>
          <t>info@afrikanakitchen.com</t>
        </is>
      </c>
      <c r="H540" s="13" t="inlineStr">
        <is>
          <t>general</t>
        </is>
      </c>
      <c r="I540" s="13" t="n"/>
      <c r="J540" s="14" t="inlineStr">
        <is>
          <t>https://www.afrikanakitchen.com/locations/mile-end</t>
        </is>
      </c>
      <c r="K540" s="13" t="inlineStr">
        <is>
          <t>Mile End Road 231, London</t>
        </is>
      </c>
      <c r="L540" s="13" t="inlineStr">
        <is>
          <t>E1 4AA</t>
        </is>
      </c>
      <c r="M540" s="13" t="inlineStr">
        <is>
          <t>Stepney 3G</t>
        </is>
      </c>
      <c r="N540" s="13" t="n">
        <v>4</v>
      </c>
      <c r="O540" s="15">
        <f>IFERROR(INDEX(Venues!$C$2:$C$10,MATCH(M540,Venues!$A$2:$A$10,0)),"Not checked")</f>
        <v/>
      </c>
      <c r="P540" s="15">
        <f>IFERROR(INDEX(Venues!$D$2:$D$10,MATCH(M540,Venues!$A$2:$A$10,0)),0)</f>
        <v/>
      </c>
      <c r="Q540" s="42">
        <f>IFERROR(INDEX(Venues!$E$2:$E$10,MATCH(M540,Venues!$A$2:$A$10,0)),"")</f>
        <v/>
      </c>
      <c r="R540" s="15">
        <f>IF(P540&gt;0,"Yes","No")</f>
        <v/>
      </c>
      <c r="S540" s="13" t="inlineStr">
        <is>
          <t>COLA Shoreditch Park</t>
        </is>
      </c>
      <c r="T540" s="42">
        <f>IFERROR(INDEX(Venues!$E$2:$E$10,MATCH(S540,Venues!$A$2:$A$10,0)),"")</f>
        <v/>
      </c>
      <c r="U540" s="15">
        <f>IFERROR(INDEX(Venues!$F$2:$F$10,MATCH(S540,Venues!$A$2:$A$10,0)),"")</f>
        <v/>
      </c>
      <c r="V540" s="43">
        <f>IFERROR(INDEX(Venues!$H$2:$H$10,MATCH(S540,Venues!$A$2:$A$10,0)),"")</f>
        <v/>
      </c>
      <c r="W540" s="15">
        <f>IF('Pilot offer'!$C$24="Yes",'Pilot offer'!$C$3,S540)</f>
        <v/>
      </c>
      <c r="X540" s="42">
        <f>IF('Pilot offer'!$C$24="Yes",'Pilot offer'!$C$5+'Pilot offer'!$C$6,T540)</f>
        <v/>
      </c>
      <c r="Y540" s="15">
        <f>IF('Pilot offer'!$C$24="Yes",'Pilot offer'!$C$8,U540)</f>
        <v/>
      </c>
      <c r="Z540" s="43">
        <f>IF('Pilot offer'!$C$24="Yes",'Pilot offer'!$C$11,"")</f>
        <v/>
      </c>
      <c r="AA540" s="15">
        <f>IF(X540="","",W540&amp;" · "&amp;TEXT(X540,"ddd d mmm, hh:mm")&amp;" · "&amp;Y540&amp;IF(Z540&lt;&gt;""," · £"&amp;TEXT(Z540,"0.00")&amp;" per player"," · price TBC (cost £"&amp;TEXT(V540,"0.00")&amp;" pp)"))</f>
        <v/>
      </c>
      <c r="AD540" s="44" t="n"/>
    </row>
    <row r="541">
      <c r="A541" s="13" t="n">
        <v>539</v>
      </c>
      <c r="B541" s="13" t="inlineStr">
        <is>
          <t>3 · E1 Whitechapel</t>
        </is>
      </c>
      <c r="C541" s="13" t="inlineStr">
        <is>
          <t>Education</t>
        </is>
      </c>
      <c r="D541" s="13" t="inlineStr">
        <is>
          <t>Local businesses</t>
        </is>
      </c>
      <c r="E541" s="13" t="inlineStr">
        <is>
          <t>Mazahirul Uloom London School</t>
        </is>
      </c>
      <c r="F541" s="13" t="inlineStr">
        <is>
          <t>amenity: school</t>
        </is>
      </c>
      <c r="G541" s="13" t="inlineStr">
        <is>
          <t>info@mul.org.uk</t>
        </is>
      </c>
      <c r="H541" s="13" t="inlineStr">
        <is>
          <t>general</t>
        </is>
      </c>
      <c r="I541" s="13" t="inlineStr">
        <is>
          <t>+44 20 7702 8533</t>
        </is>
      </c>
      <c r="J541" s="14" t="inlineStr">
        <is>
          <t>https://mul.org.uk/</t>
        </is>
      </c>
      <c r="K541" s="13" t="inlineStr">
        <is>
          <t>Mile End Road 241-243, London</t>
        </is>
      </c>
      <c r="L541" s="13" t="inlineStr">
        <is>
          <t>E1 4AA</t>
        </is>
      </c>
      <c r="M541" s="13" t="inlineStr">
        <is>
          <t>Stepney 3G</t>
        </is>
      </c>
      <c r="N541" s="13" t="n">
        <v>4</v>
      </c>
      <c r="O541" s="15">
        <f>IFERROR(INDEX(Venues!$C$2:$C$10,MATCH(M541,Venues!$A$2:$A$10,0)),"Not checked")</f>
        <v/>
      </c>
      <c r="P541" s="15">
        <f>IFERROR(INDEX(Venues!$D$2:$D$10,MATCH(M541,Venues!$A$2:$A$10,0)),0)</f>
        <v/>
      </c>
      <c r="Q541" s="42">
        <f>IFERROR(INDEX(Venues!$E$2:$E$10,MATCH(M541,Venues!$A$2:$A$10,0)),"")</f>
        <v/>
      </c>
      <c r="R541" s="15">
        <f>IF(P541&gt;0,"Yes","No")</f>
        <v/>
      </c>
      <c r="S541" s="13" t="inlineStr">
        <is>
          <t>COLA Shoreditch Park</t>
        </is>
      </c>
      <c r="T541" s="42">
        <f>IFERROR(INDEX(Venues!$E$2:$E$10,MATCH(S541,Venues!$A$2:$A$10,0)),"")</f>
        <v/>
      </c>
      <c r="U541" s="15">
        <f>IFERROR(INDEX(Venues!$F$2:$F$10,MATCH(S541,Venues!$A$2:$A$10,0)),"")</f>
        <v/>
      </c>
      <c r="V541" s="43">
        <f>IFERROR(INDEX(Venues!$H$2:$H$10,MATCH(S541,Venues!$A$2:$A$10,0)),"")</f>
        <v/>
      </c>
      <c r="W541" s="15">
        <f>IF('Pilot offer'!$C$24="Yes",'Pilot offer'!$C$3,S541)</f>
        <v/>
      </c>
      <c r="X541" s="42">
        <f>IF('Pilot offer'!$C$24="Yes",'Pilot offer'!$C$5+'Pilot offer'!$C$6,T541)</f>
        <v/>
      </c>
      <c r="Y541" s="15">
        <f>IF('Pilot offer'!$C$24="Yes",'Pilot offer'!$C$8,U541)</f>
        <v/>
      </c>
      <c r="Z541" s="43">
        <f>IF('Pilot offer'!$C$24="Yes",'Pilot offer'!$C$11,"")</f>
        <v/>
      </c>
      <c r="AA541" s="15">
        <f>IF(X541="","",W541&amp;" · "&amp;TEXT(X541,"ddd d mmm, hh:mm")&amp;" · "&amp;Y541&amp;IF(Z541&lt;&gt;""," · £"&amp;TEXT(Z541,"0.00")&amp;" per player"," · price TBC (cost £"&amp;TEXT(V541,"0.00")&amp;" pp)"))</f>
        <v/>
      </c>
      <c r="AD541" s="44" t="n"/>
    </row>
    <row r="542">
      <c r="A542" s="13" t="n">
        <v>540</v>
      </c>
      <c r="B542" s="13" t="inlineStr">
        <is>
          <t>3 · E1 Whitechapel</t>
        </is>
      </c>
      <c r="C542" s="13" t="inlineStr">
        <is>
          <t>Office &amp; professional</t>
        </is>
      </c>
      <c r="D542" s="13" t="inlineStr">
        <is>
          <t>Corporate</t>
        </is>
      </c>
      <c r="E542" s="13" t="inlineStr">
        <is>
          <t>Relocators</t>
        </is>
      </c>
      <c r="F542" s="13" t="inlineStr">
        <is>
          <t>estate_agent</t>
        </is>
      </c>
      <c r="G542" s="13" t="inlineStr">
        <is>
          <t>contactus@relocators.uk.com</t>
        </is>
      </c>
      <c r="H542" s="13" t="inlineStr">
        <is>
          <t>general</t>
        </is>
      </c>
      <c r="I542" s="13" t="n"/>
      <c r="J542" s="14" t="inlineStr">
        <is>
          <t>https://www.relocators.uk.com/</t>
        </is>
      </c>
      <c r="K542" s="13" t="inlineStr">
        <is>
          <t>225 Mile End Road, London</t>
        </is>
      </c>
      <c r="L542" s="13" t="inlineStr">
        <is>
          <t>E1 4AA</t>
        </is>
      </c>
      <c r="M542" s="13" t="inlineStr">
        <is>
          <t>Stepney 3G</t>
        </is>
      </c>
      <c r="N542" s="13" t="n">
        <v>4</v>
      </c>
      <c r="O542" s="15">
        <f>IFERROR(INDEX(Venues!$C$2:$C$10,MATCH(M542,Venues!$A$2:$A$10,0)),"Not checked")</f>
        <v/>
      </c>
      <c r="P542" s="15">
        <f>IFERROR(INDEX(Venues!$D$2:$D$10,MATCH(M542,Venues!$A$2:$A$10,0)),0)</f>
        <v/>
      </c>
      <c r="Q542" s="42">
        <f>IFERROR(INDEX(Venues!$E$2:$E$10,MATCH(M542,Venues!$A$2:$A$10,0)),"")</f>
        <v/>
      </c>
      <c r="R542" s="15">
        <f>IF(P542&gt;0,"Yes","No")</f>
        <v/>
      </c>
      <c r="S542" s="13" t="inlineStr">
        <is>
          <t>COLA Shoreditch Park</t>
        </is>
      </c>
      <c r="T542" s="42">
        <f>IFERROR(INDEX(Venues!$E$2:$E$10,MATCH(S542,Venues!$A$2:$A$10,0)),"")</f>
        <v/>
      </c>
      <c r="U542" s="15">
        <f>IFERROR(INDEX(Venues!$F$2:$F$10,MATCH(S542,Venues!$A$2:$A$10,0)),"")</f>
        <v/>
      </c>
      <c r="V542" s="43">
        <f>IFERROR(INDEX(Venues!$H$2:$H$10,MATCH(S542,Venues!$A$2:$A$10,0)),"")</f>
        <v/>
      </c>
      <c r="W542" s="15">
        <f>IF('Pilot offer'!$C$24="Yes",'Pilot offer'!$C$3,S542)</f>
        <v/>
      </c>
      <c r="X542" s="42">
        <f>IF('Pilot offer'!$C$24="Yes",'Pilot offer'!$C$5+'Pilot offer'!$C$6,T542)</f>
        <v/>
      </c>
      <c r="Y542" s="15">
        <f>IF('Pilot offer'!$C$24="Yes",'Pilot offer'!$C$8,U542)</f>
        <v/>
      </c>
      <c r="Z542" s="43">
        <f>IF('Pilot offer'!$C$24="Yes",'Pilot offer'!$C$11,"")</f>
        <v/>
      </c>
      <c r="AA542" s="15">
        <f>IF(X542="","",W542&amp;" · "&amp;TEXT(X542,"ddd d mmm, hh:mm")&amp;" · "&amp;Y542&amp;IF(Z542&lt;&gt;""," · £"&amp;TEXT(Z542,"0.00")&amp;" per player"," · price TBC (cost £"&amp;TEXT(V542,"0.00")&amp;" pp)"))</f>
        <v/>
      </c>
      <c r="AD542" s="44" t="n"/>
    </row>
    <row r="543">
      <c r="A543" s="13" t="n">
        <v>541</v>
      </c>
      <c r="B543" s="13" t="inlineStr">
        <is>
          <t>3 · E1 Whitechapel</t>
        </is>
      </c>
      <c r="C543" s="13" t="inlineStr">
        <is>
          <t>Hospitality</t>
        </is>
      </c>
      <c r="D543" s="13" t="inlineStr">
        <is>
          <t>Local businesses</t>
        </is>
      </c>
      <c r="E543" s="13" t="inlineStr">
        <is>
          <t>Travelodge London Mile End</t>
        </is>
      </c>
      <c r="F543" s="13" t="inlineStr">
        <is>
          <t>tourism: hotel</t>
        </is>
      </c>
      <c r="G543" s="13" t="inlineStr">
        <is>
          <t>groupbookings@travelodge.co.uk</t>
        </is>
      </c>
      <c r="H543" s="13" t="inlineStr">
        <is>
          <t>person_or_other</t>
        </is>
      </c>
      <c r="I543" s="13" t="inlineStr">
        <is>
          <t>+44 871 984 6569</t>
        </is>
      </c>
      <c r="J543" s="14" t="inlineStr">
        <is>
          <t>https://www.travelodge.co.uk/hotels/673/London-Mile-End-hotel</t>
        </is>
      </c>
      <c r="K543" s="13" t="inlineStr">
        <is>
          <t>Mile End Road 141-147, London</t>
        </is>
      </c>
      <c r="L543" s="13" t="inlineStr">
        <is>
          <t>E1 4AQ</t>
        </is>
      </c>
      <c r="M543" s="13" t="inlineStr">
        <is>
          <t>Stepney 3G</t>
        </is>
      </c>
      <c r="N543" s="13" t="n">
        <v>3</v>
      </c>
      <c r="O543" s="15">
        <f>IFERROR(INDEX(Venues!$C$2:$C$10,MATCH(M543,Venues!$A$2:$A$10,0)),"Not checked")</f>
        <v/>
      </c>
      <c r="P543" s="15">
        <f>IFERROR(INDEX(Venues!$D$2:$D$10,MATCH(M543,Venues!$A$2:$A$10,0)),0)</f>
        <v/>
      </c>
      <c r="Q543" s="42">
        <f>IFERROR(INDEX(Venues!$E$2:$E$10,MATCH(M543,Venues!$A$2:$A$10,0)),"")</f>
        <v/>
      </c>
      <c r="R543" s="15">
        <f>IF(P543&gt;0,"Yes","No")</f>
        <v/>
      </c>
      <c r="S543" s="13" t="inlineStr">
        <is>
          <t>COLA Shoreditch Park</t>
        </is>
      </c>
      <c r="T543" s="42">
        <f>IFERROR(INDEX(Venues!$E$2:$E$10,MATCH(S543,Venues!$A$2:$A$10,0)),"")</f>
        <v/>
      </c>
      <c r="U543" s="15">
        <f>IFERROR(INDEX(Venues!$F$2:$F$10,MATCH(S543,Venues!$A$2:$A$10,0)),"")</f>
        <v/>
      </c>
      <c r="V543" s="43">
        <f>IFERROR(INDEX(Venues!$H$2:$H$10,MATCH(S543,Venues!$A$2:$A$10,0)),"")</f>
        <v/>
      </c>
      <c r="W543" s="15">
        <f>IF('Pilot offer'!$C$24="Yes",'Pilot offer'!$C$3,S543)</f>
        <v/>
      </c>
      <c r="X543" s="42">
        <f>IF('Pilot offer'!$C$24="Yes",'Pilot offer'!$C$5+'Pilot offer'!$C$6,T543)</f>
        <v/>
      </c>
      <c r="Y543" s="15">
        <f>IF('Pilot offer'!$C$24="Yes",'Pilot offer'!$C$8,U543)</f>
        <v/>
      </c>
      <c r="Z543" s="43">
        <f>IF('Pilot offer'!$C$24="Yes",'Pilot offer'!$C$11,"")</f>
        <v/>
      </c>
      <c r="AA543" s="15">
        <f>IF(X543="","",W543&amp;" · "&amp;TEXT(X543,"ddd d mmm, hh:mm")&amp;" · "&amp;Y543&amp;IF(Z543&lt;&gt;""," · £"&amp;TEXT(Z543,"0.00")&amp;" per player"," · price TBC (cost £"&amp;TEXT(V543,"0.00")&amp;" pp)"))</f>
        <v/>
      </c>
      <c r="AD543" s="44" t="n"/>
    </row>
    <row r="544">
      <c r="A544" s="13" t="n">
        <v>542</v>
      </c>
      <c r="B544" s="13" t="inlineStr">
        <is>
          <t>3 · E1 Whitechapel</t>
        </is>
      </c>
      <c r="C544" s="13" t="inlineStr">
        <is>
          <t>Education</t>
        </is>
      </c>
      <c r="D544" s="13" t="inlineStr">
        <is>
          <t>Local businesses</t>
        </is>
      </c>
      <c r="E544" s="13" t="inlineStr">
        <is>
          <t>John Scurr Primary School</t>
        </is>
      </c>
      <c r="F544" s="13" t="inlineStr">
        <is>
          <t>amenity: school</t>
        </is>
      </c>
      <c r="G544" s="13" t="inlineStr">
        <is>
          <t>admin@johnscurr.towerhamlets.sch.uk</t>
        </is>
      </c>
      <c r="H544" s="13" t="inlineStr">
        <is>
          <t>general</t>
        </is>
      </c>
      <c r="I544" s="13" t="inlineStr">
        <is>
          <t>+44 20 7790 3647</t>
        </is>
      </c>
      <c r="J544" s="14" t="inlineStr">
        <is>
          <t>https://www.johnscurr.towerhamlets.sch.uk</t>
        </is>
      </c>
      <c r="K544" s="13" t="inlineStr">
        <is>
          <t>Cephas Street, London</t>
        </is>
      </c>
      <c r="L544" s="13" t="inlineStr">
        <is>
          <t>E1 4AX</t>
        </is>
      </c>
      <c r="M544" s="13" t="inlineStr">
        <is>
          <t>Stepney 3G</t>
        </is>
      </c>
      <c r="N544" s="13" t="n">
        <v>6</v>
      </c>
      <c r="O544" s="15">
        <f>IFERROR(INDEX(Venues!$C$2:$C$10,MATCH(M544,Venues!$A$2:$A$10,0)),"Not checked")</f>
        <v/>
      </c>
      <c r="P544" s="15">
        <f>IFERROR(INDEX(Venues!$D$2:$D$10,MATCH(M544,Venues!$A$2:$A$10,0)),0)</f>
        <v/>
      </c>
      <c r="Q544" s="42">
        <f>IFERROR(INDEX(Venues!$E$2:$E$10,MATCH(M544,Venues!$A$2:$A$10,0)),"")</f>
        <v/>
      </c>
      <c r="R544" s="15">
        <f>IF(P544&gt;0,"Yes","No")</f>
        <v/>
      </c>
      <c r="S544" s="13" t="inlineStr">
        <is>
          <t>COLA Shoreditch Park</t>
        </is>
      </c>
      <c r="T544" s="42">
        <f>IFERROR(INDEX(Venues!$E$2:$E$10,MATCH(S544,Venues!$A$2:$A$10,0)),"")</f>
        <v/>
      </c>
      <c r="U544" s="15">
        <f>IFERROR(INDEX(Venues!$F$2:$F$10,MATCH(S544,Venues!$A$2:$A$10,0)),"")</f>
        <v/>
      </c>
      <c r="V544" s="43">
        <f>IFERROR(INDEX(Venues!$H$2:$H$10,MATCH(S544,Venues!$A$2:$A$10,0)),"")</f>
        <v/>
      </c>
      <c r="W544" s="15">
        <f>IF('Pilot offer'!$C$24="Yes",'Pilot offer'!$C$3,S544)</f>
        <v/>
      </c>
      <c r="X544" s="42">
        <f>IF('Pilot offer'!$C$24="Yes",'Pilot offer'!$C$5+'Pilot offer'!$C$6,T544)</f>
        <v/>
      </c>
      <c r="Y544" s="15">
        <f>IF('Pilot offer'!$C$24="Yes",'Pilot offer'!$C$8,U544)</f>
        <v/>
      </c>
      <c r="Z544" s="43">
        <f>IF('Pilot offer'!$C$24="Yes",'Pilot offer'!$C$11,"")</f>
        <v/>
      </c>
      <c r="AA544" s="15">
        <f>IF(X544="","",W544&amp;" · "&amp;TEXT(X544,"ddd d mmm, hh:mm")&amp;" · "&amp;Y544&amp;IF(Z544&lt;&gt;""," · £"&amp;TEXT(Z544,"0.00")&amp;" per player"," · price TBC (cost £"&amp;TEXT(V544,"0.00")&amp;" pp)"))</f>
        <v/>
      </c>
      <c r="AD544" s="44" t="n"/>
    </row>
    <row r="545">
      <c r="A545" s="13" t="n">
        <v>543</v>
      </c>
      <c r="B545" s="13" t="inlineStr">
        <is>
          <t>3 · E1 Whitechapel</t>
        </is>
      </c>
      <c r="C545" s="13" t="inlineStr">
        <is>
          <t>Retail</t>
        </is>
      </c>
      <c r="D545" s="13" t="inlineStr">
        <is>
          <t>Local businesses</t>
        </is>
      </c>
      <c r="E545" s="13" t="inlineStr">
        <is>
          <t>Large Print London</t>
        </is>
      </c>
      <c r="F545" s="13" t="inlineStr">
        <is>
          <t>shop: copyshop</t>
        </is>
      </c>
      <c r="G545" s="13" t="inlineStr">
        <is>
          <t>hello@largeprint.london</t>
        </is>
      </c>
      <c r="H545" s="13" t="inlineStr">
        <is>
          <t>openstreetmap_tag</t>
        </is>
      </c>
      <c r="I545" s="13" t="inlineStr">
        <is>
          <t>+44 7761 603211</t>
        </is>
      </c>
      <c r="J545" s="14" t="inlineStr">
        <is>
          <t>https://largeprint.london/</t>
        </is>
      </c>
      <c r="K545" s="13" t="inlineStr">
        <is>
          <t>Mile End Road 129, London</t>
        </is>
      </c>
      <c r="L545" s="13" t="inlineStr">
        <is>
          <t>E1 4BG</t>
        </is>
      </c>
      <c r="M545" s="13" t="inlineStr">
        <is>
          <t>Stepney 3G</t>
        </is>
      </c>
      <c r="N545" s="13" t="n">
        <v>4</v>
      </c>
      <c r="O545" s="15">
        <f>IFERROR(INDEX(Venues!$C$2:$C$10,MATCH(M545,Venues!$A$2:$A$10,0)),"Not checked")</f>
        <v/>
      </c>
      <c r="P545" s="15">
        <f>IFERROR(INDEX(Venues!$D$2:$D$10,MATCH(M545,Venues!$A$2:$A$10,0)),0)</f>
        <v/>
      </c>
      <c r="Q545" s="42">
        <f>IFERROR(INDEX(Venues!$E$2:$E$10,MATCH(M545,Venues!$A$2:$A$10,0)),"")</f>
        <v/>
      </c>
      <c r="R545" s="15">
        <f>IF(P545&gt;0,"Yes","No")</f>
        <v/>
      </c>
      <c r="S545" s="13" t="inlineStr">
        <is>
          <t>COLA Shoreditch Park</t>
        </is>
      </c>
      <c r="T545" s="42">
        <f>IFERROR(INDEX(Venues!$E$2:$E$10,MATCH(S545,Venues!$A$2:$A$10,0)),"")</f>
        <v/>
      </c>
      <c r="U545" s="15">
        <f>IFERROR(INDEX(Venues!$F$2:$F$10,MATCH(S545,Venues!$A$2:$A$10,0)),"")</f>
        <v/>
      </c>
      <c r="V545" s="43">
        <f>IFERROR(INDEX(Venues!$H$2:$H$10,MATCH(S545,Venues!$A$2:$A$10,0)),"")</f>
        <v/>
      </c>
      <c r="W545" s="15">
        <f>IF('Pilot offer'!$C$24="Yes",'Pilot offer'!$C$3,S545)</f>
        <v/>
      </c>
      <c r="X545" s="42">
        <f>IF('Pilot offer'!$C$24="Yes",'Pilot offer'!$C$5+'Pilot offer'!$C$6,T545)</f>
        <v/>
      </c>
      <c r="Y545" s="15">
        <f>IF('Pilot offer'!$C$24="Yes",'Pilot offer'!$C$8,U545)</f>
        <v/>
      </c>
      <c r="Z545" s="43">
        <f>IF('Pilot offer'!$C$24="Yes",'Pilot offer'!$C$11,"")</f>
        <v/>
      </c>
      <c r="AA545" s="15">
        <f>IF(X545="","",W545&amp;" · "&amp;TEXT(X545,"ddd d mmm, hh:mm")&amp;" · "&amp;Y545&amp;IF(Z545&lt;&gt;""," · £"&amp;TEXT(Z545,"0.00")&amp;" per player"," · price TBC (cost £"&amp;TEXT(V545,"0.00")&amp;" pp)"))</f>
        <v/>
      </c>
      <c r="AD545" s="44" t="n"/>
    </row>
    <row r="546">
      <c r="A546" s="13" t="n">
        <v>544</v>
      </c>
      <c r="B546" s="13" t="inlineStr">
        <is>
          <t>3 · E1 Whitechapel</t>
        </is>
      </c>
      <c r="C546" s="13" t="inlineStr">
        <is>
          <t>Office &amp; professional</t>
        </is>
      </c>
      <c r="D546" s="13" t="inlineStr">
        <is>
          <t>Corporate</t>
        </is>
      </c>
      <c r="E546" s="13" t="inlineStr">
        <is>
          <t>SD Solicitors</t>
        </is>
      </c>
      <c r="F546" s="13" t="inlineStr">
        <is>
          <t>consultant</t>
        </is>
      </c>
      <c r="G546" s="13" t="inlineStr">
        <is>
          <t>info@sdsolicitorsuk.com</t>
        </is>
      </c>
      <c r="H546" s="13" t="inlineStr">
        <is>
          <t>general</t>
        </is>
      </c>
      <c r="I546" s="13" t="inlineStr">
        <is>
          <t>+44 20 7790 1653</t>
        </is>
      </c>
      <c r="J546" s="14" t="inlineStr">
        <is>
          <t>http://www.sdsolicitorsuk.com/</t>
        </is>
      </c>
      <c r="K546" s="13" t="inlineStr">
        <is>
          <t>249-251 Mile End Rd, Bethnal Green, London E1 4BJ, UK</t>
        </is>
      </c>
      <c r="L546" s="13" t="inlineStr">
        <is>
          <t>E1 4BJ</t>
        </is>
      </c>
      <c r="M546" s="13" t="inlineStr">
        <is>
          <t>Stepney 3G</t>
        </is>
      </c>
      <c r="N546" s="13" t="n">
        <v>5</v>
      </c>
      <c r="O546" s="15">
        <f>IFERROR(INDEX(Venues!$C$2:$C$10,MATCH(M546,Venues!$A$2:$A$10,0)),"Not checked")</f>
        <v/>
      </c>
      <c r="P546" s="15">
        <f>IFERROR(INDEX(Venues!$D$2:$D$10,MATCH(M546,Venues!$A$2:$A$10,0)),0)</f>
        <v/>
      </c>
      <c r="Q546" s="42">
        <f>IFERROR(INDEX(Venues!$E$2:$E$10,MATCH(M546,Venues!$A$2:$A$10,0)),"")</f>
        <v/>
      </c>
      <c r="R546" s="15">
        <f>IF(P546&gt;0,"Yes","No")</f>
        <v/>
      </c>
      <c r="S546" s="13" t="inlineStr">
        <is>
          <t>COLA Shoreditch Park</t>
        </is>
      </c>
      <c r="T546" s="42">
        <f>IFERROR(INDEX(Venues!$E$2:$E$10,MATCH(S546,Venues!$A$2:$A$10,0)),"")</f>
        <v/>
      </c>
      <c r="U546" s="15">
        <f>IFERROR(INDEX(Venues!$F$2:$F$10,MATCH(S546,Venues!$A$2:$A$10,0)),"")</f>
        <v/>
      </c>
      <c r="V546" s="43">
        <f>IFERROR(INDEX(Venues!$H$2:$H$10,MATCH(S546,Venues!$A$2:$A$10,0)),"")</f>
        <v/>
      </c>
      <c r="W546" s="15">
        <f>IF('Pilot offer'!$C$24="Yes",'Pilot offer'!$C$3,S546)</f>
        <v/>
      </c>
      <c r="X546" s="42">
        <f>IF('Pilot offer'!$C$24="Yes",'Pilot offer'!$C$5+'Pilot offer'!$C$6,T546)</f>
        <v/>
      </c>
      <c r="Y546" s="15">
        <f>IF('Pilot offer'!$C$24="Yes",'Pilot offer'!$C$8,U546)</f>
        <v/>
      </c>
      <c r="Z546" s="43">
        <f>IF('Pilot offer'!$C$24="Yes",'Pilot offer'!$C$11,"")</f>
        <v/>
      </c>
      <c r="AA546" s="15">
        <f>IF(X546="","",W546&amp;" · "&amp;TEXT(X546,"ddd d mmm, hh:mm")&amp;" · "&amp;Y546&amp;IF(Z546&lt;&gt;""," · £"&amp;TEXT(Z546,"0.00")&amp;" per player"," · price TBC (cost £"&amp;TEXT(V546,"0.00")&amp;" pp)"))</f>
        <v/>
      </c>
      <c r="AD546" s="44" t="n"/>
    </row>
    <row r="547">
      <c r="A547" s="13" t="n">
        <v>545</v>
      </c>
      <c r="B547" s="13" t="inlineStr">
        <is>
          <t>3 · E1 Whitechapel</t>
        </is>
      </c>
      <c r="C547" s="13" t="inlineStr">
        <is>
          <t>Education</t>
        </is>
      </c>
      <c r="D547" s="13" t="inlineStr">
        <is>
          <t>Local businesses</t>
        </is>
      </c>
      <c r="E547" s="13" t="inlineStr">
        <is>
          <t>Tower Hamlets Local History Library and Archives</t>
        </is>
      </c>
      <c r="F547" s="13" t="inlineStr">
        <is>
          <t>amenity: library</t>
        </is>
      </c>
      <c r="G547" s="13" t="inlineStr">
        <is>
          <t>localhistory@towerhamlets.gov.uk</t>
        </is>
      </c>
      <c r="H547" s="13" t="inlineStr">
        <is>
          <t>openstreetmap_tag</t>
        </is>
      </c>
      <c r="I547" s="13" t="inlineStr">
        <is>
          <t>+44 20 7364 1290</t>
        </is>
      </c>
      <c r="J547" s="14" t="inlineStr">
        <is>
          <t>https://www.ideastore.co.uk/local-history</t>
        </is>
      </c>
      <c r="K547" s="13" t="inlineStr">
        <is>
          <t>Bancroft Road, London</t>
        </is>
      </c>
      <c r="L547" s="13" t="inlineStr">
        <is>
          <t>E1 4DQ</t>
        </is>
      </c>
      <c r="M547" s="13" t="inlineStr">
        <is>
          <t>Stepney 3G</t>
        </is>
      </c>
      <c r="N547" s="13" t="n">
        <v>6</v>
      </c>
      <c r="O547" s="15">
        <f>IFERROR(INDEX(Venues!$C$2:$C$10,MATCH(M547,Venues!$A$2:$A$10,0)),"Not checked")</f>
        <v/>
      </c>
      <c r="P547" s="15">
        <f>IFERROR(INDEX(Venues!$D$2:$D$10,MATCH(M547,Venues!$A$2:$A$10,0)),0)</f>
        <v/>
      </c>
      <c r="Q547" s="42">
        <f>IFERROR(INDEX(Venues!$E$2:$E$10,MATCH(M547,Venues!$A$2:$A$10,0)),"")</f>
        <v/>
      </c>
      <c r="R547" s="15">
        <f>IF(P547&gt;0,"Yes","No")</f>
        <v/>
      </c>
      <c r="S547" s="13" t="inlineStr">
        <is>
          <t>COLA Shoreditch Park</t>
        </is>
      </c>
      <c r="T547" s="42">
        <f>IFERROR(INDEX(Venues!$E$2:$E$10,MATCH(S547,Venues!$A$2:$A$10,0)),"")</f>
        <v/>
      </c>
      <c r="U547" s="15">
        <f>IFERROR(INDEX(Venues!$F$2:$F$10,MATCH(S547,Venues!$A$2:$A$10,0)),"")</f>
        <v/>
      </c>
      <c r="V547" s="43">
        <f>IFERROR(INDEX(Venues!$H$2:$H$10,MATCH(S547,Venues!$A$2:$A$10,0)),"")</f>
        <v/>
      </c>
      <c r="W547" s="15">
        <f>IF('Pilot offer'!$C$24="Yes",'Pilot offer'!$C$3,S547)</f>
        <v/>
      </c>
      <c r="X547" s="42">
        <f>IF('Pilot offer'!$C$24="Yes",'Pilot offer'!$C$5+'Pilot offer'!$C$6,T547)</f>
        <v/>
      </c>
      <c r="Y547" s="15">
        <f>IF('Pilot offer'!$C$24="Yes",'Pilot offer'!$C$8,U547)</f>
        <v/>
      </c>
      <c r="Z547" s="43">
        <f>IF('Pilot offer'!$C$24="Yes",'Pilot offer'!$C$11,"")</f>
        <v/>
      </c>
      <c r="AA547" s="15">
        <f>IF(X547="","",W547&amp;" · "&amp;TEXT(X547,"ddd d mmm, hh:mm")&amp;" · "&amp;Y547&amp;IF(Z547&lt;&gt;""," · £"&amp;TEXT(Z547,"0.00")&amp;" per player"," · price TBC (cost £"&amp;TEXT(V547,"0.00")&amp;" pp)"))</f>
        <v/>
      </c>
      <c r="AD547" s="44" t="n"/>
    </row>
    <row r="548">
      <c r="A548" s="13" t="n">
        <v>546</v>
      </c>
      <c r="B548" s="13" t="inlineStr">
        <is>
          <t>3 · E1 Whitechapel</t>
        </is>
      </c>
      <c r="C548" s="13" t="inlineStr">
        <is>
          <t>Office &amp; professional</t>
        </is>
      </c>
      <c r="D548" s="13" t="inlineStr">
        <is>
          <t>Corporate</t>
        </is>
      </c>
      <c r="E548" s="13" t="inlineStr">
        <is>
          <t>City Rooms</t>
        </is>
      </c>
      <c r="F548" s="13" t="inlineStr">
        <is>
          <t>estate_agent</t>
        </is>
      </c>
      <c r="G548" s="13" t="inlineStr">
        <is>
          <t>info@cityrooms.com</t>
        </is>
      </c>
      <c r="H548" s="13" t="inlineStr">
        <is>
          <t>general</t>
        </is>
      </c>
      <c r="I548" s="13" t="inlineStr">
        <is>
          <t>+44 20 7790 5577</t>
        </is>
      </c>
      <c r="J548" s="14" t="inlineStr">
        <is>
          <t>https://www.cityrooms.com/</t>
        </is>
      </c>
      <c r="K548" s="13" t="inlineStr">
        <is>
          <t>3 Globe Road, London</t>
        </is>
      </c>
      <c r="L548" s="13" t="inlineStr">
        <is>
          <t>E1 4DT</t>
        </is>
      </c>
      <c r="M548" s="13" t="inlineStr">
        <is>
          <t>Stepney 3G</t>
        </is>
      </c>
      <c r="N548" s="13" t="n">
        <v>3</v>
      </c>
      <c r="O548" s="15">
        <f>IFERROR(INDEX(Venues!$C$2:$C$10,MATCH(M548,Venues!$A$2:$A$10,0)),"Not checked")</f>
        <v/>
      </c>
      <c r="P548" s="15">
        <f>IFERROR(INDEX(Venues!$D$2:$D$10,MATCH(M548,Venues!$A$2:$A$10,0)),0)</f>
        <v/>
      </c>
      <c r="Q548" s="42">
        <f>IFERROR(INDEX(Venues!$E$2:$E$10,MATCH(M548,Venues!$A$2:$A$10,0)),"")</f>
        <v/>
      </c>
      <c r="R548" s="15">
        <f>IF(P548&gt;0,"Yes","No")</f>
        <v/>
      </c>
      <c r="S548" s="13" t="inlineStr">
        <is>
          <t>COLA Shoreditch Park</t>
        </is>
      </c>
      <c r="T548" s="42">
        <f>IFERROR(INDEX(Venues!$E$2:$E$10,MATCH(S548,Venues!$A$2:$A$10,0)),"")</f>
        <v/>
      </c>
      <c r="U548" s="15">
        <f>IFERROR(INDEX(Venues!$F$2:$F$10,MATCH(S548,Venues!$A$2:$A$10,0)),"")</f>
        <v/>
      </c>
      <c r="V548" s="43">
        <f>IFERROR(INDEX(Venues!$H$2:$H$10,MATCH(S548,Venues!$A$2:$A$10,0)),"")</f>
        <v/>
      </c>
      <c r="W548" s="15">
        <f>IF('Pilot offer'!$C$24="Yes",'Pilot offer'!$C$3,S548)</f>
        <v/>
      </c>
      <c r="X548" s="42">
        <f>IF('Pilot offer'!$C$24="Yes",'Pilot offer'!$C$5+'Pilot offer'!$C$6,T548)</f>
        <v/>
      </c>
      <c r="Y548" s="15">
        <f>IF('Pilot offer'!$C$24="Yes",'Pilot offer'!$C$8,U548)</f>
        <v/>
      </c>
      <c r="Z548" s="43">
        <f>IF('Pilot offer'!$C$24="Yes",'Pilot offer'!$C$11,"")</f>
        <v/>
      </c>
      <c r="AA548" s="15">
        <f>IF(X548="","",W548&amp;" · "&amp;TEXT(X548,"ddd d mmm, hh:mm")&amp;" · "&amp;Y548&amp;IF(Z548&lt;&gt;""," · £"&amp;TEXT(Z548,"0.00")&amp;" per player"," · price TBC (cost £"&amp;TEXT(V548,"0.00")&amp;" pp)"))</f>
        <v/>
      </c>
      <c r="AD548" s="44" t="n"/>
    </row>
    <row r="549">
      <c r="A549" s="13" t="n">
        <v>547</v>
      </c>
      <c r="B549" s="13" t="inlineStr">
        <is>
          <t>3 · E1 Whitechapel</t>
        </is>
      </c>
      <c r="C549" s="13" t="inlineStr">
        <is>
          <t>Education</t>
        </is>
      </c>
      <c r="D549" s="13" t="inlineStr">
        <is>
          <t>Local businesses</t>
        </is>
      </c>
      <c r="E549" s="13" t="inlineStr">
        <is>
          <t>London East Alternative Provision</t>
        </is>
      </c>
      <c r="F549" s="13" t="inlineStr">
        <is>
          <t>amenity: school</t>
        </is>
      </c>
      <c r="G549" s="13" t="inlineStr">
        <is>
          <t>admin@londoneastap.org.uk</t>
        </is>
      </c>
      <c r="H549" s="13" t="inlineStr">
        <is>
          <t>general</t>
        </is>
      </c>
      <c r="I549" s="13" t="inlineStr">
        <is>
          <t>+44 20 7791 7720</t>
        </is>
      </c>
      <c r="J549" s="14" t="inlineStr">
        <is>
          <t>https://www.londoneastap.org.uk/</t>
        </is>
      </c>
      <c r="K549" s="13" t="inlineStr">
        <is>
          <t>Tollet Street, London</t>
        </is>
      </c>
      <c r="L549" s="13" t="inlineStr">
        <is>
          <t>E1 4EE</t>
        </is>
      </c>
      <c r="M549" s="13" t="inlineStr">
        <is>
          <t>Stepney 3G</t>
        </is>
      </c>
      <c r="N549" s="13" t="n">
        <v>18</v>
      </c>
      <c r="O549" s="15">
        <f>IFERROR(INDEX(Venues!$C$2:$C$10,MATCH(M549,Venues!$A$2:$A$10,0)),"Not checked")</f>
        <v/>
      </c>
      <c r="P549" s="15">
        <f>IFERROR(INDEX(Venues!$D$2:$D$10,MATCH(M549,Venues!$A$2:$A$10,0)),0)</f>
        <v/>
      </c>
      <c r="Q549" s="42">
        <f>IFERROR(INDEX(Venues!$E$2:$E$10,MATCH(M549,Venues!$A$2:$A$10,0)),"")</f>
        <v/>
      </c>
      <c r="R549" s="15">
        <f>IF(P549&gt;0,"Yes","No")</f>
        <v/>
      </c>
      <c r="S549" s="13" t="inlineStr">
        <is>
          <t>COLA Shoreditch Park</t>
        </is>
      </c>
      <c r="T549" s="42">
        <f>IFERROR(INDEX(Venues!$E$2:$E$10,MATCH(S549,Venues!$A$2:$A$10,0)),"")</f>
        <v/>
      </c>
      <c r="U549" s="15">
        <f>IFERROR(INDEX(Venues!$F$2:$F$10,MATCH(S549,Venues!$A$2:$A$10,0)),"")</f>
        <v/>
      </c>
      <c r="V549" s="43">
        <f>IFERROR(INDEX(Venues!$H$2:$H$10,MATCH(S549,Venues!$A$2:$A$10,0)),"")</f>
        <v/>
      </c>
      <c r="W549" s="15">
        <f>IF('Pilot offer'!$C$24="Yes",'Pilot offer'!$C$3,S549)</f>
        <v/>
      </c>
      <c r="X549" s="42">
        <f>IF('Pilot offer'!$C$24="Yes",'Pilot offer'!$C$5+'Pilot offer'!$C$6,T549)</f>
        <v/>
      </c>
      <c r="Y549" s="15">
        <f>IF('Pilot offer'!$C$24="Yes",'Pilot offer'!$C$8,U549)</f>
        <v/>
      </c>
      <c r="Z549" s="43">
        <f>IF('Pilot offer'!$C$24="Yes",'Pilot offer'!$C$11,"")</f>
        <v/>
      </c>
      <c r="AA549" s="15">
        <f>IF(X549="","",W549&amp;" · "&amp;TEXT(X549,"ddd d mmm, hh:mm")&amp;" · "&amp;Y549&amp;IF(Z549&lt;&gt;""," · £"&amp;TEXT(Z549,"0.00")&amp;" per player"," · price TBC (cost £"&amp;TEXT(V549,"0.00")&amp;" pp)"))</f>
        <v/>
      </c>
      <c r="AD549" s="44" t="n"/>
    </row>
    <row r="550">
      <c r="A550" s="13" t="n">
        <v>548</v>
      </c>
      <c r="B550" s="13" t="inlineStr">
        <is>
          <t>3 · E1 Whitechapel</t>
        </is>
      </c>
      <c r="C550" s="13" t="inlineStr">
        <is>
          <t>Education</t>
        </is>
      </c>
      <c r="D550" s="13" t="inlineStr">
        <is>
          <t>Local businesses</t>
        </is>
      </c>
      <c r="E550" s="13" t="inlineStr">
        <is>
          <t>IQ East Court</t>
        </is>
      </c>
      <c r="F550" s="13" t="inlineStr">
        <is>
          <t>amenity: student accommodation</t>
        </is>
      </c>
      <c r="G550" s="13" t="inlineStr">
        <is>
          <t>hello@iqstudentaccommodation.com</t>
        </is>
      </c>
      <c r="H550" s="13" t="inlineStr">
        <is>
          <t>general</t>
        </is>
      </c>
      <c r="I550" s="13" t="inlineStr">
        <is>
          <t>+44 20 4504 1623</t>
        </is>
      </c>
      <c r="J550" s="14" t="inlineStr">
        <is>
          <t>https://www.iqstudentaccommodation.com/london/east-court</t>
        </is>
      </c>
      <c r="K550" s="13" t="inlineStr">
        <is>
          <t>Mile End Road 450, London</t>
        </is>
      </c>
      <c r="L550" s="13" t="inlineStr">
        <is>
          <t>E1 4GG</t>
        </is>
      </c>
      <c r="M550" s="13" t="inlineStr">
        <is>
          <t>Stepney 3G</t>
        </is>
      </c>
      <c r="N550" s="13" t="n">
        <v>10</v>
      </c>
      <c r="O550" s="15">
        <f>IFERROR(INDEX(Venues!$C$2:$C$10,MATCH(M550,Venues!$A$2:$A$10,0)),"Not checked")</f>
        <v/>
      </c>
      <c r="P550" s="15">
        <f>IFERROR(INDEX(Venues!$D$2:$D$10,MATCH(M550,Venues!$A$2:$A$10,0)),0)</f>
        <v/>
      </c>
      <c r="Q550" s="42">
        <f>IFERROR(INDEX(Venues!$E$2:$E$10,MATCH(M550,Venues!$A$2:$A$10,0)),"")</f>
        <v/>
      </c>
      <c r="R550" s="15">
        <f>IF(P550&gt;0,"Yes","No")</f>
        <v/>
      </c>
      <c r="S550" s="13" t="inlineStr">
        <is>
          <t>COLA Shoreditch Park</t>
        </is>
      </c>
      <c r="T550" s="42">
        <f>IFERROR(INDEX(Venues!$E$2:$E$10,MATCH(S550,Venues!$A$2:$A$10,0)),"")</f>
        <v/>
      </c>
      <c r="U550" s="15">
        <f>IFERROR(INDEX(Venues!$F$2:$F$10,MATCH(S550,Venues!$A$2:$A$10,0)),"")</f>
        <v/>
      </c>
      <c r="V550" s="43">
        <f>IFERROR(INDEX(Venues!$H$2:$H$10,MATCH(S550,Venues!$A$2:$A$10,0)),"")</f>
        <v/>
      </c>
      <c r="W550" s="15">
        <f>IF('Pilot offer'!$C$24="Yes",'Pilot offer'!$C$3,S550)</f>
        <v/>
      </c>
      <c r="X550" s="42">
        <f>IF('Pilot offer'!$C$24="Yes",'Pilot offer'!$C$5+'Pilot offer'!$C$6,T550)</f>
        <v/>
      </c>
      <c r="Y550" s="15">
        <f>IF('Pilot offer'!$C$24="Yes",'Pilot offer'!$C$8,U550)</f>
        <v/>
      </c>
      <c r="Z550" s="43">
        <f>IF('Pilot offer'!$C$24="Yes",'Pilot offer'!$C$11,"")</f>
        <v/>
      </c>
      <c r="AA550" s="15">
        <f>IF(X550="","",W550&amp;" · "&amp;TEXT(X550,"ddd d mmm, hh:mm")&amp;" · "&amp;Y550&amp;IF(Z550&lt;&gt;""," · £"&amp;TEXT(Z550,"0.00")&amp;" per player"," · price TBC (cost £"&amp;TEXT(V550,"0.00")&amp;" pp)"))</f>
        <v/>
      </c>
      <c r="AD550" s="44" t="n"/>
    </row>
    <row r="551">
      <c r="A551" s="13" t="n">
        <v>549</v>
      </c>
      <c r="B551" s="13" t="inlineStr">
        <is>
          <t>3 · E1 Whitechapel</t>
        </is>
      </c>
      <c r="C551" s="13" t="inlineStr">
        <is>
          <t>Hospitality</t>
        </is>
      </c>
      <c r="D551" s="13" t="inlineStr">
        <is>
          <t>Local businesses</t>
        </is>
      </c>
      <c r="E551" s="13" t="inlineStr">
        <is>
          <t>Mowchi</t>
        </is>
      </c>
      <c r="F551" s="13" t="inlineStr">
        <is>
          <t>amenity: cafe</t>
        </is>
      </c>
      <c r="G551" s="13" t="inlineStr">
        <is>
          <t>hello@mowchi.me</t>
        </is>
      </c>
      <c r="H551" s="13" t="inlineStr">
        <is>
          <t>general</t>
        </is>
      </c>
      <c r="I551" s="13" t="n"/>
      <c r="J551" s="14" t="inlineStr">
        <is>
          <t>https://www.mowchi.me/</t>
        </is>
      </c>
      <c r="K551" s="13" t="inlineStr">
        <is>
          <t>Mile End Road 450, London</t>
        </is>
      </c>
      <c r="L551" s="13" t="inlineStr">
        <is>
          <t>E1 4GG</t>
        </is>
      </c>
      <c r="M551" s="13" t="inlineStr">
        <is>
          <t>Stepney 3G</t>
        </is>
      </c>
      <c r="N551" s="13" t="n">
        <v>10</v>
      </c>
      <c r="O551" s="15">
        <f>IFERROR(INDEX(Venues!$C$2:$C$10,MATCH(M551,Venues!$A$2:$A$10,0)),"Not checked")</f>
        <v/>
      </c>
      <c r="P551" s="15">
        <f>IFERROR(INDEX(Venues!$D$2:$D$10,MATCH(M551,Venues!$A$2:$A$10,0)),0)</f>
        <v/>
      </c>
      <c r="Q551" s="42">
        <f>IFERROR(INDEX(Venues!$E$2:$E$10,MATCH(M551,Venues!$A$2:$A$10,0)),"")</f>
        <v/>
      </c>
      <c r="R551" s="15">
        <f>IF(P551&gt;0,"Yes","No")</f>
        <v/>
      </c>
      <c r="S551" s="13" t="inlineStr">
        <is>
          <t>COLA Shoreditch Park</t>
        </is>
      </c>
      <c r="T551" s="42">
        <f>IFERROR(INDEX(Venues!$E$2:$E$10,MATCH(S551,Venues!$A$2:$A$10,0)),"")</f>
        <v/>
      </c>
      <c r="U551" s="15">
        <f>IFERROR(INDEX(Venues!$F$2:$F$10,MATCH(S551,Venues!$A$2:$A$10,0)),"")</f>
        <v/>
      </c>
      <c r="V551" s="43">
        <f>IFERROR(INDEX(Venues!$H$2:$H$10,MATCH(S551,Venues!$A$2:$A$10,0)),"")</f>
        <v/>
      </c>
      <c r="W551" s="15">
        <f>IF('Pilot offer'!$C$24="Yes",'Pilot offer'!$C$3,S551)</f>
        <v/>
      </c>
      <c r="X551" s="42">
        <f>IF('Pilot offer'!$C$24="Yes",'Pilot offer'!$C$5+'Pilot offer'!$C$6,T551)</f>
        <v/>
      </c>
      <c r="Y551" s="15">
        <f>IF('Pilot offer'!$C$24="Yes",'Pilot offer'!$C$8,U551)</f>
        <v/>
      </c>
      <c r="Z551" s="43">
        <f>IF('Pilot offer'!$C$24="Yes",'Pilot offer'!$C$11,"")</f>
        <v/>
      </c>
      <c r="AA551" s="15">
        <f>IF(X551="","",W551&amp;" · "&amp;TEXT(X551,"ddd d mmm, hh:mm")&amp;" · "&amp;Y551&amp;IF(Z551&lt;&gt;""," · £"&amp;TEXT(Z551,"0.00")&amp;" per player"," · price TBC (cost £"&amp;TEXT(V551,"0.00")&amp;" pp)"))</f>
        <v/>
      </c>
      <c r="AD551" s="44" t="n"/>
    </row>
    <row r="552">
      <c r="A552" s="13" t="n">
        <v>550</v>
      </c>
      <c r="B552" s="13" t="inlineStr">
        <is>
          <t>3 · E1 Whitechapel</t>
        </is>
      </c>
      <c r="C552" s="13" t="inlineStr">
        <is>
          <t>Leisure &amp; culture</t>
        </is>
      </c>
      <c r="D552" s="13" t="inlineStr">
        <is>
          <t>Local businesses</t>
        </is>
      </c>
      <c r="E552" s="13" t="inlineStr">
        <is>
          <t>Jetts Fitness</t>
        </is>
      </c>
      <c r="F552" s="13" t="inlineStr">
        <is>
          <t>leisure: fitness centre</t>
        </is>
      </c>
      <c r="G552" s="13" t="inlineStr">
        <is>
          <t>admin@jetts.co.uk</t>
        </is>
      </c>
      <c r="H552" s="13" t="inlineStr">
        <is>
          <t>general</t>
        </is>
      </c>
      <c r="I552" s="13" t="n"/>
      <c r="J552" s="14" t="inlineStr">
        <is>
          <t>https://jetts.co.uk/gyms/jetts-stepney-green/</t>
        </is>
      </c>
      <c r="K552" s="13" t="inlineStr">
        <is>
          <t>Mile End Road 174-178, London</t>
        </is>
      </c>
      <c r="L552" s="13" t="inlineStr">
        <is>
          <t>E1 4LJ</t>
        </is>
      </c>
      <c r="M552" s="13" t="inlineStr">
        <is>
          <t>Stepney 3G</t>
        </is>
      </c>
      <c r="N552" s="13" t="n">
        <v>5</v>
      </c>
      <c r="O552" s="15">
        <f>IFERROR(INDEX(Venues!$C$2:$C$10,MATCH(M552,Venues!$A$2:$A$10,0)),"Not checked")</f>
        <v/>
      </c>
      <c r="P552" s="15">
        <f>IFERROR(INDEX(Venues!$D$2:$D$10,MATCH(M552,Venues!$A$2:$A$10,0)),0)</f>
        <v/>
      </c>
      <c r="Q552" s="42">
        <f>IFERROR(INDEX(Venues!$E$2:$E$10,MATCH(M552,Venues!$A$2:$A$10,0)),"")</f>
        <v/>
      </c>
      <c r="R552" s="15">
        <f>IF(P552&gt;0,"Yes","No")</f>
        <v/>
      </c>
      <c r="S552" s="13" t="inlineStr">
        <is>
          <t>COLA Shoreditch Park</t>
        </is>
      </c>
      <c r="T552" s="42">
        <f>IFERROR(INDEX(Venues!$E$2:$E$10,MATCH(S552,Venues!$A$2:$A$10,0)),"")</f>
        <v/>
      </c>
      <c r="U552" s="15">
        <f>IFERROR(INDEX(Venues!$F$2:$F$10,MATCH(S552,Venues!$A$2:$A$10,0)),"")</f>
        <v/>
      </c>
      <c r="V552" s="43">
        <f>IFERROR(INDEX(Venues!$H$2:$H$10,MATCH(S552,Venues!$A$2:$A$10,0)),"")</f>
        <v/>
      </c>
      <c r="W552" s="15">
        <f>IF('Pilot offer'!$C$24="Yes",'Pilot offer'!$C$3,S552)</f>
        <v/>
      </c>
      <c r="X552" s="42">
        <f>IF('Pilot offer'!$C$24="Yes",'Pilot offer'!$C$5+'Pilot offer'!$C$6,T552)</f>
        <v/>
      </c>
      <c r="Y552" s="15">
        <f>IF('Pilot offer'!$C$24="Yes",'Pilot offer'!$C$8,U552)</f>
        <v/>
      </c>
      <c r="Z552" s="43">
        <f>IF('Pilot offer'!$C$24="Yes",'Pilot offer'!$C$11,"")</f>
        <v/>
      </c>
      <c r="AA552" s="15">
        <f>IF(X552="","",W552&amp;" · "&amp;TEXT(X552,"ddd d mmm, hh:mm")&amp;" · "&amp;Y552&amp;IF(Z552&lt;&gt;""," · £"&amp;TEXT(Z552,"0.00")&amp;" per player"," · price TBC (cost £"&amp;TEXT(V552,"0.00")&amp;" pp)"))</f>
        <v/>
      </c>
      <c r="AD552" s="44" t="n"/>
    </row>
    <row r="553">
      <c r="A553" s="13" t="n">
        <v>551</v>
      </c>
      <c r="B553" s="13" t="inlineStr">
        <is>
          <t>3 · E1 Whitechapel</t>
        </is>
      </c>
      <c r="C553" s="13" t="inlineStr">
        <is>
          <t>Office &amp; professional</t>
        </is>
      </c>
      <c r="D553" s="13" t="inlineStr">
        <is>
          <t>Corporate</t>
        </is>
      </c>
      <c r="E553" s="13" t="inlineStr">
        <is>
          <t>White Horse Notary Public</t>
        </is>
      </c>
      <c r="F553" s="13" t="inlineStr">
        <is>
          <t>notary</t>
        </is>
      </c>
      <c r="G553" s="13" t="inlineStr">
        <is>
          <t>info@whitehorsenotarypublic.com</t>
        </is>
      </c>
      <c r="H553" s="13" t="inlineStr">
        <is>
          <t>general</t>
        </is>
      </c>
      <c r="I553" s="13" t="inlineStr">
        <is>
          <t>+44 20 3817 7502</t>
        </is>
      </c>
      <c r="J553" s="14" t="inlineStr">
        <is>
          <t>https://www.whitehorsenotarypublic.com/</t>
        </is>
      </c>
      <c r="K553" s="13" t="inlineStr">
        <is>
          <t>96 White Horse Lane, London</t>
        </is>
      </c>
      <c r="L553" s="13" t="inlineStr">
        <is>
          <t>E1 4LR</t>
        </is>
      </c>
      <c r="M553" s="13" t="inlineStr">
        <is>
          <t>Stepney 3G</t>
        </is>
      </c>
      <c r="N553" s="13" t="n">
        <v>5</v>
      </c>
      <c r="O553" s="15">
        <f>IFERROR(INDEX(Venues!$C$2:$C$10,MATCH(M553,Venues!$A$2:$A$10,0)),"Not checked")</f>
        <v/>
      </c>
      <c r="P553" s="15">
        <f>IFERROR(INDEX(Venues!$D$2:$D$10,MATCH(M553,Venues!$A$2:$A$10,0)),0)</f>
        <v/>
      </c>
      <c r="Q553" s="42">
        <f>IFERROR(INDEX(Venues!$E$2:$E$10,MATCH(M553,Venues!$A$2:$A$10,0)),"")</f>
        <v/>
      </c>
      <c r="R553" s="15">
        <f>IF(P553&gt;0,"Yes","No")</f>
        <v/>
      </c>
      <c r="S553" s="13" t="inlineStr">
        <is>
          <t>COLA Shoreditch Park</t>
        </is>
      </c>
      <c r="T553" s="42">
        <f>IFERROR(INDEX(Venues!$E$2:$E$10,MATCH(S553,Venues!$A$2:$A$10,0)),"")</f>
        <v/>
      </c>
      <c r="U553" s="15">
        <f>IFERROR(INDEX(Venues!$F$2:$F$10,MATCH(S553,Venues!$A$2:$A$10,0)),"")</f>
        <v/>
      </c>
      <c r="V553" s="43">
        <f>IFERROR(INDEX(Venues!$H$2:$H$10,MATCH(S553,Venues!$A$2:$A$10,0)),"")</f>
        <v/>
      </c>
      <c r="W553" s="15">
        <f>IF('Pilot offer'!$C$24="Yes",'Pilot offer'!$C$3,S553)</f>
        <v/>
      </c>
      <c r="X553" s="42">
        <f>IF('Pilot offer'!$C$24="Yes",'Pilot offer'!$C$5+'Pilot offer'!$C$6,T553)</f>
        <v/>
      </c>
      <c r="Y553" s="15">
        <f>IF('Pilot offer'!$C$24="Yes",'Pilot offer'!$C$8,U553)</f>
        <v/>
      </c>
      <c r="Z553" s="43">
        <f>IF('Pilot offer'!$C$24="Yes",'Pilot offer'!$C$11,"")</f>
        <v/>
      </c>
      <c r="AA553" s="15">
        <f>IF(X553="","",W553&amp;" · "&amp;TEXT(X553,"ddd d mmm, hh:mm")&amp;" · "&amp;Y553&amp;IF(Z553&lt;&gt;""," · £"&amp;TEXT(Z553,"0.00")&amp;" per player"," · price TBC (cost £"&amp;TEXT(V553,"0.00")&amp;" pp)"))</f>
        <v/>
      </c>
      <c r="AD553" s="44" t="n"/>
    </row>
    <row r="554">
      <c r="A554" s="13" t="n">
        <v>552</v>
      </c>
      <c r="B554" s="13" t="inlineStr">
        <is>
          <t>3 · E1 Whitechapel</t>
        </is>
      </c>
      <c r="C554" s="13" t="inlineStr">
        <is>
          <t>Office &amp; professional</t>
        </is>
      </c>
      <c r="D554" s="13" t="inlineStr">
        <is>
          <t>Corporate</t>
        </is>
      </c>
      <c r="E554" s="13" t="inlineStr">
        <is>
          <t>White Horse Solicitors &amp; Notary Public</t>
        </is>
      </c>
      <c r="F554" s="13" t="inlineStr">
        <is>
          <t>finance</t>
        </is>
      </c>
      <c r="G554" s="13" t="inlineStr">
        <is>
          <t>info@whitehorselaw.com</t>
        </is>
      </c>
      <c r="H554" s="13" t="inlineStr">
        <is>
          <t>general</t>
        </is>
      </c>
      <c r="I554" s="13" t="inlineStr">
        <is>
          <t>+44 20 7118 1778</t>
        </is>
      </c>
      <c r="J554" s="14" t="inlineStr">
        <is>
          <t>http://www.whitehorselaw.com/</t>
        </is>
      </c>
      <c r="K554" s="13" t="inlineStr">
        <is>
          <t>Ground Floor, 96 White Horse Ln, Stepney Green, London E1 4LR, UK</t>
        </is>
      </c>
      <c r="L554" s="13" t="inlineStr">
        <is>
          <t>E1 4LR</t>
        </is>
      </c>
      <c r="M554" s="13" t="inlineStr">
        <is>
          <t>Stepney 3G</t>
        </is>
      </c>
      <c r="N554" s="13" t="n">
        <v>5</v>
      </c>
      <c r="O554" s="15">
        <f>IFERROR(INDEX(Venues!$C$2:$C$10,MATCH(M554,Venues!$A$2:$A$10,0)),"Not checked")</f>
        <v/>
      </c>
      <c r="P554" s="15">
        <f>IFERROR(INDEX(Venues!$D$2:$D$10,MATCH(M554,Venues!$A$2:$A$10,0)),0)</f>
        <v/>
      </c>
      <c r="Q554" s="42">
        <f>IFERROR(INDEX(Venues!$E$2:$E$10,MATCH(M554,Venues!$A$2:$A$10,0)),"")</f>
        <v/>
      </c>
      <c r="R554" s="15">
        <f>IF(P554&gt;0,"Yes","No")</f>
        <v/>
      </c>
      <c r="S554" s="13" t="inlineStr">
        <is>
          <t>COLA Shoreditch Park</t>
        </is>
      </c>
      <c r="T554" s="42">
        <f>IFERROR(INDEX(Venues!$E$2:$E$10,MATCH(S554,Venues!$A$2:$A$10,0)),"")</f>
        <v/>
      </c>
      <c r="U554" s="15">
        <f>IFERROR(INDEX(Venues!$F$2:$F$10,MATCH(S554,Venues!$A$2:$A$10,0)),"")</f>
        <v/>
      </c>
      <c r="V554" s="43">
        <f>IFERROR(INDEX(Venues!$H$2:$H$10,MATCH(S554,Venues!$A$2:$A$10,0)),"")</f>
        <v/>
      </c>
      <c r="W554" s="15">
        <f>IF('Pilot offer'!$C$24="Yes",'Pilot offer'!$C$3,S554)</f>
        <v/>
      </c>
      <c r="X554" s="42">
        <f>IF('Pilot offer'!$C$24="Yes",'Pilot offer'!$C$5+'Pilot offer'!$C$6,T554)</f>
        <v/>
      </c>
      <c r="Y554" s="15">
        <f>IF('Pilot offer'!$C$24="Yes",'Pilot offer'!$C$8,U554)</f>
        <v/>
      </c>
      <c r="Z554" s="43">
        <f>IF('Pilot offer'!$C$24="Yes",'Pilot offer'!$C$11,"")</f>
        <v/>
      </c>
      <c r="AA554" s="15">
        <f>IF(X554="","",W554&amp;" · "&amp;TEXT(X554,"ddd d mmm, hh:mm")&amp;" · "&amp;Y554&amp;IF(Z554&lt;&gt;""," · £"&amp;TEXT(Z554,"0.00")&amp;" per player"," · price TBC (cost £"&amp;TEXT(V554,"0.00")&amp;" pp)"))</f>
        <v/>
      </c>
      <c r="AD554" s="44" t="n"/>
    </row>
    <row r="555">
      <c r="A555" s="13" t="n">
        <v>553</v>
      </c>
      <c r="B555" s="13" t="inlineStr">
        <is>
          <t>3 · E1 Whitechapel</t>
        </is>
      </c>
      <c r="C555" s="13" t="inlineStr">
        <is>
          <t>Education</t>
        </is>
      </c>
      <c r="D555" s="13" t="inlineStr">
        <is>
          <t>Local businesses</t>
        </is>
      </c>
      <c r="E555" s="13" t="inlineStr">
        <is>
          <t>CECOS College London</t>
        </is>
      </c>
      <c r="F555" s="13" t="inlineStr">
        <is>
          <t>amenity: college</t>
        </is>
      </c>
      <c r="G555" s="13" t="inlineStr">
        <is>
          <t>info@cecos.ac.uk</t>
        </is>
      </c>
      <c r="H555" s="13" t="inlineStr">
        <is>
          <t>general</t>
        </is>
      </c>
      <c r="I555" s="13" t="inlineStr">
        <is>
          <t>+44 20 7359 3316</t>
        </is>
      </c>
      <c r="J555" s="14" t="inlineStr">
        <is>
          <t>https://cecos.ac.uk/</t>
        </is>
      </c>
      <c r="K555" s="13" t="inlineStr">
        <is>
          <t>Beaumont Grove 2-8, London</t>
        </is>
      </c>
      <c r="L555" s="13" t="inlineStr">
        <is>
          <t>E1 4NQ</t>
        </is>
      </c>
      <c r="M555" s="13" t="inlineStr">
        <is>
          <t>Stepney 3G</t>
        </is>
      </c>
      <c r="N555" s="13" t="n">
        <v>4</v>
      </c>
      <c r="O555" s="15">
        <f>IFERROR(INDEX(Venues!$C$2:$C$10,MATCH(M555,Venues!$A$2:$A$10,0)),"Not checked")</f>
        <v/>
      </c>
      <c r="P555" s="15">
        <f>IFERROR(INDEX(Venues!$D$2:$D$10,MATCH(M555,Venues!$A$2:$A$10,0)),0)</f>
        <v/>
      </c>
      <c r="Q555" s="42">
        <f>IFERROR(INDEX(Venues!$E$2:$E$10,MATCH(M555,Venues!$A$2:$A$10,0)),"")</f>
        <v/>
      </c>
      <c r="R555" s="15">
        <f>IF(P555&gt;0,"Yes","No")</f>
        <v/>
      </c>
      <c r="S555" s="13" t="inlineStr">
        <is>
          <t>COLA Shoreditch Park</t>
        </is>
      </c>
      <c r="T555" s="42">
        <f>IFERROR(INDEX(Venues!$E$2:$E$10,MATCH(S555,Venues!$A$2:$A$10,0)),"")</f>
        <v/>
      </c>
      <c r="U555" s="15">
        <f>IFERROR(INDEX(Venues!$F$2:$F$10,MATCH(S555,Venues!$A$2:$A$10,0)),"")</f>
        <v/>
      </c>
      <c r="V555" s="43">
        <f>IFERROR(INDEX(Venues!$H$2:$H$10,MATCH(S555,Venues!$A$2:$A$10,0)),"")</f>
        <v/>
      </c>
      <c r="W555" s="15">
        <f>IF('Pilot offer'!$C$24="Yes",'Pilot offer'!$C$3,S555)</f>
        <v/>
      </c>
      <c r="X555" s="42">
        <f>IF('Pilot offer'!$C$24="Yes",'Pilot offer'!$C$5+'Pilot offer'!$C$6,T555)</f>
        <v/>
      </c>
      <c r="Y555" s="15">
        <f>IF('Pilot offer'!$C$24="Yes",'Pilot offer'!$C$8,U555)</f>
        <v/>
      </c>
      <c r="Z555" s="43">
        <f>IF('Pilot offer'!$C$24="Yes",'Pilot offer'!$C$11,"")</f>
        <v/>
      </c>
      <c r="AA555" s="15">
        <f>IF(X555="","",W555&amp;" · "&amp;TEXT(X555,"ddd d mmm, hh:mm")&amp;" · "&amp;Y555&amp;IF(Z555&lt;&gt;""," · £"&amp;TEXT(Z555,"0.00")&amp;" per player"," · price TBC (cost £"&amp;TEXT(V555,"0.00")&amp;" pp)"))</f>
        <v/>
      </c>
      <c r="AD555" s="44" t="n"/>
    </row>
    <row r="556">
      <c r="A556" s="13" t="n">
        <v>554</v>
      </c>
      <c r="B556" s="13" t="inlineStr">
        <is>
          <t>3 · E1 Whitechapel</t>
        </is>
      </c>
      <c r="C556" s="13" t="inlineStr">
        <is>
          <t>Retail</t>
        </is>
      </c>
      <c r="D556" s="13" t="inlineStr">
        <is>
          <t>Local businesses</t>
        </is>
      </c>
      <c r="E556" s="13" t="inlineStr">
        <is>
          <t>Silvermans</t>
        </is>
      </c>
      <c r="F556" s="13" t="inlineStr">
        <is>
          <t>shop: clothes</t>
        </is>
      </c>
      <c r="G556" s="13" t="inlineStr">
        <is>
          <t>sales@silvermans.co.uk</t>
        </is>
      </c>
      <c r="H556" s="13" t="inlineStr">
        <is>
          <t>commercial</t>
        </is>
      </c>
      <c r="I556" s="13" t="n"/>
      <c r="J556" s="14" t="inlineStr">
        <is>
          <t>https://www.silvermans.co.uk/</t>
        </is>
      </c>
      <c r="K556" s="13" t="inlineStr">
        <is>
          <t>Mile End Road 422-426, London</t>
        </is>
      </c>
      <c r="L556" s="13" t="inlineStr">
        <is>
          <t>E1 4PE</t>
        </is>
      </c>
      <c r="M556" s="13" t="inlineStr">
        <is>
          <t>Stepney 3G</t>
        </is>
      </c>
      <c r="N556" s="13" t="n">
        <v>9</v>
      </c>
      <c r="O556" s="15">
        <f>IFERROR(INDEX(Venues!$C$2:$C$10,MATCH(M556,Venues!$A$2:$A$10,0)),"Not checked")</f>
        <v/>
      </c>
      <c r="P556" s="15">
        <f>IFERROR(INDEX(Venues!$D$2:$D$10,MATCH(M556,Venues!$A$2:$A$10,0)),0)</f>
        <v/>
      </c>
      <c r="Q556" s="42">
        <f>IFERROR(INDEX(Venues!$E$2:$E$10,MATCH(M556,Venues!$A$2:$A$10,0)),"")</f>
        <v/>
      </c>
      <c r="R556" s="15">
        <f>IF(P556&gt;0,"Yes","No")</f>
        <v/>
      </c>
      <c r="S556" s="13" t="inlineStr">
        <is>
          <t>COLA Shoreditch Park</t>
        </is>
      </c>
      <c r="T556" s="42">
        <f>IFERROR(INDEX(Venues!$E$2:$E$10,MATCH(S556,Venues!$A$2:$A$10,0)),"")</f>
        <v/>
      </c>
      <c r="U556" s="15">
        <f>IFERROR(INDEX(Venues!$F$2:$F$10,MATCH(S556,Venues!$A$2:$A$10,0)),"")</f>
        <v/>
      </c>
      <c r="V556" s="43">
        <f>IFERROR(INDEX(Venues!$H$2:$H$10,MATCH(S556,Venues!$A$2:$A$10,0)),"")</f>
        <v/>
      </c>
      <c r="W556" s="15">
        <f>IF('Pilot offer'!$C$24="Yes",'Pilot offer'!$C$3,S556)</f>
        <v/>
      </c>
      <c r="X556" s="42">
        <f>IF('Pilot offer'!$C$24="Yes",'Pilot offer'!$C$5+'Pilot offer'!$C$6,T556)</f>
        <v/>
      </c>
      <c r="Y556" s="15">
        <f>IF('Pilot offer'!$C$24="Yes",'Pilot offer'!$C$8,U556)</f>
        <v/>
      </c>
      <c r="Z556" s="43">
        <f>IF('Pilot offer'!$C$24="Yes",'Pilot offer'!$C$11,"")</f>
        <v/>
      </c>
      <c r="AA556" s="15">
        <f>IF(X556="","",W556&amp;" · "&amp;TEXT(X556,"ddd d mmm, hh:mm")&amp;" · "&amp;Y556&amp;IF(Z556&lt;&gt;""," · £"&amp;TEXT(Z556,"0.00")&amp;" per player"," · price TBC (cost £"&amp;TEXT(V556,"0.00")&amp;" pp)"))</f>
        <v/>
      </c>
      <c r="AD556" s="44" t="n"/>
    </row>
    <row r="557">
      <c r="A557" s="13" t="n">
        <v>555</v>
      </c>
      <c r="B557" s="13" t="inlineStr">
        <is>
          <t>3 · E1 Whitechapel</t>
        </is>
      </c>
      <c r="C557" s="13" t="inlineStr">
        <is>
          <t>Education</t>
        </is>
      </c>
      <c r="D557" s="13" t="inlineStr">
        <is>
          <t>Local businesses</t>
        </is>
      </c>
      <c r="E557" s="13" t="inlineStr">
        <is>
          <t>Ben Jonson Primary School</t>
        </is>
      </c>
      <c r="F557" s="13" t="inlineStr">
        <is>
          <t>amenity: school</t>
        </is>
      </c>
      <c r="G557" s="13" t="inlineStr">
        <is>
          <t>admin@benjonson.towerhamlets.sch.uk</t>
        </is>
      </c>
      <c r="H557" s="13" t="inlineStr">
        <is>
          <t>general</t>
        </is>
      </c>
      <c r="I557" s="13" t="inlineStr">
        <is>
          <t>+44 20 7790 4110</t>
        </is>
      </c>
      <c r="J557" s="14" t="inlineStr">
        <is>
          <t>https://www.benjonson.towerhamlets.sch.uk/</t>
        </is>
      </c>
      <c r="K557" s="13" t="inlineStr">
        <is>
          <t>Harford Street, London</t>
        </is>
      </c>
      <c r="L557" s="13" t="inlineStr">
        <is>
          <t>E1 4PZ</t>
        </is>
      </c>
      <c r="M557" s="13" t="inlineStr">
        <is>
          <t>Stepney 3G</t>
        </is>
      </c>
      <c r="N557" s="13" t="n">
        <v>12</v>
      </c>
      <c r="O557" s="15">
        <f>IFERROR(INDEX(Venues!$C$2:$C$10,MATCH(M557,Venues!$A$2:$A$10,0)),"Not checked")</f>
        <v/>
      </c>
      <c r="P557" s="15">
        <f>IFERROR(INDEX(Venues!$D$2:$D$10,MATCH(M557,Venues!$A$2:$A$10,0)),0)</f>
        <v/>
      </c>
      <c r="Q557" s="42">
        <f>IFERROR(INDEX(Venues!$E$2:$E$10,MATCH(M557,Venues!$A$2:$A$10,0)),"")</f>
        <v/>
      </c>
      <c r="R557" s="15">
        <f>IF(P557&gt;0,"Yes","No")</f>
        <v/>
      </c>
      <c r="S557" s="13" t="inlineStr">
        <is>
          <t>COLA Shoreditch Park</t>
        </is>
      </c>
      <c r="T557" s="42">
        <f>IFERROR(INDEX(Venues!$E$2:$E$10,MATCH(S557,Venues!$A$2:$A$10,0)),"")</f>
        <v/>
      </c>
      <c r="U557" s="15">
        <f>IFERROR(INDEX(Venues!$F$2:$F$10,MATCH(S557,Venues!$A$2:$A$10,0)),"")</f>
        <v/>
      </c>
      <c r="V557" s="43">
        <f>IFERROR(INDEX(Venues!$H$2:$H$10,MATCH(S557,Venues!$A$2:$A$10,0)),"")</f>
        <v/>
      </c>
      <c r="W557" s="15">
        <f>IF('Pilot offer'!$C$24="Yes",'Pilot offer'!$C$3,S557)</f>
        <v/>
      </c>
      <c r="X557" s="42">
        <f>IF('Pilot offer'!$C$24="Yes",'Pilot offer'!$C$5+'Pilot offer'!$C$6,T557)</f>
        <v/>
      </c>
      <c r="Y557" s="15">
        <f>IF('Pilot offer'!$C$24="Yes",'Pilot offer'!$C$8,U557)</f>
        <v/>
      </c>
      <c r="Z557" s="43">
        <f>IF('Pilot offer'!$C$24="Yes",'Pilot offer'!$C$11,"")</f>
        <v/>
      </c>
      <c r="AA557" s="15">
        <f>IF(X557="","",W557&amp;" · "&amp;TEXT(X557,"ddd d mmm, hh:mm")&amp;" · "&amp;Y557&amp;IF(Z557&lt;&gt;""," · £"&amp;TEXT(Z557,"0.00")&amp;" per player"," · price TBC (cost £"&amp;TEXT(V557,"0.00")&amp;" pp)"))</f>
        <v/>
      </c>
      <c r="AD557" s="44" t="n"/>
    </row>
    <row r="558">
      <c r="A558" s="13" t="n">
        <v>556</v>
      </c>
      <c r="B558" s="13" t="inlineStr">
        <is>
          <t>3 · E1 Whitechapel</t>
        </is>
      </c>
      <c r="C558" s="13" t="inlineStr">
        <is>
          <t>Education</t>
        </is>
      </c>
      <c r="D558" s="13" t="inlineStr">
        <is>
          <t>Local businesses</t>
        </is>
      </c>
      <c r="E558" s="13" t="inlineStr">
        <is>
          <t>Mulberry Stepney Green Mathematics and Computing College</t>
        </is>
      </c>
      <c r="F558" s="13" t="inlineStr">
        <is>
          <t>amenity: school</t>
        </is>
      </c>
      <c r="G558" s="13" t="inlineStr">
        <is>
          <t>mail@mulberrystepneygreen.org</t>
        </is>
      </c>
      <c r="H558" s="13" t="inlineStr">
        <is>
          <t>general</t>
        </is>
      </c>
      <c r="I558" s="13" t="inlineStr">
        <is>
          <t>+44 20 7790 6361</t>
        </is>
      </c>
      <c r="J558" s="14" t="inlineStr">
        <is>
          <t>https://www.mulberrystepneygreen.org/</t>
        </is>
      </c>
      <c r="K558" s="13" t="inlineStr">
        <is>
          <t>Ben Jonson Road, London</t>
        </is>
      </c>
      <c r="L558" s="13" t="inlineStr">
        <is>
          <t>E1 4SD</t>
        </is>
      </c>
      <c r="M558" s="13" t="inlineStr">
        <is>
          <t>Stepney 3G</t>
        </is>
      </c>
      <c r="N558" s="13" t="n">
        <v>11</v>
      </c>
      <c r="O558" s="15">
        <f>IFERROR(INDEX(Venues!$C$2:$C$10,MATCH(M558,Venues!$A$2:$A$10,0)),"Not checked")</f>
        <v/>
      </c>
      <c r="P558" s="15">
        <f>IFERROR(INDEX(Venues!$D$2:$D$10,MATCH(M558,Venues!$A$2:$A$10,0)),0)</f>
        <v/>
      </c>
      <c r="Q558" s="42">
        <f>IFERROR(INDEX(Venues!$E$2:$E$10,MATCH(M558,Venues!$A$2:$A$10,0)),"")</f>
        <v/>
      </c>
      <c r="R558" s="15">
        <f>IF(P558&gt;0,"Yes","No")</f>
        <v/>
      </c>
      <c r="S558" s="13" t="inlineStr">
        <is>
          <t>COLA Shoreditch Park</t>
        </is>
      </c>
      <c r="T558" s="42">
        <f>IFERROR(INDEX(Venues!$E$2:$E$10,MATCH(S558,Venues!$A$2:$A$10,0)),"")</f>
        <v/>
      </c>
      <c r="U558" s="15">
        <f>IFERROR(INDEX(Venues!$F$2:$F$10,MATCH(S558,Venues!$A$2:$A$10,0)),"")</f>
        <v/>
      </c>
      <c r="V558" s="43">
        <f>IFERROR(INDEX(Venues!$H$2:$H$10,MATCH(S558,Venues!$A$2:$A$10,0)),"")</f>
        <v/>
      </c>
      <c r="W558" s="15">
        <f>IF('Pilot offer'!$C$24="Yes",'Pilot offer'!$C$3,S558)</f>
        <v/>
      </c>
      <c r="X558" s="42">
        <f>IF('Pilot offer'!$C$24="Yes",'Pilot offer'!$C$5+'Pilot offer'!$C$6,T558)</f>
        <v/>
      </c>
      <c r="Y558" s="15">
        <f>IF('Pilot offer'!$C$24="Yes",'Pilot offer'!$C$8,U558)</f>
        <v/>
      </c>
      <c r="Z558" s="43">
        <f>IF('Pilot offer'!$C$24="Yes",'Pilot offer'!$C$11,"")</f>
        <v/>
      </c>
      <c r="AA558" s="15">
        <f>IF(X558="","",W558&amp;" · "&amp;TEXT(X558,"ddd d mmm, hh:mm")&amp;" · "&amp;Y558&amp;IF(Z558&lt;&gt;""," · £"&amp;TEXT(Z558,"0.00")&amp;" per player"," · price TBC (cost £"&amp;TEXT(V558,"0.00")&amp;" pp)"))</f>
        <v/>
      </c>
      <c r="AD558" s="44" t="n"/>
    </row>
    <row r="559">
      <c r="A559" s="13" t="n">
        <v>557</v>
      </c>
      <c r="B559" s="13" t="inlineStr">
        <is>
          <t>3 · E1 Whitechapel</t>
        </is>
      </c>
      <c r="C559" s="13" t="inlineStr">
        <is>
          <t>Office &amp; professional</t>
        </is>
      </c>
      <c r="D559" s="13" t="inlineStr">
        <is>
          <t>Corporate</t>
        </is>
      </c>
      <c r="E559" s="13" t="inlineStr">
        <is>
          <t>Moonstone Accountants</t>
        </is>
      </c>
      <c r="F559" s="13" t="inlineStr">
        <is>
          <t>finance</t>
        </is>
      </c>
      <c r="G559" s="13" t="inlineStr">
        <is>
          <t>info@moonstoneaccountants.co.uk</t>
        </is>
      </c>
      <c r="H559" s="13" t="inlineStr">
        <is>
          <t>general</t>
        </is>
      </c>
      <c r="I559" s="13" t="inlineStr">
        <is>
          <t>+44 20 8077 8984</t>
        </is>
      </c>
      <c r="J559" s="14" t="inlineStr">
        <is>
          <t>http://www.moonstoneaccountants.co.uk/</t>
        </is>
      </c>
      <c r="K559" s="13" t="inlineStr">
        <is>
          <t>Unit B, 55 Mile End Rd, Bethnal Green, London E1 4TT, UK</t>
        </is>
      </c>
      <c r="L559" s="13" t="inlineStr">
        <is>
          <t>E1 4TT</t>
        </is>
      </c>
      <c r="M559" s="13" t="inlineStr">
        <is>
          <t>Stepney 3G</t>
        </is>
      </c>
      <c r="N559" s="13" t="n">
        <v>7</v>
      </c>
      <c r="O559" s="15">
        <f>IFERROR(INDEX(Venues!$C$2:$C$10,MATCH(M559,Venues!$A$2:$A$10,0)),"Not checked")</f>
        <v/>
      </c>
      <c r="P559" s="15">
        <f>IFERROR(INDEX(Venues!$D$2:$D$10,MATCH(M559,Venues!$A$2:$A$10,0)),0)</f>
        <v/>
      </c>
      <c r="Q559" s="42">
        <f>IFERROR(INDEX(Venues!$E$2:$E$10,MATCH(M559,Venues!$A$2:$A$10,0)),"")</f>
        <v/>
      </c>
      <c r="R559" s="15">
        <f>IF(P559&gt;0,"Yes","No")</f>
        <v/>
      </c>
      <c r="S559" s="13" t="inlineStr">
        <is>
          <t>COLA Shoreditch Park</t>
        </is>
      </c>
      <c r="T559" s="42">
        <f>IFERROR(INDEX(Venues!$E$2:$E$10,MATCH(S559,Venues!$A$2:$A$10,0)),"")</f>
        <v/>
      </c>
      <c r="U559" s="15">
        <f>IFERROR(INDEX(Venues!$F$2:$F$10,MATCH(S559,Venues!$A$2:$A$10,0)),"")</f>
        <v/>
      </c>
      <c r="V559" s="43">
        <f>IFERROR(INDEX(Venues!$H$2:$H$10,MATCH(S559,Venues!$A$2:$A$10,0)),"")</f>
        <v/>
      </c>
      <c r="W559" s="15">
        <f>IF('Pilot offer'!$C$24="Yes",'Pilot offer'!$C$3,S559)</f>
        <v/>
      </c>
      <c r="X559" s="42">
        <f>IF('Pilot offer'!$C$24="Yes",'Pilot offer'!$C$5+'Pilot offer'!$C$6,T559)</f>
        <v/>
      </c>
      <c r="Y559" s="15">
        <f>IF('Pilot offer'!$C$24="Yes",'Pilot offer'!$C$8,U559)</f>
        <v/>
      </c>
      <c r="Z559" s="43">
        <f>IF('Pilot offer'!$C$24="Yes",'Pilot offer'!$C$11,"")</f>
        <v/>
      </c>
      <c r="AA559" s="15">
        <f>IF(X559="","",W559&amp;" · "&amp;TEXT(X559,"ddd d mmm, hh:mm")&amp;" · "&amp;Y559&amp;IF(Z559&lt;&gt;""," · £"&amp;TEXT(Z559,"0.00")&amp;" per player"," · price TBC (cost £"&amp;TEXT(V559,"0.00")&amp;" pp)"))</f>
        <v/>
      </c>
      <c r="AD559" s="44" t="n"/>
    </row>
    <row r="560">
      <c r="A560" s="13" t="n">
        <v>558</v>
      </c>
      <c r="B560" s="13" t="inlineStr">
        <is>
          <t>3 · E1 Whitechapel</t>
        </is>
      </c>
      <c r="C560" s="13" t="inlineStr">
        <is>
          <t>Office &amp; professional</t>
        </is>
      </c>
      <c r="D560" s="13" t="inlineStr">
        <is>
          <t>Corporate</t>
        </is>
      </c>
      <c r="E560" s="13" t="inlineStr">
        <is>
          <t>Braant Accountants in Whitechapel</t>
        </is>
      </c>
      <c r="F560" s="13" t="inlineStr">
        <is>
          <t>finance</t>
        </is>
      </c>
      <c r="G560" s="13" t="inlineStr">
        <is>
          <t>enquiries@braant.co.uk</t>
        </is>
      </c>
      <c r="H560" s="13" t="inlineStr">
        <is>
          <t>general</t>
        </is>
      </c>
      <c r="I560" s="13" t="inlineStr">
        <is>
          <t>+44 20 3282 3738</t>
        </is>
      </c>
      <c r="J560" s="14" t="inlineStr">
        <is>
          <t>https://www.braant.co.uk/locations/london-offices/</t>
        </is>
      </c>
      <c r="K560" s="13" t="inlineStr">
        <is>
          <t>69-89 Mile End Rd, Bethnal Green, London E1 4UJ, UK</t>
        </is>
      </c>
      <c r="L560" s="13" t="inlineStr">
        <is>
          <t>E1 4UJ</t>
        </is>
      </c>
      <c r="M560" s="13" t="inlineStr">
        <is>
          <t>Stepney 3G</t>
        </is>
      </c>
      <c r="N560" s="13" t="n">
        <v>6</v>
      </c>
      <c r="O560" s="15">
        <f>IFERROR(INDEX(Venues!$C$2:$C$10,MATCH(M560,Venues!$A$2:$A$10,0)),"Not checked")</f>
        <v/>
      </c>
      <c r="P560" s="15">
        <f>IFERROR(INDEX(Venues!$D$2:$D$10,MATCH(M560,Venues!$A$2:$A$10,0)),0)</f>
        <v/>
      </c>
      <c r="Q560" s="42">
        <f>IFERROR(INDEX(Venues!$E$2:$E$10,MATCH(M560,Venues!$A$2:$A$10,0)),"")</f>
        <v/>
      </c>
      <c r="R560" s="15">
        <f>IF(P560&gt;0,"Yes","No")</f>
        <v/>
      </c>
      <c r="S560" s="13" t="inlineStr">
        <is>
          <t>COLA Shoreditch Park</t>
        </is>
      </c>
      <c r="T560" s="42">
        <f>IFERROR(INDEX(Venues!$E$2:$E$10,MATCH(S560,Venues!$A$2:$A$10,0)),"")</f>
        <v/>
      </c>
      <c r="U560" s="15">
        <f>IFERROR(INDEX(Venues!$F$2:$F$10,MATCH(S560,Venues!$A$2:$A$10,0)),"")</f>
        <v/>
      </c>
      <c r="V560" s="43">
        <f>IFERROR(INDEX(Venues!$H$2:$H$10,MATCH(S560,Venues!$A$2:$A$10,0)),"")</f>
        <v/>
      </c>
      <c r="W560" s="15">
        <f>IF('Pilot offer'!$C$24="Yes",'Pilot offer'!$C$3,S560)</f>
        <v/>
      </c>
      <c r="X560" s="42">
        <f>IF('Pilot offer'!$C$24="Yes",'Pilot offer'!$C$5+'Pilot offer'!$C$6,T560)</f>
        <v/>
      </c>
      <c r="Y560" s="15">
        <f>IF('Pilot offer'!$C$24="Yes",'Pilot offer'!$C$8,U560)</f>
        <v/>
      </c>
      <c r="Z560" s="43">
        <f>IF('Pilot offer'!$C$24="Yes",'Pilot offer'!$C$11,"")</f>
        <v/>
      </c>
      <c r="AA560" s="15">
        <f>IF(X560="","",W560&amp;" · "&amp;TEXT(X560,"ddd d mmm, hh:mm")&amp;" · "&amp;Y560&amp;IF(Z560&lt;&gt;""," · £"&amp;TEXT(Z560,"0.00")&amp;" per player"," · price TBC (cost £"&amp;TEXT(V560,"0.00")&amp;" pp)"))</f>
        <v/>
      </c>
      <c r="AD560" s="44" t="n"/>
    </row>
    <row r="561">
      <c r="A561" s="13" t="n">
        <v>559</v>
      </c>
      <c r="B561" s="13" t="inlineStr">
        <is>
          <t>3 · E1 Whitechapel</t>
        </is>
      </c>
      <c r="C561" s="13" t="inlineStr">
        <is>
          <t>Office &amp; professional</t>
        </is>
      </c>
      <c r="D561" s="13" t="inlineStr">
        <is>
          <t>Corporate</t>
        </is>
      </c>
      <c r="E561" s="13" t="inlineStr">
        <is>
          <t>CSS LAW</t>
        </is>
      </c>
      <c r="F561" s="13" t="inlineStr">
        <is>
          <t>consultant</t>
        </is>
      </c>
      <c r="G561" s="13" t="inlineStr">
        <is>
          <t>info@css-law.co.uk</t>
        </is>
      </c>
      <c r="H561" s="13" t="inlineStr">
        <is>
          <t>general</t>
        </is>
      </c>
      <c r="I561" s="13" t="inlineStr">
        <is>
          <t>+44 20 3972 2706</t>
        </is>
      </c>
      <c r="J561" s="14" t="inlineStr">
        <is>
          <t>https://css-law.co.uk/</t>
        </is>
      </c>
      <c r="K561" s="13" t="inlineStr">
        <is>
          <t>122 Mile End Rd, Stepney Green, London E1 4UN, UK</t>
        </is>
      </c>
      <c r="L561" s="13" t="inlineStr">
        <is>
          <t>E1 4UN</t>
        </is>
      </c>
      <c r="M561" s="13" t="inlineStr">
        <is>
          <t>Stepney 3G</t>
        </is>
      </c>
      <c r="N561" s="13" t="n">
        <v>7</v>
      </c>
      <c r="O561" s="15">
        <f>IFERROR(INDEX(Venues!$C$2:$C$10,MATCH(M561,Venues!$A$2:$A$10,0)),"Not checked")</f>
        <v/>
      </c>
      <c r="P561" s="15">
        <f>IFERROR(INDEX(Venues!$D$2:$D$10,MATCH(M561,Venues!$A$2:$A$10,0)),0)</f>
        <v/>
      </c>
      <c r="Q561" s="42">
        <f>IFERROR(INDEX(Venues!$E$2:$E$10,MATCH(M561,Venues!$A$2:$A$10,0)),"")</f>
        <v/>
      </c>
      <c r="R561" s="15">
        <f>IF(P561&gt;0,"Yes","No")</f>
        <v/>
      </c>
      <c r="S561" s="13" t="inlineStr">
        <is>
          <t>COLA Shoreditch Park</t>
        </is>
      </c>
      <c r="T561" s="42">
        <f>IFERROR(INDEX(Venues!$E$2:$E$10,MATCH(S561,Venues!$A$2:$A$10,0)),"")</f>
        <v/>
      </c>
      <c r="U561" s="15">
        <f>IFERROR(INDEX(Venues!$F$2:$F$10,MATCH(S561,Venues!$A$2:$A$10,0)),"")</f>
        <v/>
      </c>
      <c r="V561" s="43">
        <f>IFERROR(INDEX(Venues!$H$2:$H$10,MATCH(S561,Venues!$A$2:$A$10,0)),"")</f>
        <v/>
      </c>
      <c r="W561" s="15">
        <f>IF('Pilot offer'!$C$24="Yes",'Pilot offer'!$C$3,S561)</f>
        <v/>
      </c>
      <c r="X561" s="42">
        <f>IF('Pilot offer'!$C$24="Yes",'Pilot offer'!$C$5+'Pilot offer'!$C$6,T561)</f>
        <v/>
      </c>
      <c r="Y561" s="15">
        <f>IF('Pilot offer'!$C$24="Yes",'Pilot offer'!$C$8,U561)</f>
        <v/>
      </c>
      <c r="Z561" s="43">
        <f>IF('Pilot offer'!$C$24="Yes",'Pilot offer'!$C$11,"")</f>
        <v/>
      </c>
      <c r="AA561" s="15">
        <f>IF(X561="","",W561&amp;" · "&amp;TEXT(X561,"ddd d mmm, hh:mm")&amp;" · "&amp;Y561&amp;IF(Z561&lt;&gt;""," · £"&amp;TEXT(Z561,"0.00")&amp;" per player"," · price TBC (cost £"&amp;TEXT(V561,"0.00")&amp;" pp)"))</f>
        <v/>
      </c>
      <c r="AD561" s="44" t="n"/>
    </row>
    <row r="562">
      <c r="A562" s="13" t="n">
        <v>560</v>
      </c>
      <c r="B562" s="13" t="inlineStr">
        <is>
          <t>3 · E1 Whitechapel</t>
        </is>
      </c>
      <c r="C562" s="13" t="inlineStr">
        <is>
          <t>Office &amp; professional</t>
        </is>
      </c>
      <c r="D562" s="13" t="inlineStr">
        <is>
          <t>Corporate</t>
        </is>
      </c>
      <c r="E562" s="13" t="inlineStr">
        <is>
          <t>Elite Accountancy</t>
        </is>
      </c>
      <c r="F562" s="13" t="inlineStr">
        <is>
          <t>finance</t>
        </is>
      </c>
      <c r="G562" s="13" t="inlineStr">
        <is>
          <t>info@elite-accountancy.com</t>
        </is>
      </c>
      <c r="H562" s="13" t="inlineStr">
        <is>
          <t>general</t>
        </is>
      </c>
      <c r="I562" s="13" t="inlineStr">
        <is>
          <t>+44 20 7790 1826</t>
        </is>
      </c>
      <c r="J562" s="14" t="inlineStr">
        <is>
          <t>http://www.elite-accountancy.com/</t>
        </is>
      </c>
      <c r="K562" s="13" t="inlineStr">
        <is>
          <t>102 Mile End Rd, Stepney Green, London E1 4UN, UK</t>
        </is>
      </c>
      <c r="L562" s="13" t="inlineStr">
        <is>
          <t>E1 4UN</t>
        </is>
      </c>
      <c r="M562" s="13" t="inlineStr">
        <is>
          <t>Stepney 3G</t>
        </is>
      </c>
      <c r="N562" s="13" t="n">
        <v>7</v>
      </c>
      <c r="O562" s="15">
        <f>IFERROR(INDEX(Venues!$C$2:$C$10,MATCH(M562,Venues!$A$2:$A$10,0)),"Not checked")</f>
        <v/>
      </c>
      <c r="P562" s="15">
        <f>IFERROR(INDEX(Venues!$D$2:$D$10,MATCH(M562,Venues!$A$2:$A$10,0)),0)</f>
        <v/>
      </c>
      <c r="Q562" s="42">
        <f>IFERROR(INDEX(Venues!$E$2:$E$10,MATCH(M562,Venues!$A$2:$A$10,0)),"")</f>
        <v/>
      </c>
      <c r="R562" s="15">
        <f>IF(P562&gt;0,"Yes","No")</f>
        <v/>
      </c>
      <c r="S562" s="13" t="inlineStr">
        <is>
          <t>COLA Shoreditch Park</t>
        </is>
      </c>
      <c r="T562" s="42">
        <f>IFERROR(INDEX(Venues!$E$2:$E$10,MATCH(S562,Venues!$A$2:$A$10,0)),"")</f>
        <v/>
      </c>
      <c r="U562" s="15">
        <f>IFERROR(INDEX(Venues!$F$2:$F$10,MATCH(S562,Venues!$A$2:$A$10,0)),"")</f>
        <v/>
      </c>
      <c r="V562" s="43">
        <f>IFERROR(INDEX(Venues!$H$2:$H$10,MATCH(S562,Venues!$A$2:$A$10,0)),"")</f>
        <v/>
      </c>
      <c r="W562" s="15">
        <f>IF('Pilot offer'!$C$24="Yes",'Pilot offer'!$C$3,S562)</f>
        <v/>
      </c>
      <c r="X562" s="42">
        <f>IF('Pilot offer'!$C$24="Yes",'Pilot offer'!$C$5+'Pilot offer'!$C$6,T562)</f>
        <v/>
      </c>
      <c r="Y562" s="15">
        <f>IF('Pilot offer'!$C$24="Yes",'Pilot offer'!$C$8,U562)</f>
        <v/>
      </c>
      <c r="Z562" s="43">
        <f>IF('Pilot offer'!$C$24="Yes",'Pilot offer'!$C$11,"")</f>
        <v/>
      </c>
      <c r="AA562" s="15">
        <f>IF(X562="","",W562&amp;" · "&amp;TEXT(X562,"ddd d mmm, hh:mm")&amp;" · "&amp;Y562&amp;IF(Z562&lt;&gt;""," · £"&amp;TEXT(Z562,"0.00")&amp;" per player"," · price TBC (cost £"&amp;TEXT(V562,"0.00")&amp;" pp)"))</f>
        <v/>
      </c>
      <c r="AD562" s="44" t="n"/>
    </row>
    <row r="563">
      <c r="A563" s="13" t="n">
        <v>561</v>
      </c>
      <c r="B563" s="13" t="inlineStr">
        <is>
          <t>3 · E1 Whitechapel</t>
        </is>
      </c>
      <c r="C563" s="13" t="inlineStr">
        <is>
          <t>Education</t>
        </is>
      </c>
      <c r="D563" s="13" t="inlineStr">
        <is>
          <t>Local businesses</t>
        </is>
      </c>
      <c r="E563" s="13" t="inlineStr">
        <is>
          <t>Osmani Primary School</t>
        </is>
      </c>
      <c r="F563" s="13" t="inlineStr">
        <is>
          <t>amenity: school</t>
        </is>
      </c>
      <c r="G563" s="13" t="inlineStr">
        <is>
          <t>admin@osmani.towerhamlets.sch.uk</t>
        </is>
      </c>
      <c r="H563" s="13" t="inlineStr">
        <is>
          <t>general</t>
        </is>
      </c>
      <c r="I563" s="13" t="inlineStr">
        <is>
          <t>+44 20 7247 8909</t>
        </is>
      </c>
      <c r="J563" s="14" t="inlineStr">
        <is>
          <t>https://www.osmani.towerhamlets.sch.uk/</t>
        </is>
      </c>
      <c r="K563" s="13" t="inlineStr">
        <is>
          <t>Vallance Road, London</t>
        </is>
      </c>
      <c r="L563" s="13" t="inlineStr">
        <is>
          <t>E1 5AD</t>
        </is>
      </c>
      <c r="M563" s="13" t="inlineStr">
        <is>
          <t>Stepney 3G</t>
        </is>
      </c>
      <c r="N563" s="13" t="n">
        <v>19</v>
      </c>
      <c r="O563" s="15">
        <f>IFERROR(INDEX(Venues!$C$2:$C$10,MATCH(M563,Venues!$A$2:$A$10,0)),"Not checked")</f>
        <v/>
      </c>
      <c r="P563" s="15">
        <f>IFERROR(INDEX(Venues!$D$2:$D$10,MATCH(M563,Venues!$A$2:$A$10,0)),0)</f>
        <v/>
      </c>
      <c r="Q563" s="42">
        <f>IFERROR(INDEX(Venues!$E$2:$E$10,MATCH(M563,Venues!$A$2:$A$10,0)),"")</f>
        <v/>
      </c>
      <c r="R563" s="15">
        <f>IF(P563&gt;0,"Yes","No")</f>
        <v/>
      </c>
      <c r="S563" s="13" t="inlineStr">
        <is>
          <t>COLA Shoreditch Park</t>
        </is>
      </c>
      <c r="T563" s="42">
        <f>IFERROR(INDEX(Venues!$E$2:$E$10,MATCH(S563,Venues!$A$2:$A$10,0)),"")</f>
        <v/>
      </c>
      <c r="U563" s="15">
        <f>IFERROR(INDEX(Venues!$F$2:$F$10,MATCH(S563,Venues!$A$2:$A$10,0)),"")</f>
        <v/>
      </c>
      <c r="V563" s="43">
        <f>IFERROR(INDEX(Venues!$H$2:$H$10,MATCH(S563,Venues!$A$2:$A$10,0)),"")</f>
        <v/>
      </c>
      <c r="W563" s="15">
        <f>IF('Pilot offer'!$C$24="Yes",'Pilot offer'!$C$3,S563)</f>
        <v/>
      </c>
      <c r="X563" s="42">
        <f>IF('Pilot offer'!$C$24="Yes",'Pilot offer'!$C$5+'Pilot offer'!$C$6,T563)</f>
        <v/>
      </c>
      <c r="Y563" s="15">
        <f>IF('Pilot offer'!$C$24="Yes",'Pilot offer'!$C$8,U563)</f>
        <v/>
      </c>
      <c r="Z563" s="43">
        <f>IF('Pilot offer'!$C$24="Yes",'Pilot offer'!$C$11,"")</f>
        <v/>
      </c>
      <c r="AA563" s="15">
        <f>IF(X563="","",W563&amp;" · "&amp;TEXT(X563,"ddd d mmm, hh:mm")&amp;" · "&amp;Y563&amp;IF(Z563&lt;&gt;""," · £"&amp;TEXT(Z563,"0.00")&amp;" per player"," · price TBC (cost £"&amp;TEXT(V563,"0.00")&amp;" pp)"))</f>
        <v/>
      </c>
      <c r="AD563" s="44" t="n"/>
    </row>
    <row r="564">
      <c r="A564" s="13" t="n">
        <v>562</v>
      </c>
      <c r="B564" s="13" t="inlineStr">
        <is>
          <t>3 · E1 Whitechapel</t>
        </is>
      </c>
      <c r="C564" s="13" t="inlineStr">
        <is>
          <t>Retail</t>
        </is>
      </c>
      <c r="D564" s="13" t="inlineStr">
        <is>
          <t>Local businesses</t>
        </is>
      </c>
      <c r="E564" s="13" t="inlineStr">
        <is>
          <t>Spitalfields City Farm</t>
        </is>
      </c>
      <c r="F564" s="13" t="inlineStr">
        <is>
          <t>shop: farm</t>
        </is>
      </c>
      <c r="G564" s="13" t="inlineStr">
        <is>
          <t>farm@spitalfieldscityfarm.org</t>
        </is>
      </c>
      <c r="H564" s="13" t="inlineStr">
        <is>
          <t>person_or_other</t>
        </is>
      </c>
      <c r="I564" s="13" t="inlineStr">
        <is>
          <t>+44 20 7247 8762</t>
        </is>
      </c>
      <c r="J564" s="14" t="inlineStr">
        <is>
          <t>https://www.spitalfieldscityfarm.org/</t>
        </is>
      </c>
      <c r="K564" s="13" t="inlineStr">
        <is>
          <t>Buxton Street, London</t>
        </is>
      </c>
      <c r="L564" s="13" t="inlineStr">
        <is>
          <t>E1 5AR</t>
        </is>
      </c>
      <c r="M564" s="13" t="inlineStr">
        <is>
          <t>Whitechapel</t>
        </is>
      </c>
      <c r="N564" s="13" t="n">
        <v>16</v>
      </c>
      <c r="O564" s="15">
        <f>IFERROR(INDEX(Venues!$C$2:$C$10,MATCH(M564,Venues!$A$2:$A$10,0)),"Not checked")</f>
        <v/>
      </c>
      <c r="P564" s="15">
        <f>IFERROR(INDEX(Venues!$D$2:$D$10,MATCH(M564,Venues!$A$2:$A$10,0)),0)</f>
        <v/>
      </c>
      <c r="Q564" s="42">
        <f>IFERROR(INDEX(Venues!$E$2:$E$10,MATCH(M564,Venues!$A$2:$A$10,0)),"")</f>
        <v/>
      </c>
      <c r="R564" s="15">
        <f>IF(P564&gt;0,"Yes","No")</f>
        <v/>
      </c>
      <c r="S564" s="13" t="inlineStr">
        <is>
          <t>COLA Shoreditch Park</t>
        </is>
      </c>
      <c r="T564" s="42">
        <f>IFERROR(INDEX(Venues!$E$2:$E$10,MATCH(S564,Venues!$A$2:$A$10,0)),"")</f>
        <v/>
      </c>
      <c r="U564" s="15">
        <f>IFERROR(INDEX(Venues!$F$2:$F$10,MATCH(S564,Venues!$A$2:$A$10,0)),"")</f>
        <v/>
      </c>
      <c r="V564" s="43">
        <f>IFERROR(INDEX(Venues!$H$2:$H$10,MATCH(S564,Venues!$A$2:$A$10,0)),"")</f>
        <v/>
      </c>
      <c r="W564" s="15">
        <f>IF('Pilot offer'!$C$24="Yes",'Pilot offer'!$C$3,S564)</f>
        <v/>
      </c>
      <c r="X564" s="42">
        <f>IF('Pilot offer'!$C$24="Yes",'Pilot offer'!$C$5+'Pilot offer'!$C$6,T564)</f>
        <v/>
      </c>
      <c r="Y564" s="15">
        <f>IF('Pilot offer'!$C$24="Yes",'Pilot offer'!$C$8,U564)</f>
        <v/>
      </c>
      <c r="Z564" s="43">
        <f>IF('Pilot offer'!$C$24="Yes",'Pilot offer'!$C$11,"")</f>
        <v/>
      </c>
      <c r="AA564" s="15">
        <f>IF(X564="","",W564&amp;" · "&amp;TEXT(X564,"ddd d mmm, hh:mm")&amp;" · "&amp;Y564&amp;IF(Z564&lt;&gt;""," · £"&amp;TEXT(Z564,"0.00")&amp;" per player"," · price TBC (cost £"&amp;TEXT(V564,"0.00")&amp;" pp)"))</f>
        <v/>
      </c>
      <c r="AD564" s="44" t="n"/>
    </row>
    <row r="565">
      <c r="A565" s="13" t="n">
        <v>563</v>
      </c>
      <c r="B565" s="13" t="inlineStr">
        <is>
          <t>3 · E1 Whitechapel</t>
        </is>
      </c>
      <c r="C565" s="13" t="inlineStr">
        <is>
          <t>Education</t>
        </is>
      </c>
      <c r="D565" s="13" t="inlineStr">
        <is>
          <t>Local businesses</t>
        </is>
      </c>
      <c r="E565" s="13" t="inlineStr">
        <is>
          <t>Thomas Buxton Primary School</t>
        </is>
      </c>
      <c r="F565" s="13" t="inlineStr">
        <is>
          <t>amenity: school</t>
        </is>
      </c>
      <c r="G565" s="13" t="inlineStr">
        <is>
          <t>admin@thomasbuxton.towerhamlets.sch.uk</t>
        </is>
      </c>
      <c r="H565" s="13" t="inlineStr">
        <is>
          <t>general</t>
        </is>
      </c>
      <c r="I565" s="13" t="inlineStr">
        <is>
          <t>+44 20 7247 3816</t>
        </is>
      </c>
      <c r="J565" s="14" t="inlineStr">
        <is>
          <t>https://www.thomasbuxton.towerhamlets.sch.uk/</t>
        </is>
      </c>
      <c r="K565" s="13" t="inlineStr">
        <is>
          <t>Buxton Street, London</t>
        </is>
      </c>
      <c r="L565" s="13" t="inlineStr">
        <is>
          <t>E1 5AR</t>
        </is>
      </c>
      <c r="M565" s="13" t="inlineStr">
        <is>
          <t>Stepney 3G</t>
        </is>
      </c>
      <c r="N565" s="13" t="n">
        <v>20</v>
      </c>
      <c r="O565" s="15">
        <f>IFERROR(INDEX(Venues!$C$2:$C$10,MATCH(M565,Venues!$A$2:$A$10,0)),"Not checked")</f>
        <v/>
      </c>
      <c r="P565" s="15">
        <f>IFERROR(INDEX(Venues!$D$2:$D$10,MATCH(M565,Venues!$A$2:$A$10,0)),0)</f>
        <v/>
      </c>
      <c r="Q565" s="42">
        <f>IFERROR(INDEX(Venues!$E$2:$E$10,MATCH(M565,Venues!$A$2:$A$10,0)),"")</f>
        <v/>
      </c>
      <c r="R565" s="15">
        <f>IF(P565&gt;0,"Yes","No")</f>
        <v/>
      </c>
      <c r="S565" s="13" t="inlineStr">
        <is>
          <t>COLA Shoreditch Park</t>
        </is>
      </c>
      <c r="T565" s="42">
        <f>IFERROR(INDEX(Venues!$E$2:$E$10,MATCH(S565,Venues!$A$2:$A$10,0)),"")</f>
        <v/>
      </c>
      <c r="U565" s="15">
        <f>IFERROR(INDEX(Venues!$F$2:$F$10,MATCH(S565,Venues!$A$2:$A$10,0)),"")</f>
        <v/>
      </c>
      <c r="V565" s="43">
        <f>IFERROR(INDEX(Venues!$H$2:$H$10,MATCH(S565,Venues!$A$2:$A$10,0)),"")</f>
        <v/>
      </c>
      <c r="W565" s="15">
        <f>IF('Pilot offer'!$C$24="Yes",'Pilot offer'!$C$3,S565)</f>
        <v/>
      </c>
      <c r="X565" s="42">
        <f>IF('Pilot offer'!$C$24="Yes",'Pilot offer'!$C$5+'Pilot offer'!$C$6,T565)</f>
        <v/>
      </c>
      <c r="Y565" s="15">
        <f>IF('Pilot offer'!$C$24="Yes",'Pilot offer'!$C$8,U565)</f>
        <v/>
      </c>
      <c r="Z565" s="43">
        <f>IF('Pilot offer'!$C$24="Yes",'Pilot offer'!$C$11,"")</f>
        <v/>
      </c>
      <c r="AA565" s="15">
        <f>IF(X565="","",W565&amp;" · "&amp;TEXT(X565,"ddd d mmm, hh:mm")&amp;" · "&amp;Y565&amp;IF(Z565&lt;&gt;""," · £"&amp;TEXT(Z565,"0.00")&amp;" per player"," · price TBC (cost £"&amp;TEXT(V565,"0.00")&amp;" pp)"))</f>
        <v/>
      </c>
      <c r="AD565" s="44" t="n"/>
    </row>
    <row r="566">
      <c r="A566" s="13" t="n">
        <v>564</v>
      </c>
      <c r="B566" s="13" t="inlineStr">
        <is>
          <t>3 · E1 Whitechapel</t>
        </is>
      </c>
      <c r="C566" s="13" t="inlineStr">
        <is>
          <t>Education</t>
        </is>
      </c>
      <c r="D566" s="13" t="inlineStr">
        <is>
          <t>Local businesses</t>
        </is>
      </c>
      <c r="E566" s="13" t="inlineStr">
        <is>
          <t>St Anne's and Guardian Angels Catholic Primary School</t>
        </is>
      </c>
      <c r="F566" s="13" t="inlineStr">
        <is>
          <t>amenity: school</t>
        </is>
      </c>
      <c r="G566" s="13" t="inlineStr">
        <is>
          <t>office@stannesgaprimary.com</t>
        </is>
      </c>
      <c r="H566" s="13" t="inlineStr">
        <is>
          <t>general</t>
        </is>
      </c>
      <c r="I566" s="13" t="inlineStr">
        <is>
          <t>+44 20 7247 6327</t>
        </is>
      </c>
      <c r="J566" s="14" t="inlineStr">
        <is>
          <t>https://www.stannesgaprimary.com</t>
        </is>
      </c>
      <c r="K566" s="13" t="inlineStr">
        <is>
          <t>Underwood Road, London</t>
        </is>
      </c>
      <c r="L566" s="13" t="inlineStr">
        <is>
          <t>E1 5AW</t>
        </is>
      </c>
      <c r="M566" s="13" t="inlineStr">
        <is>
          <t>Whitechapel</t>
        </is>
      </c>
      <c r="N566" s="13" t="n">
        <v>15</v>
      </c>
      <c r="O566" s="15">
        <f>IFERROR(INDEX(Venues!$C$2:$C$10,MATCH(M566,Venues!$A$2:$A$10,0)),"Not checked")</f>
        <v/>
      </c>
      <c r="P566" s="15">
        <f>IFERROR(INDEX(Venues!$D$2:$D$10,MATCH(M566,Venues!$A$2:$A$10,0)),0)</f>
        <v/>
      </c>
      <c r="Q566" s="42">
        <f>IFERROR(INDEX(Venues!$E$2:$E$10,MATCH(M566,Venues!$A$2:$A$10,0)),"")</f>
        <v/>
      </c>
      <c r="R566" s="15">
        <f>IF(P566&gt;0,"Yes","No")</f>
        <v/>
      </c>
      <c r="S566" s="13" t="inlineStr">
        <is>
          <t>COLA Shoreditch Park</t>
        </is>
      </c>
      <c r="T566" s="42">
        <f>IFERROR(INDEX(Venues!$E$2:$E$10,MATCH(S566,Venues!$A$2:$A$10,0)),"")</f>
        <v/>
      </c>
      <c r="U566" s="15">
        <f>IFERROR(INDEX(Venues!$F$2:$F$10,MATCH(S566,Venues!$A$2:$A$10,0)),"")</f>
        <v/>
      </c>
      <c r="V566" s="43">
        <f>IFERROR(INDEX(Venues!$H$2:$H$10,MATCH(S566,Venues!$A$2:$A$10,0)),"")</f>
        <v/>
      </c>
      <c r="W566" s="15">
        <f>IF('Pilot offer'!$C$24="Yes",'Pilot offer'!$C$3,S566)</f>
        <v/>
      </c>
      <c r="X566" s="42">
        <f>IF('Pilot offer'!$C$24="Yes",'Pilot offer'!$C$5+'Pilot offer'!$C$6,T566)</f>
        <v/>
      </c>
      <c r="Y566" s="15">
        <f>IF('Pilot offer'!$C$24="Yes",'Pilot offer'!$C$8,U566)</f>
        <v/>
      </c>
      <c r="Z566" s="43">
        <f>IF('Pilot offer'!$C$24="Yes",'Pilot offer'!$C$11,"")</f>
        <v/>
      </c>
      <c r="AA566" s="15">
        <f>IF(X566="","",W566&amp;" · "&amp;TEXT(X566,"ddd d mmm, hh:mm")&amp;" · "&amp;Y566&amp;IF(Z566&lt;&gt;""," · £"&amp;TEXT(Z566,"0.00")&amp;" per player"," · price TBC (cost £"&amp;TEXT(V566,"0.00")&amp;" pp)"))</f>
        <v/>
      </c>
      <c r="AD566" s="44" t="n"/>
    </row>
    <row r="567">
      <c r="A567" s="13" t="n">
        <v>565</v>
      </c>
      <c r="B567" s="13" t="inlineStr">
        <is>
          <t>3 · E1 Whitechapel</t>
        </is>
      </c>
      <c r="C567" s="13" t="inlineStr">
        <is>
          <t>Leisure &amp; culture</t>
        </is>
      </c>
      <c r="D567" s="13" t="inlineStr">
        <is>
          <t>Local businesses</t>
        </is>
      </c>
      <c r="E567" s="13" t="inlineStr">
        <is>
          <t>Whitechapel Sports Centre</t>
        </is>
      </c>
      <c r="F567" s="13" t="inlineStr">
        <is>
          <t>leisure: sports centre</t>
        </is>
      </c>
      <c r="G567" s="13" t="inlineStr">
        <is>
          <t>bewell-whitechapel@towerhamlets.gov.uk</t>
        </is>
      </c>
      <c r="H567" s="13" t="inlineStr">
        <is>
          <t>openstreetmap_tag</t>
        </is>
      </c>
      <c r="I567" s="13" t="inlineStr">
        <is>
          <t>+44 20 7364 5100</t>
        </is>
      </c>
      <c r="J567" s="14" t="inlineStr">
        <is>
          <t>https://be-well.org.uk/centres/whitechapel-sports-centre/</t>
        </is>
      </c>
      <c r="K567" s="13" t="inlineStr">
        <is>
          <t>Durward Street 55, London</t>
        </is>
      </c>
      <c r="L567" s="13" t="inlineStr">
        <is>
          <t>E1 5BA</t>
        </is>
      </c>
      <c r="M567" s="13" t="inlineStr">
        <is>
          <t>Stepney 3G</t>
        </is>
      </c>
      <c r="N567" s="13" t="n">
        <v>16</v>
      </c>
      <c r="O567" s="15">
        <f>IFERROR(INDEX(Venues!$C$2:$C$10,MATCH(M567,Venues!$A$2:$A$10,0)),"Not checked")</f>
        <v/>
      </c>
      <c r="P567" s="15">
        <f>IFERROR(INDEX(Venues!$D$2:$D$10,MATCH(M567,Venues!$A$2:$A$10,0)),0)</f>
        <v/>
      </c>
      <c r="Q567" s="42">
        <f>IFERROR(INDEX(Venues!$E$2:$E$10,MATCH(M567,Venues!$A$2:$A$10,0)),"")</f>
        <v/>
      </c>
      <c r="R567" s="15">
        <f>IF(P567&gt;0,"Yes","No")</f>
        <v/>
      </c>
      <c r="S567" s="13" t="inlineStr">
        <is>
          <t>COLA Shoreditch Park</t>
        </is>
      </c>
      <c r="T567" s="42">
        <f>IFERROR(INDEX(Venues!$E$2:$E$10,MATCH(S567,Venues!$A$2:$A$10,0)),"")</f>
        <v/>
      </c>
      <c r="U567" s="15">
        <f>IFERROR(INDEX(Venues!$F$2:$F$10,MATCH(S567,Venues!$A$2:$A$10,0)),"")</f>
        <v/>
      </c>
      <c r="V567" s="43">
        <f>IFERROR(INDEX(Venues!$H$2:$H$10,MATCH(S567,Venues!$A$2:$A$10,0)),"")</f>
        <v/>
      </c>
      <c r="W567" s="15">
        <f>IF('Pilot offer'!$C$24="Yes",'Pilot offer'!$C$3,S567)</f>
        <v/>
      </c>
      <c r="X567" s="42">
        <f>IF('Pilot offer'!$C$24="Yes",'Pilot offer'!$C$5+'Pilot offer'!$C$6,T567)</f>
        <v/>
      </c>
      <c r="Y567" s="15">
        <f>IF('Pilot offer'!$C$24="Yes",'Pilot offer'!$C$8,U567)</f>
        <v/>
      </c>
      <c r="Z567" s="43">
        <f>IF('Pilot offer'!$C$24="Yes",'Pilot offer'!$C$11,"")</f>
        <v/>
      </c>
      <c r="AA567" s="15">
        <f>IF(X567="","",W567&amp;" · "&amp;TEXT(X567,"ddd d mmm, hh:mm")&amp;" · "&amp;Y567&amp;IF(Z567&lt;&gt;""," · £"&amp;TEXT(Z567,"0.00")&amp;" per player"," · price TBC (cost £"&amp;TEXT(V567,"0.00")&amp;" pp)"))</f>
        <v/>
      </c>
      <c r="AD567" s="44" t="n"/>
    </row>
    <row r="568">
      <c r="A568" s="13" t="n">
        <v>566</v>
      </c>
      <c r="B568" s="13" t="inlineStr">
        <is>
          <t>3 · E1 Whitechapel</t>
        </is>
      </c>
      <c r="C568" s="13" t="inlineStr">
        <is>
          <t>Office &amp; professional</t>
        </is>
      </c>
      <c r="D568" s="13" t="inlineStr">
        <is>
          <t>Corporate</t>
        </is>
      </c>
      <c r="E568" s="13" t="inlineStr">
        <is>
          <t>TAJ Accountants: Chartered Management Accountants</t>
        </is>
      </c>
      <c r="F568" s="13" t="inlineStr">
        <is>
          <t>finance</t>
        </is>
      </c>
      <c r="G568" s="13" t="inlineStr">
        <is>
          <t>info@tajaccountants.co.uk</t>
        </is>
      </c>
      <c r="H568" s="13" t="inlineStr">
        <is>
          <t>general</t>
        </is>
      </c>
      <c r="I568" s="13" t="inlineStr">
        <is>
          <t>+44 20 3355 4947</t>
        </is>
      </c>
      <c r="J568" s="14" t="inlineStr">
        <is>
          <t>https://tajaccountants.co.uk/</t>
        </is>
      </c>
      <c r="K568" s="13" t="inlineStr">
        <is>
          <t>69 Vallance Rd, London E1 5BS, UK</t>
        </is>
      </c>
      <c r="L568" s="13" t="inlineStr">
        <is>
          <t>E1 5BS</t>
        </is>
      </c>
      <c r="M568" s="13" t="inlineStr">
        <is>
          <t>Whitechapel</t>
        </is>
      </c>
      <c r="N568" s="13" t="n">
        <v>13</v>
      </c>
      <c r="O568" s="15">
        <f>IFERROR(INDEX(Venues!$C$2:$C$10,MATCH(M568,Venues!$A$2:$A$10,0)),"Not checked")</f>
        <v/>
      </c>
      <c r="P568" s="15">
        <f>IFERROR(INDEX(Venues!$D$2:$D$10,MATCH(M568,Venues!$A$2:$A$10,0)),0)</f>
        <v/>
      </c>
      <c r="Q568" s="42">
        <f>IFERROR(INDEX(Venues!$E$2:$E$10,MATCH(M568,Venues!$A$2:$A$10,0)),"")</f>
        <v/>
      </c>
      <c r="R568" s="15">
        <f>IF(P568&gt;0,"Yes","No")</f>
        <v/>
      </c>
      <c r="S568" s="13" t="inlineStr">
        <is>
          <t>COLA Shoreditch Park</t>
        </is>
      </c>
      <c r="T568" s="42">
        <f>IFERROR(INDEX(Venues!$E$2:$E$10,MATCH(S568,Venues!$A$2:$A$10,0)),"")</f>
        <v/>
      </c>
      <c r="U568" s="15">
        <f>IFERROR(INDEX(Venues!$F$2:$F$10,MATCH(S568,Venues!$A$2:$A$10,0)),"")</f>
        <v/>
      </c>
      <c r="V568" s="43">
        <f>IFERROR(INDEX(Venues!$H$2:$H$10,MATCH(S568,Venues!$A$2:$A$10,0)),"")</f>
        <v/>
      </c>
      <c r="W568" s="15">
        <f>IF('Pilot offer'!$C$24="Yes",'Pilot offer'!$C$3,S568)</f>
        <v/>
      </c>
      <c r="X568" s="42">
        <f>IF('Pilot offer'!$C$24="Yes",'Pilot offer'!$C$5+'Pilot offer'!$C$6,T568)</f>
        <v/>
      </c>
      <c r="Y568" s="15">
        <f>IF('Pilot offer'!$C$24="Yes",'Pilot offer'!$C$8,U568)</f>
        <v/>
      </c>
      <c r="Z568" s="43">
        <f>IF('Pilot offer'!$C$24="Yes",'Pilot offer'!$C$11,"")</f>
        <v/>
      </c>
      <c r="AA568" s="15">
        <f>IF(X568="","",W568&amp;" · "&amp;TEXT(X568,"ddd d mmm, hh:mm")&amp;" · "&amp;Y568&amp;IF(Z568&lt;&gt;""," · £"&amp;TEXT(Z568,"0.00")&amp;" per player"," · price TBC (cost £"&amp;TEXT(V568,"0.00")&amp;" pp)"))</f>
        <v/>
      </c>
      <c r="AD568" s="44" t="n"/>
    </row>
    <row r="569">
      <c r="A569" s="13" t="n">
        <v>567</v>
      </c>
      <c r="B569" s="13" t="inlineStr">
        <is>
          <t>3 · E1 Whitechapel</t>
        </is>
      </c>
      <c r="C569" s="13" t="inlineStr">
        <is>
          <t>Leisure &amp; culture</t>
        </is>
      </c>
      <c r="D569" s="13" t="inlineStr">
        <is>
          <t>Local businesses</t>
        </is>
      </c>
      <c r="E569" s="13" t="inlineStr">
        <is>
          <t>Pedley Street Station</t>
        </is>
      </c>
      <c r="F569" s="13" t="inlineStr">
        <is>
          <t>amenity: theatre</t>
        </is>
      </c>
      <c r="G569" s="13" t="inlineStr">
        <is>
          <t>info@funicularproductions.com</t>
        </is>
      </c>
      <c r="H569" s="13" t="inlineStr">
        <is>
          <t>general</t>
        </is>
      </c>
      <c r="I569" s="13" t="n"/>
      <c r="J569" s="14" t="inlineStr">
        <is>
          <t>https://www.funicularproductions.com/</t>
        </is>
      </c>
      <c r="K569" s="13" t="inlineStr">
        <is>
          <t>Pedley Street, London</t>
        </is>
      </c>
      <c r="L569" s="13" t="inlineStr">
        <is>
          <t>E1 5BW</t>
        </is>
      </c>
      <c r="M569" s="13" t="inlineStr">
        <is>
          <t>Stepney 3G</t>
        </is>
      </c>
      <c r="N569" s="13" t="n">
        <v>19</v>
      </c>
      <c r="O569" s="15">
        <f>IFERROR(INDEX(Venues!$C$2:$C$10,MATCH(M569,Venues!$A$2:$A$10,0)),"Not checked")</f>
        <v/>
      </c>
      <c r="P569" s="15">
        <f>IFERROR(INDEX(Venues!$D$2:$D$10,MATCH(M569,Venues!$A$2:$A$10,0)),0)</f>
        <v/>
      </c>
      <c r="Q569" s="42">
        <f>IFERROR(INDEX(Venues!$E$2:$E$10,MATCH(M569,Venues!$A$2:$A$10,0)),"")</f>
        <v/>
      </c>
      <c r="R569" s="15">
        <f>IF(P569&gt;0,"Yes","No")</f>
        <v/>
      </c>
      <c r="S569" s="13" t="inlineStr">
        <is>
          <t>COLA Shoreditch Park</t>
        </is>
      </c>
      <c r="T569" s="42">
        <f>IFERROR(INDEX(Venues!$E$2:$E$10,MATCH(S569,Venues!$A$2:$A$10,0)),"")</f>
        <v/>
      </c>
      <c r="U569" s="15">
        <f>IFERROR(INDEX(Venues!$F$2:$F$10,MATCH(S569,Venues!$A$2:$A$10,0)),"")</f>
        <v/>
      </c>
      <c r="V569" s="43">
        <f>IFERROR(INDEX(Venues!$H$2:$H$10,MATCH(S569,Venues!$A$2:$A$10,0)),"")</f>
        <v/>
      </c>
      <c r="W569" s="15">
        <f>IF('Pilot offer'!$C$24="Yes",'Pilot offer'!$C$3,S569)</f>
        <v/>
      </c>
      <c r="X569" s="42">
        <f>IF('Pilot offer'!$C$24="Yes",'Pilot offer'!$C$5+'Pilot offer'!$C$6,T569)</f>
        <v/>
      </c>
      <c r="Y569" s="15">
        <f>IF('Pilot offer'!$C$24="Yes",'Pilot offer'!$C$8,U569)</f>
        <v/>
      </c>
      <c r="Z569" s="43">
        <f>IF('Pilot offer'!$C$24="Yes",'Pilot offer'!$C$11,"")</f>
        <v/>
      </c>
      <c r="AA569" s="15">
        <f>IF(X569="","",W569&amp;" · "&amp;TEXT(X569,"ddd d mmm, hh:mm")&amp;" · "&amp;Y569&amp;IF(Z569&lt;&gt;""," · £"&amp;TEXT(Z569,"0.00")&amp;" per player"," · price TBC (cost £"&amp;TEXT(V569,"0.00")&amp;" pp)"))</f>
        <v/>
      </c>
      <c r="AD569" s="44" t="n"/>
    </row>
    <row r="570">
      <c r="A570" s="13" t="n">
        <v>568</v>
      </c>
      <c r="B570" s="13" t="inlineStr">
        <is>
          <t>3 · E1 Whitechapel</t>
        </is>
      </c>
      <c r="C570" s="13" t="inlineStr">
        <is>
          <t>Education</t>
        </is>
      </c>
      <c r="D570" s="13" t="inlineStr">
        <is>
          <t>Local businesses</t>
        </is>
      </c>
      <c r="E570" s="13" t="inlineStr">
        <is>
          <t>Swanlea School</t>
        </is>
      </c>
      <c r="F570" s="13" t="inlineStr">
        <is>
          <t>amenity: school</t>
        </is>
      </c>
      <c r="G570" s="13" t="inlineStr">
        <is>
          <t>officeadmin@swanlea.co.uk</t>
        </is>
      </c>
      <c r="H570" s="13" t="inlineStr">
        <is>
          <t>person_or_other</t>
        </is>
      </c>
      <c r="I570" s="13" t="inlineStr">
        <is>
          <t>+44 20 7375 3267</t>
        </is>
      </c>
      <c r="J570" s="14" t="inlineStr">
        <is>
          <t>https://www.swanlea.co.uk/</t>
        </is>
      </c>
      <c r="K570" s="13" t="inlineStr">
        <is>
          <t>Brady Street 31, London</t>
        </is>
      </c>
      <c r="L570" s="13" t="inlineStr">
        <is>
          <t>E1 5DJ</t>
        </is>
      </c>
      <c r="M570" s="13" t="inlineStr">
        <is>
          <t>Stepney 3G</t>
        </is>
      </c>
      <c r="N570" s="13" t="n">
        <v>14</v>
      </c>
      <c r="O570" s="15">
        <f>IFERROR(INDEX(Venues!$C$2:$C$10,MATCH(M570,Venues!$A$2:$A$10,0)),"Not checked")</f>
        <v/>
      </c>
      <c r="P570" s="15">
        <f>IFERROR(INDEX(Venues!$D$2:$D$10,MATCH(M570,Venues!$A$2:$A$10,0)),0)</f>
        <v/>
      </c>
      <c r="Q570" s="42">
        <f>IFERROR(INDEX(Venues!$E$2:$E$10,MATCH(M570,Venues!$A$2:$A$10,0)),"")</f>
        <v/>
      </c>
      <c r="R570" s="15">
        <f>IF(P570&gt;0,"Yes","No")</f>
        <v/>
      </c>
      <c r="S570" s="13" t="inlineStr">
        <is>
          <t>COLA Shoreditch Park</t>
        </is>
      </c>
      <c r="T570" s="42">
        <f>IFERROR(INDEX(Venues!$E$2:$E$10,MATCH(S570,Venues!$A$2:$A$10,0)),"")</f>
        <v/>
      </c>
      <c r="U570" s="15">
        <f>IFERROR(INDEX(Venues!$F$2:$F$10,MATCH(S570,Venues!$A$2:$A$10,0)),"")</f>
        <v/>
      </c>
      <c r="V570" s="43">
        <f>IFERROR(INDEX(Venues!$H$2:$H$10,MATCH(S570,Venues!$A$2:$A$10,0)),"")</f>
        <v/>
      </c>
      <c r="W570" s="15">
        <f>IF('Pilot offer'!$C$24="Yes",'Pilot offer'!$C$3,S570)</f>
        <v/>
      </c>
      <c r="X570" s="42">
        <f>IF('Pilot offer'!$C$24="Yes",'Pilot offer'!$C$5+'Pilot offer'!$C$6,T570)</f>
        <v/>
      </c>
      <c r="Y570" s="15">
        <f>IF('Pilot offer'!$C$24="Yes",'Pilot offer'!$C$8,U570)</f>
        <v/>
      </c>
      <c r="Z570" s="43">
        <f>IF('Pilot offer'!$C$24="Yes",'Pilot offer'!$C$11,"")</f>
        <v/>
      </c>
      <c r="AA570" s="15">
        <f>IF(X570="","",W570&amp;" · "&amp;TEXT(X570,"ddd d mmm, hh:mm")&amp;" · "&amp;Y570&amp;IF(Z570&lt;&gt;""," · £"&amp;TEXT(Z570,"0.00")&amp;" per player"," · price TBC (cost £"&amp;TEXT(V570,"0.00")&amp;" pp)"))</f>
        <v/>
      </c>
      <c r="AD570" s="44" t="n"/>
    </row>
    <row r="571">
      <c r="A571" s="13" t="n">
        <v>569</v>
      </c>
      <c r="B571" s="13" t="inlineStr">
        <is>
          <t>3 · E1 Whitechapel</t>
        </is>
      </c>
      <c r="C571" s="13" t="inlineStr">
        <is>
          <t>Office &amp; professional</t>
        </is>
      </c>
      <c r="D571" s="13" t="inlineStr">
        <is>
          <t>Corporate</t>
        </is>
      </c>
      <c r="E571" s="13" t="inlineStr">
        <is>
          <t>NiS Accountants, Tax &amp; Business Advisers</t>
        </is>
      </c>
      <c r="F571" s="13" t="inlineStr">
        <is>
          <t>finance</t>
        </is>
      </c>
      <c r="G571" s="13" t="inlineStr">
        <is>
          <t>info@nisaccountants.com</t>
        </is>
      </c>
      <c r="H571" s="13" t="inlineStr">
        <is>
          <t>general</t>
        </is>
      </c>
      <c r="I571" s="13" t="inlineStr">
        <is>
          <t>+44 844 357 0587</t>
        </is>
      </c>
      <c r="J571" s="14" t="inlineStr">
        <is>
          <t>http://www.nisaccountants.com/</t>
        </is>
      </c>
      <c r="K571" s="13" t="inlineStr">
        <is>
          <t>2nd floor, 12 Vallance Rd, London E1 5HR, UK</t>
        </is>
      </c>
      <c r="L571" s="13" t="inlineStr">
        <is>
          <t>E1 5HR</t>
        </is>
      </c>
      <c r="M571" s="13" t="inlineStr">
        <is>
          <t>Whitechapel</t>
        </is>
      </c>
      <c r="N571" s="13" t="n">
        <v>9</v>
      </c>
      <c r="O571" s="15">
        <f>IFERROR(INDEX(Venues!$C$2:$C$10,MATCH(M571,Venues!$A$2:$A$10,0)),"Not checked")</f>
        <v/>
      </c>
      <c r="P571" s="15">
        <f>IFERROR(INDEX(Venues!$D$2:$D$10,MATCH(M571,Venues!$A$2:$A$10,0)),0)</f>
        <v/>
      </c>
      <c r="Q571" s="42">
        <f>IFERROR(INDEX(Venues!$E$2:$E$10,MATCH(M571,Venues!$A$2:$A$10,0)),"")</f>
        <v/>
      </c>
      <c r="R571" s="15">
        <f>IF(P571&gt;0,"Yes","No")</f>
        <v/>
      </c>
      <c r="S571" s="13" t="inlineStr">
        <is>
          <t>COLA Shoreditch Park</t>
        </is>
      </c>
      <c r="T571" s="42">
        <f>IFERROR(INDEX(Venues!$E$2:$E$10,MATCH(S571,Venues!$A$2:$A$10,0)),"")</f>
        <v/>
      </c>
      <c r="U571" s="15">
        <f>IFERROR(INDEX(Venues!$F$2:$F$10,MATCH(S571,Venues!$A$2:$A$10,0)),"")</f>
        <v/>
      </c>
      <c r="V571" s="43">
        <f>IFERROR(INDEX(Venues!$H$2:$H$10,MATCH(S571,Venues!$A$2:$A$10,0)),"")</f>
        <v/>
      </c>
      <c r="W571" s="15">
        <f>IF('Pilot offer'!$C$24="Yes",'Pilot offer'!$C$3,S571)</f>
        <v/>
      </c>
      <c r="X571" s="42">
        <f>IF('Pilot offer'!$C$24="Yes",'Pilot offer'!$C$5+'Pilot offer'!$C$6,T571)</f>
        <v/>
      </c>
      <c r="Y571" s="15">
        <f>IF('Pilot offer'!$C$24="Yes",'Pilot offer'!$C$8,U571)</f>
        <v/>
      </c>
      <c r="Z571" s="43">
        <f>IF('Pilot offer'!$C$24="Yes",'Pilot offer'!$C$11,"")</f>
        <v/>
      </c>
      <c r="AA571" s="15">
        <f>IF(X571="","",W571&amp;" · "&amp;TEXT(X571,"ddd d mmm, hh:mm")&amp;" · "&amp;Y571&amp;IF(Z571&lt;&gt;""," · £"&amp;TEXT(Z571,"0.00")&amp;" per player"," · price TBC (cost £"&amp;TEXT(V571,"0.00")&amp;" pp)"))</f>
        <v/>
      </c>
      <c r="AD571" s="44" t="n"/>
    </row>
    <row r="572">
      <c r="A572" s="13" t="n">
        <v>570</v>
      </c>
      <c r="B572" s="13" t="inlineStr">
        <is>
          <t>3 · E1 Whitechapel</t>
        </is>
      </c>
      <c r="C572" s="13" t="inlineStr">
        <is>
          <t>Office &amp; professional</t>
        </is>
      </c>
      <c r="D572" s="13" t="inlineStr">
        <is>
          <t>Corporate</t>
        </is>
      </c>
      <c r="E572" s="13" t="inlineStr">
        <is>
          <t>T&amp;T Consultancy London Ltd</t>
        </is>
      </c>
      <c r="F572" s="13" t="inlineStr">
        <is>
          <t>consultant</t>
        </is>
      </c>
      <c r="G572" s="13" t="inlineStr">
        <is>
          <t>info@ttlondon.co.uk</t>
        </is>
      </c>
      <c r="H572" s="13" t="inlineStr">
        <is>
          <t>general</t>
        </is>
      </c>
      <c r="I572" s="13" t="inlineStr">
        <is>
          <t>+44 20 7247 4500</t>
        </is>
      </c>
      <c r="J572" s="14" t="inlineStr">
        <is>
          <t>http://www.ttlondon.co.uk/</t>
        </is>
      </c>
      <c r="K572" s="13" t="inlineStr">
        <is>
          <t>Unit 2 (Second, Floor) ,12, 14 Vallance Rd, London E1 5HR, UK</t>
        </is>
      </c>
      <c r="L572" s="13" t="inlineStr">
        <is>
          <t>E1 5HR</t>
        </is>
      </c>
      <c r="M572" s="13" t="inlineStr">
        <is>
          <t>Whitechapel</t>
        </is>
      </c>
      <c r="N572" s="13" t="n">
        <v>9</v>
      </c>
      <c r="O572" s="15">
        <f>IFERROR(INDEX(Venues!$C$2:$C$10,MATCH(M572,Venues!$A$2:$A$10,0)),"Not checked")</f>
        <v/>
      </c>
      <c r="P572" s="15">
        <f>IFERROR(INDEX(Venues!$D$2:$D$10,MATCH(M572,Venues!$A$2:$A$10,0)),0)</f>
        <v/>
      </c>
      <c r="Q572" s="42">
        <f>IFERROR(INDEX(Venues!$E$2:$E$10,MATCH(M572,Venues!$A$2:$A$10,0)),"")</f>
        <v/>
      </c>
      <c r="R572" s="15">
        <f>IF(P572&gt;0,"Yes","No")</f>
        <v/>
      </c>
      <c r="S572" s="13" t="inlineStr">
        <is>
          <t>COLA Shoreditch Park</t>
        </is>
      </c>
      <c r="T572" s="42">
        <f>IFERROR(INDEX(Venues!$E$2:$E$10,MATCH(S572,Venues!$A$2:$A$10,0)),"")</f>
        <v/>
      </c>
      <c r="U572" s="15">
        <f>IFERROR(INDEX(Venues!$F$2:$F$10,MATCH(S572,Venues!$A$2:$A$10,0)),"")</f>
        <v/>
      </c>
      <c r="V572" s="43">
        <f>IFERROR(INDEX(Venues!$H$2:$H$10,MATCH(S572,Venues!$A$2:$A$10,0)),"")</f>
        <v/>
      </c>
      <c r="W572" s="15">
        <f>IF('Pilot offer'!$C$24="Yes",'Pilot offer'!$C$3,S572)</f>
        <v/>
      </c>
      <c r="X572" s="42">
        <f>IF('Pilot offer'!$C$24="Yes",'Pilot offer'!$C$5+'Pilot offer'!$C$6,T572)</f>
        <v/>
      </c>
      <c r="Y572" s="15">
        <f>IF('Pilot offer'!$C$24="Yes",'Pilot offer'!$C$8,U572)</f>
        <v/>
      </c>
      <c r="Z572" s="43">
        <f>IF('Pilot offer'!$C$24="Yes",'Pilot offer'!$C$11,"")</f>
        <v/>
      </c>
      <c r="AA572" s="15">
        <f>IF(X572="","",W572&amp;" · "&amp;TEXT(X572,"ddd d mmm, hh:mm")&amp;" · "&amp;Y572&amp;IF(Z572&lt;&gt;""," · £"&amp;TEXT(Z572,"0.00")&amp;" per player"," · price TBC (cost £"&amp;TEXT(V572,"0.00")&amp;" pp)"))</f>
        <v/>
      </c>
      <c r="AD572" s="44" t="n"/>
    </row>
    <row r="573">
      <c r="A573" s="13" t="n">
        <v>571</v>
      </c>
      <c r="B573" s="13" t="inlineStr">
        <is>
          <t>3 · E1 Whitechapel</t>
        </is>
      </c>
      <c r="C573" s="13" t="inlineStr">
        <is>
          <t>Leisure &amp; culture</t>
        </is>
      </c>
      <c r="D573" s="13" t="inlineStr">
        <is>
          <t>Local businesses</t>
        </is>
      </c>
      <c r="E573" s="13" t="inlineStr">
        <is>
          <t>Start The Dance</t>
        </is>
      </c>
      <c r="F573" s="13" t="inlineStr">
        <is>
          <t>leisure: dance</t>
        </is>
      </c>
      <c r="G573" s="13" t="inlineStr">
        <is>
          <t>hello@startthedance.co.uk</t>
        </is>
      </c>
      <c r="H573" s="13" t="inlineStr">
        <is>
          <t>general</t>
        </is>
      </c>
      <c r="I573" s="13" t="inlineStr">
        <is>
          <t>+44 20 7183 0717</t>
        </is>
      </c>
      <c r="J573" s="14" t="inlineStr">
        <is>
          <t>https://www.startthedance.co.uk/</t>
        </is>
      </c>
      <c r="K573" s="13" t="inlineStr">
        <is>
          <t>Coverley Close, London</t>
        </is>
      </c>
      <c r="L573" s="13" t="inlineStr">
        <is>
          <t>E1 5HY</t>
        </is>
      </c>
      <c r="M573" s="13" t="inlineStr">
        <is>
          <t>Whitechapel</t>
        </is>
      </c>
      <c r="N573" s="13" t="n">
        <v>12</v>
      </c>
      <c r="O573" s="15">
        <f>IFERROR(INDEX(Venues!$C$2:$C$10,MATCH(M573,Venues!$A$2:$A$10,0)),"Not checked")</f>
        <v/>
      </c>
      <c r="P573" s="15">
        <f>IFERROR(INDEX(Venues!$D$2:$D$10,MATCH(M573,Venues!$A$2:$A$10,0)),0)</f>
        <v/>
      </c>
      <c r="Q573" s="42">
        <f>IFERROR(INDEX(Venues!$E$2:$E$10,MATCH(M573,Venues!$A$2:$A$10,0)),"")</f>
        <v/>
      </c>
      <c r="R573" s="15">
        <f>IF(P573&gt;0,"Yes","No")</f>
        <v/>
      </c>
      <c r="S573" s="13" t="inlineStr">
        <is>
          <t>COLA Shoreditch Park</t>
        </is>
      </c>
      <c r="T573" s="42">
        <f>IFERROR(INDEX(Venues!$E$2:$E$10,MATCH(S573,Venues!$A$2:$A$10,0)),"")</f>
        <v/>
      </c>
      <c r="U573" s="15">
        <f>IFERROR(INDEX(Venues!$F$2:$F$10,MATCH(S573,Venues!$A$2:$A$10,0)),"")</f>
        <v/>
      </c>
      <c r="V573" s="43">
        <f>IFERROR(INDEX(Venues!$H$2:$H$10,MATCH(S573,Venues!$A$2:$A$10,0)),"")</f>
        <v/>
      </c>
      <c r="W573" s="15">
        <f>IF('Pilot offer'!$C$24="Yes",'Pilot offer'!$C$3,S573)</f>
        <v/>
      </c>
      <c r="X573" s="42">
        <f>IF('Pilot offer'!$C$24="Yes",'Pilot offer'!$C$5+'Pilot offer'!$C$6,T573)</f>
        <v/>
      </c>
      <c r="Y573" s="15">
        <f>IF('Pilot offer'!$C$24="Yes",'Pilot offer'!$C$8,U573)</f>
        <v/>
      </c>
      <c r="Z573" s="43">
        <f>IF('Pilot offer'!$C$24="Yes",'Pilot offer'!$C$11,"")</f>
        <v/>
      </c>
      <c r="AA573" s="15">
        <f>IF(X573="","",W573&amp;" · "&amp;TEXT(X573,"ddd d mmm, hh:mm")&amp;" · "&amp;Y573&amp;IF(Z573&lt;&gt;""," · £"&amp;TEXT(Z573,"0.00")&amp;" per player"," · price TBC (cost £"&amp;TEXT(V573,"0.00")&amp;" pp)"))</f>
        <v/>
      </c>
      <c r="AD573" s="44" t="n"/>
    </row>
    <row r="574">
      <c r="A574" s="13" t="n">
        <v>572</v>
      </c>
      <c r="B574" s="13" t="inlineStr">
        <is>
          <t>3 · E1 Whitechapel</t>
        </is>
      </c>
      <c r="C574" s="13" t="inlineStr">
        <is>
          <t>Office &amp; professional</t>
        </is>
      </c>
      <c r="D574" s="13" t="inlineStr">
        <is>
          <t>Corporate</t>
        </is>
      </c>
      <c r="E574" s="13" t="inlineStr">
        <is>
          <t>Turn Up Marketing Agency</t>
        </is>
      </c>
      <c r="F574" s="13" t="inlineStr">
        <is>
          <t>corporate_office</t>
        </is>
      </c>
      <c r="G574" s="13" t="inlineStr">
        <is>
          <t>info@turnupagency.com</t>
        </is>
      </c>
      <c r="H574" s="13" t="inlineStr">
        <is>
          <t>general</t>
        </is>
      </c>
      <c r="I574" s="13" t="inlineStr">
        <is>
          <t>+44 7933 888352</t>
        </is>
      </c>
      <c r="J574" s="14" t="inlineStr">
        <is>
          <t>http://www.turnupagency.com/</t>
        </is>
      </c>
      <c r="K574" s="13" t="inlineStr">
        <is>
          <t>7 Spring Walk, London E1 5JA, UK</t>
        </is>
      </c>
      <c r="L574" s="13" t="inlineStr">
        <is>
          <t>E1 5JA</t>
        </is>
      </c>
      <c r="M574" s="13" t="inlineStr">
        <is>
          <t>Whitechapel</t>
        </is>
      </c>
      <c r="N574" s="13" t="n">
        <v>11</v>
      </c>
      <c r="O574" s="15">
        <f>IFERROR(INDEX(Venues!$C$2:$C$10,MATCH(M574,Venues!$A$2:$A$10,0)),"Not checked")</f>
        <v/>
      </c>
      <c r="P574" s="15">
        <f>IFERROR(INDEX(Venues!$D$2:$D$10,MATCH(M574,Venues!$A$2:$A$10,0)),0)</f>
        <v/>
      </c>
      <c r="Q574" s="42">
        <f>IFERROR(INDEX(Venues!$E$2:$E$10,MATCH(M574,Venues!$A$2:$A$10,0)),"")</f>
        <v/>
      </c>
      <c r="R574" s="15">
        <f>IF(P574&gt;0,"Yes","No")</f>
        <v/>
      </c>
      <c r="S574" s="13" t="inlineStr">
        <is>
          <t>COLA Shoreditch Park</t>
        </is>
      </c>
      <c r="T574" s="42">
        <f>IFERROR(INDEX(Venues!$E$2:$E$10,MATCH(S574,Venues!$A$2:$A$10,0)),"")</f>
        <v/>
      </c>
      <c r="U574" s="15">
        <f>IFERROR(INDEX(Venues!$F$2:$F$10,MATCH(S574,Venues!$A$2:$A$10,0)),"")</f>
        <v/>
      </c>
      <c r="V574" s="43">
        <f>IFERROR(INDEX(Venues!$H$2:$H$10,MATCH(S574,Venues!$A$2:$A$10,0)),"")</f>
        <v/>
      </c>
      <c r="W574" s="15">
        <f>IF('Pilot offer'!$C$24="Yes",'Pilot offer'!$C$3,S574)</f>
        <v/>
      </c>
      <c r="X574" s="42">
        <f>IF('Pilot offer'!$C$24="Yes",'Pilot offer'!$C$5+'Pilot offer'!$C$6,T574)</f>
        <v/>
      </c>
      <c r="Y574" s="15">
        <f>IF('Pilot offer'!$C$24="Yes",'Pilot offer'!$C$8,U574)</f>
        <v/>
      </c>
      <c r="Z574" s="43">
        <f>IF('Pilot offer'!$C$24="Yes",'Pilot offer'!$C$11,"")</f>
        <v/>
      </c>
      <c r="AA574" s="15">
        <f>IF(X574="","",W574&amp;" · "&amp;TEXT(X574,"ddd d mmm, hh:mm")&amp;" · "&amp;Y574&amp;IF(Z574&lt;&gt;""," · £"&amp;TEXT(Z574,"0.00")&amp;" per player"," · price TBC (cost £"&amp;TEXT(V574,"0.00")&amp;" pp)"))</f>
        <v/>
      </c>
      <c r="AD574" s="44" t="n"/>
    </row>
    <row r="575">
      <c r="A575" s="13" t="n">
        <v>573</v>
      </c>
      <c r="B575" s="13" t="inlineStr">
        <is>
          <t>3 · E1 Whitechapel</t>
        </is>
      </c>
      <c r="C575" s="13" t="inlineStr">
        <is>
          <t>Hospitality</t>
        </is>
      </c>
      <c r="D575" s="13" t="inlineStr">
        <is>
          <t>Local businesses</t>
        </is>
      </c>
      <c r="E575" s="13" t="inlineStr">
        <is>
          <t>Doppio</t>
        </is>
      </c>
      <c r="F575" s="13" t="inlineStr">
        <is>
          <t>amenity: cafe</t>
        </is>
      </c>
      <c r="G575" s="13" t="inlineStr">
        <is>
          <t>info@doppiocoffee.co.uk</t>
        </is>
      </c>
      <c r="H575" s="13" t="inlineStr">
        <is>
          <t>general</t>
        </is>
      </c>
      <c r="I575" s="13" t="inlineStr">
        <is>
          <t>+44 20 7247 7838</t>
        </is>
      </c>
      <c r="J575" s="14" t="inlineStr">
        <is>
          <t>https://doppiocoffee.co.uk/</t>
        </is>
      </c>
      <c r="K575" s="13" t="inlineStr">
        <is>
          <t>Hanbury Street 90, London</t>
        </is>
      </c>
      <c r="L575" s="13" t="inlineStr">
        <is>
          <t>E1 5JL</t>
        </is>
      </c>
      <c r="M575" s="13" t="inlineStr">
        <is>
          <t>Whitechapel</t>
        </is>
      </c>
      <c r="N575" s="13" t="n">
        <v>15</v>
      </c>
      <c r="O575" s="15">
        <f>IFERROR(INDEX(Venues!$C$2:$C$10,MATCH(M575,Venues!$A$2:$A$10,0)),"Not checked")</f>
        <v/>
      </c>
      <c r="P575" s="15">
        <f>IFERROR(INDEX(Venues!$D$2:$D$10,MATCH(M575,Venues!$A$2:$A$10,0)),0)</f>
        <v/>
      </c>
      <c r="Q575" s="42">
        <f>IFERROR(INDEX(Venues!$E$2:$E$10,MATCH(M575,Venues!$A$2:$A$10,0)),"")</f>
        <v/>
      </c>
      <c r="R575" s="15">
        <f>IF(P575&gt;0,"Yes","No")</f>
        <v/>
      </c>
      <c r="S575" s="13" t="inlineStr">
        <is>
          <t>COLA Shoreditch Park</t>
        </is>
      </c>
      <c r="T575" s="42">
        <f>IFERROR(INDEX(Venues!$E$2:$E$10,MATCH(S575,Venues!$A$2:$A$10,0)),"")</f>
        <v/>
      </c>
      <c r="U575" s="15">
        <f>IFERROR(INDEX(Venues!$F$2:$F$10,MATCH(S575,Venues!$A$2:$A$10,0)),"")</f>
        <v/>
      </c>
      <c r="V575" s="43">
        <f>IFERROR(INDEX(Venues!$H$2:$H$10,MATCH(S575,Venues!$A$2:$A$10,0)),"")</f>
        <v/>
      </c>
      <c r="W575" s="15">
        <f>IF('Pilot offer'!$C$24="Yes",'Pilot offer'!$C$3,S575)</f>
        <v/>
      </c>
      <c r="X575" s="42">
        <f>IF('Pilot offer'!$C$24="Yes",'Pilot offer'!$C$5+'Pilot offer'!$C$6,T575)</f>
        <v/>
      </c>
      <c r="Y575" s="15">
        <f>IF('Pilot offer'!$C$24="Yes",'Pilot offer'!$C$8,U575)</f>
        <v/>
      </c>
      <c r="Z575" s="43">
        <f>IF('Pilot offer'!$C$24="Yes",'Pilot offer'!$C$11,"")</f>
        <v/>
      </c>
      <c r="AA575" s="15">
        <f>IF(X575="","",W575&amp;" · "&amp;TEXT(X575,"ddd d mmm, hh:mm")&amp;" · "&amp;Y575&amp;IF(Z575&lt;&gt;""," · £"&amp;TEXT(Z575,"0.00")&amp;" per player"," · price TBC (cost £"&amp;TEXT(V575,"0.00")&amp;" pp)"))</f>
        <v/>
      </c>
      <c r="AD575" s="44" t="n"/>
    </row>
    <row r="576">
      <c r="A576" s="13" t="n">
        <v>574</v>
      </c>
      <c r="B576" s="13" t="inlineStr">
        <is>
          <t>3 · E1 Whitechapel</t>
        </is>
      </c>
      <c r="C576" s="13" t="inlineStr">
        <is>
          <t>Office &amp; professional</t>
        </is>
      </c>
      <c r="D576" s="13" t="inlineStr">
        <is>
          <t>Corporate</t>
        </is>
      </c>
      <c r="E576" s="13" t="inlineStr">
        <is>
          <t>Influence Digital</t>
        </is>
      </c>
      <c r="F576" s="13" t="inlineStr">
        <is>
          <t>service</t>
        </is>
      </c>
      <c r="G576" s="13" t="inlineStr">
        <is>
          <t>info@influence.digital</t>
        </is>
      </c>
      <c r="H576" s="13" t="inlineStr">
        <is>
          <t>general</t>
        </is>
      </c>
      <c r="I576" s="13" t="inlineStr">
        <is>
          <t>+44 20 7034 2669</t>
        </is>
      </c>
      <c r="J576" s="14" t="inlineStr">
        <is>
          <t>https://influence.digital/</t>
        </is>
      </c>
      <c r="K576" s="13" t="inlineStr">
        <is>
          <t>Second Home Spitalfields, 68 Hanbury St, London E1 5JL, UK</t>
        </is>
      </c>
      <c r="L576" s="13" t="inlineStr">
        <is>
          <t>E1 5JL</t>
        </is>
      </c>
      <c r="M576" s="13" t="inlineStr">
        <is>
          <t>Whitechapel</t>
        </is>
      </c>
      <c r="N576" s="13" t="n">
        <v>16</v>
      </c>
      <c r="O576" s="15">
        <f>IFERROR(INDEX(Venues!$C$2:$C$10,MATCH(M576,Venues!$A$2:$A$10,0)),"Not checked")</f>
        <v/>
      </c>
      <c r="P576" s="15">
        <f>IFERROR(INDEX(Venues!$D$2:$D$10,MATCH(M576,Venues!$A$2:$A$10,0)),0)</f>
        <v/>
      </c>
      <c r="Q576" s="42">
        <f>IFERROR(INDEX(Venues!$E$2:$E$10,MATCH(M576,Venues!$A$2:$A$10,0)),"")</f>
        <v/>
      </c>
      <c r="R576" s="15">
        <f>IF(P576&gt;0,"Yes","No")</f>
        <v/>
      </c>
      <c r="S576" s="13" t="inlineStr">
        <is>
          <t>COLA Shoreditch Park</t>
        </is>
      </c>
      <c r="T576" s="42">
        <f>IFERROR(INDEX(Venues!$E$2:$E$10,MATCH(S576,Venues!$A$2:$A$10,0)),"")</f>
        <v/>
      </c>
      <c r="U576" s="15">
        <f>IFERROR(INDEX(Venues!$F$2:$F$10,MATCH(S576,Venues!$A$2:$A$10,0)),"")</f>
        <v/>
      </c>
      <c r="V576" s="43">
        <f>IFERROR(INDEX(Venues!$H$2:$H$10,MATCH(S576,Venues!$A$2:$A$10,0)),"")</f>
        <v/>
      </c>
      <c r="W576" s="15">
        <f>IF('Pilot offer'!$C$24="Yes",'Pilot offer'!$C$3,S576)</f>
        <v/>
      </c>
      <c r="X576" s="42">
        <f>IF('Pilot offer'!$C$24="Yes",'Pilot offer'!$C$5+'Pilot offer'!$C$6,T576)</f>
        <v/>
      </c>
      <c r="Y576" s="15">
        <f>IF('Pilot offer'!$C$24="Yes",'Pilot offer'!$C$8,U576)</f>
        <v/>
      </c>
      <c r="Z576" s="43">
        <f>IF('Pilot offer'!$C$24="Yes",'Pilot offer'!$C$11,"")</f>
        <v/>
      </c>
      <c r="AA576" s="15">
        <f>IF(X576="","",W576&amp;" · "&amp;TEXT(X576,"ddd d mmm, hh:mm")&amp;" · "&amp;Y576&amp;IF(Z576&lt;&gt;""," · £"&amp;TEXT(Z576,"0.00")&amp;" per player"," · price TBC (cost £"&amp;TEXT(V576,"0.00")&amp;" pp)"))</f>
        <v/>
      </c>
      <c r="AD576" s="44" t="n"/>
    </row>
    <row r="577">
      <c r="A577" s="13" t="n">
        <v>575</v>
      </c>
      <c r="B577" s="13" t="inlineStr">
        <is>
          <t>3 · E1 Whitechapel</t>
        </is>
      </c>
      <c r="C577" s="13" t="inlineStr">
        <is>
          <t>Retail</t>
        </is>
      </c>
      <c r="D577" s="13" t="inlineStr">
        <is>
          <t>Local businesses</t>
        </is>
      </c>
      <c r="E577" s="13" t="inlineStr">
        <is>
          <t>Librería</t>
        </is>
      </c>
      <c r="F577" s="13" t="inlineStr">
        <is>
          <t>shop: books</t>
        </is>
      </c>
      <c r="G577" s="13" t="inlineStr">
        <is>
          <t>hello@libreria.io</t>
        </is>
      </c>
      <c r="H577" s="13" t="inlineStr">
        <is>
          <t>openstreetmap_tag</t>
        </is>
      </c>
      <c r="I577" s="13" t="n"/>
      <c r="J577" s="14" t="inlineStr">
        <is>
          <t>https://libreria.io/</t>
        </is>
      </c>
      <c r="K577" s="13" t="inlineStr">
        <is>
          <t>Hanbury Street 65, London</t>
        </is>
      </c>
      <c r="L577" s="13" t="inlineStr">
        <is>
          <t>E1 5JP</t>
        </is>
      </c>
      <c r="M577" s="13" t="inlineStr">
        <is>
          <t>Whitechapel</t>
        </is>
      </c>
      <c r="N577" s="13" t="n">
        <v>16</v>
      </c>
      <c r="O577" s="15">
        <f>IFERROR(INDEX(Venues!$C$2:$C$10,MATCH(M577,Venues!$A$2:$A$10,0)),"Not checked")</f>
        <v/>
      </c>
      <c r="P577" s="15">
        <f>IFERROR(INDEX(Venues!$D$2:$D$10,MATCH(M577,Venues!$A$2:$A$10,0)),0)</f>
        <v/>
      </c>
      <c r="Q577" s="42">
        <f>IFERROR(INDEX(Venues!$E$2:$E$10,MATCH(M577,Venues!$A$2:$A$10,0)),"")</f>
        <v/>
      </c>
      <c r="R577" s="15">
        <f>IF(P577&gt;0,"Yes","No")</f>
        <v/>
      </c>
      <c r="S577" s="13" t="inlineStr">
        <is>
          <t>COLA Shoreditch Park</t>
        </is>
      </c>
      <c r="T577" s="42">
        <f>IFERROR(INDEX(Venues!$E$2:$E$10,MATCH(S577,Venues!$A$2:$A$10,0)),"")</f>
        <v/>
      </c>
      <c r="U577" s="15">
        <f>IFERROR(INDEX(Venues!$F$2:$F$10,MATCH(S577,Venues!$A$2:$A$10,0)),"")</f>
        <v/>
      </c>
      <c r="V577" s="43">
        <f>IFERROR(INDEX(Venues!$H$2:$H$10,MATCH(S577,Venues!$A$2:$A$10,0)),"")</f>
        <v/>
      </c>
      <c r="W577" s="15">
        <f>IF('Pilot offer'!$C$24="Yes",'Pilot offer'!$C$3,S577)</f>
        <v/>
      </c>
      <c r="X577" s="42">
        <f>IF('Pilot offer'!$C$24="Yes",'Pilot offer'!$C$5+'Pilot offer'!$C$6,T577)</f>
        <v/>
      </c>
      <c r="Y577" s="15">
        <f>IF('Pilot offer'!$C$24="Yes",'Pilot offer'!$C$8,U577)</f>
        <v/>
      </c>
      <c r="Z577" s="43">
        <f>IF('Pilot offer'!$C$24="Yes",'Pilot offer'!$C$11,"")</f>
        <v/>
      </c>
      <c r="AA577" s="15">
        <f>IF(X577="","",W577&amp;" · "&amp;TEXT(X577,"ddd d mmm, hh:mm")&amp;" · "&amp;Y577&amp;IF(Z577&lt;&gt;""," · £"&amp;TEXT(Z577,"0.00")&amp;" per player"," · price TBC (cost £"&amp;TEXT(V577,"0.00")&amp;" pp)"))</f>
        <v/>
      </c>
      <c r="AD577" s="44" t="n"/>
    </row>
    <row r="578">
      <c r="A578" s="13" t="n">
        <v>576</v>
      </c>
      <c r="B578" s="13" t="inlineStr">
        <is>
          <t>3 · E1 Whitechapel</t>
        </is>
      </c>
      <c r="C578" s="13" t="inlineStr">
        <is>
          <t>Office &amp; professional</t>
        </is>
      </c>
      <c r="D578" s="13" t="inlineStr">
        <is>
          <t>Corporate</t>
        </is>
      </c>
      <c r="E578" s="13" t="inlineStr">
        <is>
          <t>Xhibit Homes</t>
        </is>
      </c>
      <c r="F578" s="13" t="inlineStr">
        <is>
          <t>estate_agent</t>
        </is>
      </c>
      <c r="G578" s="13" t="inlineStr">
        <is>
          <t>info@xhibit-homes.co.uk</t>
        </is>
      </c>
      <c r="H578" s="13" t="inlineStr">
        <is>
          <t>openstreetmap_tag</t>
        </is>
      </c>
      <c r="I578" s="13" t="inlineStr">
        <is>
          <t>+44 20 7247 9707</t>
        </is>
      </c>
      <c r="J578" s="14" t="inlineStr">
        <is>
          <t>https://www.xhibit-homes.co.uk</t>
        </is>
      </c>
      <c r="K578" s="13" t="inlineStr">
        <is>
          <t>111 Hanbury Street, London</t>
        </is>
      </c>
      <c r="L578" s="13" t="inlineStr">
        <is>
          <t>E1 5JQ</t>
        </is>
      </c>
      <c r="M578" s="13" t="inlineStr">
        <is>
          <t>Whitechapel</t>
        </is>
      </c>
      <c r="N578" s="13" t="n">
        <v>14</v>
      </c>
      <c r="O578" s="15">
        <f>IFERROR(INDEX(Venues!$C$2:$C$10,MATCH(M578,Venues!$A$2:$A$10,0)),"Not checked")</f>
        <v/>
      </c>
      <c r="P578" s="15">
        <f>IFERROR(INDEX(Venues!$D$2:$D$10,MATCH(M578,Venues!$A$2:$A$10,0)),0)</f>
        <v/>
      </c>
      <c r="Q578" s="42">
        <f>IFERROR(INDEX(Venues!$E$2:$E$10,MATCH(M578,Venues!$A$2:$A$10,0)),"")</f>
        <v/>
      </c>
      <c r="R578" s="15">
        <f>IF(P578&gt;0,"Yes","No")</f>
        <v/>
      </c>
      <c r="S578" s="13" t="inlineStr">
        <is>
          <t>COLA Shoreditch Park</t>
        </is>
      </c>
      <c r="T578" s="42">
        <f>IFERROR(INDEX(Venues!$E$2:$E$10,MATCH(S578,Venues!$A$2:$A$10,0)),"")</f>
        <v/>
      </c>
      <c r="U578" s="15">
        <f>IFERROR(INDEX(Venues!$F$2:$F$10,MATCH(S578,Venues!$A$2:$A$10,0)),"")</f>
        <v/>
      </c>
      <c r="V578" s="43">
        <f>IFERROR(INDEX(Venues!$H$2:$H$10,MATCH(S578,Venues!$A$2:$A$10,0)),"")</f>
        <v/>
      </c>
      <c r="W578" s="15">
        <f>IF('Pilot offer'!$C$24="Yes",'Pilot offer'!$C$3,S578)</f>
        <v/>
      </c>
      <c r="X578" s="42">
        <f>IF('Pilot offer'!$C$24="Yes",'Pilot offer'!$C$5+'Pilot offer'!$C$6,T578)</f>
        <v/>
      </c>
      <c r="Y578" s="15">
        <f>IF('Pilot offer'!$C$24="Yes",'Pilot offer'!$C$8,U578)</f>
        <v/>
      </c>
      <c r="Z578" s="43">
        <f>IF('Pilot offer'!$C$24="Yes",'Pilot offer'!$C$11,"")</f>
        <v/>
      </c>
      <c r="AA578" s="15">
        <f>IF(X578="","",W578&amp;" · "&amp;TEXT(X578,"ddd d mmm, hh:mm")&amp;" · "&amp;Y578&amp;IF(Z578&lt;&gt;""," · £"&amp;TEXT(Z578,"0.00")&amp;" per player"," · price TBC (cost £"&amp;TEXT(V578,"0.00")&amp;" pp)"))</f>
        <v/>
      </c>
      <c r="AD578" s="44" t="n"/>
    </row>
    <row r="579">
      <c r="A579" s="13" t="n">
        <v>577</v>
      </c>
      <c r="B579" s="13" t="inlineStr">
        <is>
          <t>3 · E1 Whitechapel</t>
        </is>
      </c>
      <c r="C579" s="13" t="inlineStr">
        <is>
          <t>Coworking / shared office</t>
        </is>
      </c>
      <c r="D579" s="13" t="inlineStr">
        <is>
          <t>Corporate</t>
        </is>
      </c>
      <c r="E579" s="13" t="inlineStr">
        <is>
          <t>x+why Huguenot Place</t>
        </is>
      </c>
      <c r="F579" s="13" t="inlineStr">
        <is>
          <t>coworking_space</t>
        </is>
      </c>
      <c r="G579" s="13" t="inlineStr">
        <is>
          <t>hello@xandwhy.co.uk</t>
        </is>
      </c>
      <c r="H579" s="13" t="inlineStr">
        <is>
          <t>general</t>
        </is>
      </c>
      <c r="I579" s="13" t="inlineStr">
        <is>
          <t>+44 20 3984 6688</t>
        </is>
      </c>
      <c r="J579" s="14" t="inlineStr">
        <is>
          <t>https://www.xandwhy.co.uk/location/huguenot-place?utm_source=google&amp;utm_medium=business-profile&amp;utm_campaign=huguenot-place</t>
        </is>
      </c>
      <c r="K579" s="13" t="inlineStr">
        <is>
          <t>Huguenot Place, 17 Heneage St, London E1 5LN, UK</t>
        </is>
      </c>
      <c r="L579" s="13" t="inlineStr">
        <is>
          <t>E1 5LN</t>
        </is>
      </c>
      <c r="M579" s="13" t="inlineStr">
        <is>
          <t>Whitechapel</t>
        </is>
      </c>
      <c r="N579" s="13" t="n">
        <v>15</v>
      </c>
      <c r="O579" s="15">
        <f>IFERROR(INDEX(Venues!$C$2:$C$10,MATCH(M579,Venues!$A$2:$A$10,0)),"Not checked")</f>
        <v/>
      </c>
      <c r="P579" s="15">
        <f>IFERROR(INDEX(Venues!$D$2:$D$10,MATCH(M579,Venues!$A$2:$A$10,0)),0)</f>
        <v/>
      </c>
      <c r="Q579" s="42">
        <f>IFERROR(INDEX(Venues!$E$2:$E$10,MATCH(M579,Venues!$A$2:$A$10,0)),"")</f>
        <v/>
      </c>
      <c r="R579" s="15">
        <f>IF(P579&gt;0,"Yes","No")</f>
        <v/>
      </c>
      <c r="S579" s="13" t="inlineStr">
        <is>
          <t>COLA Shoreditch Park</t>
        </is>
      </c>
      <c r="T579" s="42">
        <f>IFERROR(INDEX(Venues!$E$2:$E$10,MATCH(S579,Venues!$A$2:$A$10,0)),"")</f>
        <v/>
      </c>
      <c r="U579" s="15">
        <f>IFERROR(INDEX(Venues!$F$2:$F$10,MATCH(S579,Venues!$A$2:$A$10,0)),"")</f>
        <v/>
      </c>
      <c r="V579" s="43">
        <f>IFERROR(INDEX(Venues!$H$2:$H$10,MATCH(S579,Venues!$A$2:$A$10,0)),"")</f>
        <v/>
      </c>
      <c r="W579" s="15">
        <f>IF('Pilot offer'!$C$24="Yes",'Pilot offer'!$C$3,S579)</f>
        <v/>
      </c>
      <c r="X579" s="42">
        <f>IF('Pilot offer'!$C$24="Yes",'Pilot offer'!$C$5+'Pilot offer'!$C$6,T579)</f>
        <v/>
      </c>
      <c r="Y579" s="15">
        <f>IF('Pilot offer'!$C$24="Yes",'Pilot offer'!$C$8,U579)</f>
        <v/>
      </c>
      <c r="Z579" s="43">
        <f>IF('Pilot offer'!$C$24="Yes",'Pilot offer'!$C$11,"")</f>
        <v/>
      </c>
      <c r="AA579" s="15">
        <f>IF(X579="","",W579&amp;" · "&amp;TEXT(X579,"ddd d mmm, hh:mm")&amp;" · "&amp;Y579&amp;IF(Z579&lt;&gt;""," · £"&amp;TEXT(Z579,"0.00")&amp;" per player"," · price TBC (cost £"&amp;TEXT(V579,"0.00")&amp;" pp)"))</f>
        <v/>
      </c>
      <c r="AD579" s="44" t="n"/>
    </row>
    <row r="580">
      <c r="A580" s="13" t="n">
        <v>578</v>
      </c>
      <c r="B580" s="13" t="inlineStr">
        <is>
          <t>3 · E1 Whitechapel</t>
        </is>
      </c>
      <c r="C580" s="13" t="inlineStr">
        <is>
          <t>Office &amp; professional</t>
        </is>
      </c>
      <c r="D580" s="13" t="inlineStr">
        <is>
          <t>Corporate</t>
        </is>
      </c>
      <c r="E580" s="13" t="inlineStr">
        <is>
          <t>Wildan Legal Solicitors</t>
        </is>
      </c>
      <c r="F580" s="13" t="inlineStr">
        <is>
          <t>consultant</t>
        </is>
      </c>
      <c r="G580" s="13" t="inlineStr">
        <is>
          <t>info@wildanlegal.com</t>
        </is>
      </c>
      <c r="H580" s="13" t="inlineStr">
        <is>
          <t>general</t>
        </is>
      </c>
      <c r="I580" s="13" t="inlineStr">
        <is>
          <t>+44 20 7423 9977</t>
        </is>
      </c>
      <c r="J580" s="14" t="inlineStr">
        <is>
          <t>http://wildanlegal.com/</t>
        </is>
      </c>
      <c r="K580" s="13" t="inlineStr">
        <is>
          <t>2-12 Cambridge Heath Rd, Bethnal Green, London E1 5QH, UK</t>
        </is>
      </c>
      <c r="L580" s="13" t="inlineStr">
        <is>
          <t>E1 5QH</t>
        </is>
      </c>
      <c r="M580" s="13" t="inlineStr">
        <is>
          <t>Stepney 3G</t>
        </is>
      </c>
      <c r="N580" s="13" t="n">
        <v>11</v>
      </c>
      <c r="O580" s="15">
        <f>IFERROR(INDEX(Venues!$C$2:$C$10,MATCH(M580,Venues!$A$2:$A$10,0)),"Not checked")</f>
        <v/>
      </c>
      <c r="P580" s="15">
        <f>IFERROR(INDEX(Venues!$D$2:$D$10,MATCH(M580,Venues!$A$2:$A$10,0)),0)</f>
        <v/>
      </c>
      <c r="Q580" s="42">
        <f>IFERROR(INDEX(Venues!$E$2:$E$10,MATCH(M580,Venues!$A$2:$A$10,0)),"")</f>
        <v/>
      </c>
      <c r="R580" s="15">
        <f>IF(P580&gt;0,"Yes","No")</f>
        <v/>
      </c>
      <c r="S580" s="13" t="inlineStr">
        <is>
          <t>COLA Shoreditch Park</t>
        </is>
      </c>
      <c r="T580" s="42">
        <f>IFERROR(INDEX(Venues!$E$2:$E$10,MATCH(S580,Venues!$A$2:$A$10,0)),"")</f>
        <v/>
      </c>
      <c r="U580" s="15">
        <f>IFERROR(INDEX(Venues!$F$2:$F$10,MATCH(S580,Venues!$A$2:$A$10,0)),"")</f>
        <v/>
      </c>
      <c r="V580" s="43">
        <f>IFERROR(INDEX(Venues!$H$2:$H$10,MATCH(S580,Venues!$A$2:$A$10,0)),"")</f>
        <v/>
      </c>
      <c r="W580" s="15">
        <f>IF('Pilot offer'!$C$24="Yes",'Pilot offer'!$C$3,S580)</f>
        <v/>
      </c>
      <c r="X580" s="42">
        <f>IF('Pilot offer'!$C$24="Yes",'Pilot offer'!$C$5+'Pilot offer'!$C$6,T580)</f>
        <v/>
      </c>
      <c r="Y580" s="15">
        <f>IF('Pilot offer'!$C$24="Yes",'Pilot offer'!$C$8,U580)</f>
        <v/>
      </c>
      <c r="Z580" s="43">
        <f>IF('Pilot offer'!$C$24="Yes",'Pilot offer'!$C$11,"")</f>
        <v/>
      </c>
      <c r="AA580" s="15">
        <f>IF(X580="","",W580&amp;" · "&amp;TEXT(X580,"ddd d mmm, hh:mm")&amp;" · "&amp;Y580&amp;IF(Z580&lt;&gt;""," · £"&amp;TEXT(Z580,"0.00")&amp;" per player"," · price TBC (cost £"&amp;TEXT(V580,"0.00")&amp;" pp)"))</f>
        <v/>
      </c>
      <c r="AD580" s="44" t="n"/>
    </row>
    <row r="581">
      <c r="A581" s="13" t="n">
        <v>579</v>
      </c>
      <c r="B581" s="13" t="inlineStr">
        <is>
          <t>3 · E1 Whitechapel</t>
        </is>
      </c>
      <c r="C581" s="13" t="inlineStr">
        <is>
          <t>Hospitality</t>
        </is>
      </c>
      <c r="D581" s="13" t="inlineStr">
        <is>
          <t>Local businesses</t>
        </is>
      </c>
      <c r="E581" s="13" t="inlineStr">
        <is>
          <t>Artsadmin Canteen</t>
        </is>
      </c>
      <c r="F581" s="13" t="inlineStr">
        <is>
          <t>amenity: cafe</t>
        </is>
      </c>
      <c r="G581" s="13" t="inlineStr">
        <is>
          <t>admin@artsadmin.co.uk</t>
        </is>
      </c>
      <c r="H581" s="13" t="inlineStr">
        <is>
          <t>general</t>
        </is>
      </c>
      <c r="I581" s="13" t="inlineStr">
        <is>
          <t>+44 20 7247 5102</t>
        </is>
      </c>
      <c r="J581" s="14" t="inlineStr">
        <is>
          <t>https://www.artsadmin.co.uk/toynbee-studios/cafe/</t>
        </is>
      </c>
      <c r="K581" s="13" t="inlineStr">
        <is>
          <t>Commercial Street 28, London</t>
        </is>
      </c>
      <c r="L581" s="13" t="inlineStr">
        <is>
          <t>E1 6AB</t>
        </is>
      </c>
      <c r="M581" s="13" t="inlineStr">
        <is>
          <t>Whitechapel</t>
        </is>
      </c>
      <c r="N581" s="13" t="n">
        <v>14</v>
      </c>
      <c r="O581" s="15">
        <f>IFERROR(INDEX(Venues!$C$2:$C$10,MATCH(M581,Venues!$A$2:$A$10,0)),"Not checked")</f>
        <v/>
      </c>
      <c r="P581" s="15">
        <f>IFERROR(INDEX(Venues!$D$2:$D$10,MATCH(M581,Venues!$A$2:$A$10,0)),0)</f>
        <v/>
      </c>
      <c r="Q581" s="42">
        <f>IFERROR(INDEX(Venues!$E$2:$E$10,MATCH(M581,Venues!$A$2:$A$10,0)),"")</f>
        <v/>
      </c>
      <c r="R581" s="15">
        <f>IF(P581&gt;0,"Yes","No")</f>
        <v/>
      </c>
      <c r="S581" s="13" t="inlineStr">
        <is>
          <t>COLA Shoreditch Park</t>
        </is>
      </c>
      <c r="T581" s="42">
        <f>IFERROR(INDEX(Venues!$E$2:$E$10,MATCH(S581,Venues!$A$2:$A$10,0)),"")</f>
        <v/>
      </c>
      <c r="U581" s="15">
        <f>IFERROR(INDEX(Venues!$F$2:$F$10,MATCH(S581,Venues!$A$2:$A$10,0)),"")</f>
        <v/>
      </c>
      <c r="V581" s="43">
        <f>IFERROR(INDEX(Venues!$H$2:$H$10,MATCH(S581,Venues!$A$2:$A$10,0)),"")</f>
        <v/>
      </c>
      <c r="W581" s="15">
        <f>IF('Pilot offer'!$C$24="Yes",'Pilot offer'!$C$3,S581)</f>
        <v/>
      </c>
      <c r="X581" s="42">
        <f>IF('Pilot offer'!$C$24="Yes",'Pilot offer'!$C$5+'Pilot offer'!$C$6,T581)</f>
        <v/>
      </c>
      <c r="Y581" s="15">
        <f>IF('Pilot offer'!$C$24="Yes",'Pilot offer'!$C$8,U581)</f>
        <v/>
      </c>
      <c r="Z581" s="43">
        <f>IF('Pilot offer'!$C$24="Yes",'Pilot offer'!$C$11,"")</f>
        <v/>
      </c>
      <c r="AA581" s="15">
        <f>IF(X581="","",W581&amp;" · "&amp;TEXT(X581,"ddd d mmm, hh:mm")&amp;" · "&amp;Y581&amp;IF(Z581&lt;&gt;""," · £"&amp;TEXT(Z581,"0.00")&amp;" per player"," · price TBC (cost £"&amp;TEXT(V581,"0.00")&amp;" pp)"))</f>
        <v/>
      </c>
      <c r="AD581" s="44" t="n"/>
    </row>
    <row r="582">
      <c r="A582" s="13" t="n">
        <v>580</v>
      </c>
      <c r="B582" s="13" t="inlineStr">
        <is>
          <t>3 · E1 Whitechapel</t>
        </is>
      </c>
      <c r="C582" s="13" t="inlineStr">
        <is>
          <t>Hospitality</t>
        </is>
      </c>
      <c r="D582" s="13" t="inlineStr">
        <is>
          <t>Local businesses</t>
        </is>
      </c>
      <c r="E582" s="13" t="inlineStr">
        <is>
          <t>Niu Hotpot</t>
        </is>
      </c>
      <c r="F582" s="13" t="inlineStr">
        <is>
          <t>amenity: restaurant</t>
        </is>
      </c>
      <c r="G582" s="13" t="inlineStr">
        <is>
          <t>info@niuhotpot.co.uk</t>
        </is>
      </c>
      <c r="H582" s="13" t="inlineStr">
        <is>
          <t>openstreetmap_tag</t>
        </is>
      </c>
      <c r="I582" s="13" t="inlineStr">
        <is>
          <t>+44 20 3332 2968</t>
        </is>
      </c>
      <c r="J582" s="14" t="inlineStr">
        <is>
          <t>https://www.niuhotpot.co.uk/</t>
        </is>
      </c>
      <c r="K582" s="13" t="inlineStr">
        <is>
          <t>Commercial Street 43, London</t>
        </is>
      </c>
      <c r="L582" s="13" t="inlineStr">
        <is>
          <t>E1 6BD</t>
        </is>
      </c>
      <c r="M582" s="13" t="inlineStr">
        <is>
          <t>Whitechapel</t>
        </is>
      </c>
      <c r="N582" s="13" t="n">
        <v>16</v>
      </c>
      <c r="O582" s="15">
        <f>IFERROR(INDEX(Venues!$C$2:$C$10,MATCH(M582,Venues!$A$2:$A$10,0)),"Not checked")</f>
        <v/>
      </c>
      <c r="P582" s="15">
        <f>IFERROR(INDEX(Venues!$D$2:$D$10,MATCH(M582,Venues!$A$2:$A$10,0)),0)</f>
        <v/>
      </c>
      <c r="Q582" s="42">
        <f>IFERROR(INDEX(Venues!$E$2:$E$10,MATCH(M582,Venues!$A$2:$A$10,0)),"")</f>
        <v/>
      </c>
      <c r="R582" s="15">
        <f>IF(P582&gt;0,"Yes","No")</f>
        <v/>
      </c>
      <c r="S582" s="13" t="inlineStr">
        <is>
          <t>COLA Shoreditch Park</t>
        </is>
      </c>
      <c r="T582" s="42">
        <f>IFERROR(INDEX(Venues!$E$2:$E$10,MATCH(S582,Venues!$A$2:$A$10,0)),"")</f>
        <v/>
      </c>
      <c r="U582" s="15">
        <f>IFERROR(INDEX(Venues!$F$2:$F$10,MATCH(S582,Venues!$A$2:$A$10,0)),"")</f>
        <v/>
      </c>
      <c r="V582" s="43">
        <f>IFERROR(INDEX(Venues!$H$2:$H$10,MATCH(S582,Venues!$A$2:$A$10,0)),"")</f>
        <v/>
      </c>
      <c r="W582" s="15">
        <f>IF('Pilot offer'!$C$24="Yes",'Pilot offer'!$C$3,S582)</f>
        <v/>
      </c>
      <c r="X582" s="42">
        <f>IF('Pilot offer'!$C$24="Yes",'Pilot offer'!$C$5+'Pilot offer'!$C$6,T582)</f>
        <v/>
      </c>
      <c r="Y582" s="15">
        <f>IF('Pilot offer'!$C$24="Yes",'Pilot offer'!$C$8,U582)</f>
        <v/>
      </c>
      <c r="Z582" s="43">
        <f>IF('Pilot offer'!$C$24="Yes",'Pilot offer'!$C$11,"")</f>
        <v/>
      </c>
      <c r="AA582" s="15">
        <f>IF(X582="","",W582&amp;" · "&amp;TEXT(X582,"ddd d mmm, hh:mm")&amp;" · "&amp;Y582&amp;IF(Z582&lt;&gt;""," · £"&amp;TEXT(Z582,"0.00")&amp;" per player"," · price TBC (cost £"&amp;TEXT(V582,"0.00")&amp;" pp)"))</f>
        <v/>
      </c>
      <c r="AD582" s="44" t="n"/>
    </row>
    <row r="583">
      <c r="A583" s="13" t="n">
        <v>581</v>
      </c>
      <c r="B583" s="13" t="inlineStr">
        <is>
          <t>3 · E1 Whitechapel</t>
        </is>
      </c>
      <c r="C583" s="13" t="inlineStr">
        <is>
          <t>Hospitality</t>
        </is>
      </c>
      <c r="D583" s="13" t="inlineStr">
        <is>
          <t>Local businesses</t>
        </is>
      </c>
      <c r="E583" s="13" t="inlineStr">
        <is>
          <t>Som Saa</t>
        </is>
      </c>
      <c r="F583" s="13" t="inlineStr">
        <is>
          <t>amenity: restaurant</t>
        </is>
      </c>
      <c r="G583" s="13" t="inlineStr">
        <is>
          <t>kitchenjobs@somsaa.com</t>
        </is>
      </c>
      <c r="H583" s="13" t="inlineStr">
        <is>
          <t>person_or_other</t>
        </is>
      </c>
      <c r="I583" s="13" t="inlineStr">
        <is>
          <t>+44 20 7324 7790</t>
        </is>
      </c>
      <c r="J583" s="14" t="inlineStr">
        <is>
          <t>https://www.somsaa.com/</t>
        </is>
      </c>
      <c r="K583" s="13" t="inlineStr">
        <is>
          <t>Commercial Street 43A, London</t>
        </is>
      </c>
      <c r="L583" s="13" t="inlineStr">
        <is>
          <t>E1 6BD</t>
        </is>
      </c>
      <c r="M583" s="13" t="inlineStr">
        <is>
          <t>Whitechapel</t>
        </is>
      </c>
      <c r="N583" s="13" t="n">
        <v>17</v>
      </c>
      <c r="O583" s="15">
        <f>IFERROR(INDEX(Venues!$C$2:$C$10,MATCH(M583,Venues!$A$2:$A$10,0)),"Not checked")</f>
        <v/>
      </c>
      <c r="P583" s="15">
        <f>IFERROR(INDEX(Venues!$D$2:$D$10,MATCH(M583,Venues!$A$2:$A$10,0)),0)</f>
        <v/>
      </c>
      <c r="Q583" s="42">
        <f>IFERROR(INDEX(Venues!$E$2:$E$10,MATCH(M583,Venues!$A$2:$A$10,0)),"")</f>
        <v/>
      </c>
      <c r="R583" s="15">
        <f>IF(P583&gt;0,"Yes","No")</f>
        <v/>
      </c>
      <c r="S583" s="13" t="inlineStr">
        <is>
          <t>COLA Shoreditch Park</t>
        </is>
      </c>
      <c r="T583" s="42">
        <f>IFERROR(INDEX(Venues!$E$2:$E$10,MATCH(S583,Venues!$A$2:$A$10,0)),"")</f>
        <v/>
      </c>
      <c r="U583" s="15">
        <f>IFERROR(INDEX(Venues!$F$2:$F$10,MATCH(S583,Venues!$A$2:$A$10,0)),"")</f>
        <v/>
      </c>
      <c r="V583" s="43">
        <f>IFERROR(INDEX(Venues!$H$2:$H$10,MATCH(S583,Venues!$A$2:$A$10,0)),"")</f>
        <v/>
      </c>
      <c r="W583" s="15">
        <f>IF('Pilot offer'!$C$24="Yes",'Pilot offer'!$C$3,S583)</f>
        <v/>
      </c>
      <c r="X583" s="42">
        <f>IF('Pilot offer'!$C$24="Yes",'Pilot offer'!$C$5+'Pilot offer'!$C$6,T583)</f>
        <v/>
      </c>
      <c r="Y583" s="15">
        <f>IF('Pilot offer'!$C$24="Yes",'Pilot offer'!$C$8,U583)</f>
        <v/>
      </c>
      <c r="Z583" s="43">
        <f>IF('Pilot offer'!$C$24="Yes",'Pilot offer'!$C$11,"")</f>
        <v/>
      </c>
      <c r="AA583" s="15">
        <f>IF(X583="","",W583&amp;" · "&amp;TEXT(X583,"ddd d mmm, hh:mm")&amp;" · "&amp;Y583&amp;IF(Z583&lt;&gt;""," · £"&amp;TEXT(Z583,"0.00")&amp;" per player"," · price TBC (cost £"&amp;TEXT(V583,"0.00")&amp;" pp)"))</f>
        <v/>
      </c>
      <c r="AD583" s="44" t="n"/>
    </row>
    <row r="584">
      <c r="A584" s="13" t="n">
        <v>582</v>
      </c>
      <c r="B584" s="13" t="inlineStr">
        <is>
          <t>3 · E1 Whitechapel</t>
        </is>
      </c>
      <c r="C584" s="13" t="inlineStr">
        <is>
          <t>Hospitality</t>
        </is>
      </c>
      <c r="D584" s="13" t="inlineStr">
        <is>
          <t>Local businesses</t>
        </is>
      </c>
      <c r="E584" s="13" t="inlineStr">
        <is>
          <t>Ibis London City</t>
        </is>
      </c>
      <c r="F584" s="13" t="inlineStr">
        <is>
          <t>tourism: hotel</t>
        </is>
      </c>
      <c r="G584" s="13" t="inlineStr">
        <is>
          <t>h5011@accor.com</t>
        </is>
      </c>
      <c r="H584" s="13" t="inlineStr">
        <is>
          <t>openstreetmap_tag</t>
        </is>
      </c>
      <c r="I584" s="13" t="inlineStr">
        <is>
          <t>+44 20 7422 8400</t>
        </is>
      </c>
      <c r="J584" s="14" t="inlineStr">
        <is>
          <t>https://www.accorhotels.com/gb/hotel-5011-ibis-london-city/index.shtml</t>
        </is>
      </c>
      <c r="K584" s="13" t="inlineStr">
        <is>
          <t>Commercial Street 5, London</t>
        </is>
      </c>
      <c r="L584" s="13" t="inlineStr">
        <is>
          <t>E1 6BF</t>
        </is>
      </c>
      <c r="M584" s="13" t="inlineStr">
        <is>
          <t>Whitechapel</t>
        </is>
      </c>
      <c r="N584" s="13" t="n">
        <v>15</v>
      </c>
      <c r="O584" s="15">
        <f>IFERROR(INDEX(Venues!$C$2:$C$10,MATCH(M584,Venues!$A$2:$A$10,0)),"Not checked")</f>
        <v/>
      </c>
      <c r="P584" s="15">
        <f>IFERROR(INDEX(Venues!$D$2:$D$10,MATCH(M584,Venues!$A$2:$A$10,0)),0)</f>
        <v/>
      </c>
      <c r="Q584" s="42">
        <f>IFERROR(INDEX(Venues!$E$2:$E$10,MATCH(M584,Venues!$A$2:$A$10,0)),"")</f>
        <v/>
      </c>
      <c r="R584" s="15">
        <f>IF(P584&gt;0,"Yes","No")</f>
        <v/>
      </c>
      <c r="S584" s="13" t="inlineStr">
        <is>
          <t>COLA Shoreditch Park</t>
        </is>
      </c>
      <c r="T584" s="42">
        <f>IFERROR(INDEX(Venues!$E$2:$E$10,MATCH(S584,Venues!$A$2:$A$10,0)),"")</f>
        <v/>
      </c>
      <c r="U584" s="15">
        <f>IFERROR(INDEX(Venues!$F$2:$F$10,MATCH(S584,Venues!$A$2:$A$10,0)),"")</f>
        <v/>
      </c>
      <c r="V584" s="43">
        <f>IFERROR(INDEX(Venues!$H$2:$H$10,MATCH(S584,Venues!$A$2:$A$10,0)),"")</f>
        <v/>
      </c>
      <c r="W584" s="15">
        <f>IF('Pilot offer'!$C$24="Yes",'Pilot offer'!$C$3,S584)</f>
        <v/>
      </c>
      <c r="X584" s="42">
        <f>IF('Pilot offer'!$C$24="Yes",'Pilot offer'!$C$5+'Pilot offer'!$C$6,T584)</f>
        <v/>
      </c>
      <c r="Y584" s="15">
        <f>IF('Pilot offer'!$C$24="Yes",'Pilot offer'!$C$8,U584)</f>
        <v/>
      </c>
      <c r="Z584" s="43">
        <f>IF('Pilot offer'!$C$24="Yes",'Pilot offer'!$C$11,"")</f>
        <v/>
      </c>
      <c r="AA584" s="15">
        <f>IF(X584="","",W584&amp;" · "&amp;TEXT(X584,"ddd d mmm, hh:mm")&amp;" · "&amp;Y584&amp;IF(Z584&lt;&gt;""," · £"&amp;TEXT(Z584,"0.00")&amp;" per player"," · price TBC (cost £"&amp;TEXT(V584,"0.00")&amp;" pp)"))</f>
        <v/>
      </c>
      <c r="AD584" s="44" t="n"/>
    </row>
    <row r="585">
      <c r="A585" s="13" t="n">
        <v>583</v>
      </c>
      <c r="B585" s="13" t="inlineStr">
        <is>
          <t>3 · E1 Whitechapel</t>
        </is>
      </c>
      <c r="C585" s="13" t="inlineStr">
        <is>
          <t>Office &amp; professional</t>
        </is>
      </c>
      <c r="D585" s="13" t="inlineStr">
        <is>
          <t>Corporate</t>
        </is>
      </c>
      <c r="E585" s="13" t="inlineStr">
        <is>
          <t>Bishopsgate Law</t>
        </is>
      </c>
      <c r="F585" s="13" t="inlineStr">
        <is>
          <t>lawyer</t>
        </is>
      </c>
      <c r="G585" s="13" t="inlineStr">
        <is>
          <t>enquiries@bishopsgatelaw.com</t>
        </is>
      </c>
      <c r="H585" s="13" t="inlineStr">
        <is>
          <t>general</t>
        </is>
      </c>
      <c r="I585" s="13" t="inlineStr">
        <is>
          <t>+44 20 8050 3600</t>
        </is>
      </c>
      <c r="J585" s="14" t="inlineStr">
        <is>
          <t>https://www.bishopsgatelaw.com/london.html</t>
        </is>
      </c>
      <c r="K585" s="13" t="inlineStr">
        <is>
          <t>1 Norton Folgate, London E1 6DB, UK</t>
        </is>
      </c>
      <c r="L585" s="13" t="inlineStr">
        <is>
          <t>E1 6DB</t>
        </is>
      </c>
      <c r="M585" s="13" t="inlineStr">
        <is>
          <t>Whitechapel</t>
        </is>
      </c>
      <c r="N585" s="13" t="n">
        <v>24</v>
      </c>
      <c r="O585" s="15">
        <f>IFERROR(INDEX(Venues!$C$2:$C$10,MATCH(M585,Venues!$A$2:$A$10,0)),"Not checked")</f>
        <v/>
      </c>
      <c r="P585" s="15">
        <f>IFERROR(INDEX(Venues!$D$2:$D$10,MATCH(M585,Venues!$A$2:$A$10,0)),0)</f>
        <v/>
      </c>
      <c r="Q585" s="42">
        <f>IFERROR(INDEX(Venues!$E$2:$E$10,MATCH(M585,Venues!$A$2:$A$10,0)),"")</f>
        <v/>
      </c>
      <c r="R585" s="15">
        <f>IF(P585&gt;0,"Yes","No")</f>
        <v/>
      </c>
      <c r="S585" s="13" t="inlineStr">
        <is>
          <t>COLA Shoreditch Park</t>
        </is>
      </c>
      <c r="T585" s="42">
        <f>IFERROR(INDEX(Venues!$E$2:$E$10,MATCH(S585,Venues!$A$2:$A$10,0)),"")</f>
        <v/>
      </c>
      <c r="U585" s="15">
        <f>IFERROR(INDEX(Venues!$F$2:$F$10,MATCH(S585,Venues!$A$2:$A$10,0)),"")</f>
        <v/>
      </c>
      <c r="V585" s="43">
        <f>IFERROR(INDEX(Venues!$H$2:$H$10,MATCH(S585,Venues!$A$2:$A$10,0)),"")</f>
        <v/>
      </c>
      <c r="W585" s="15">
        <f>IF('Pilot offer'!$C$24="Yes",'Pilot offer'!$C$3,S585)</f>
        <v/>
      </c>
      <c r="X585" s="42">
        <f>IF('Pilot offer'!$C$24="Yes",'Pilot offer'!$C$5+'Pilot offer'!$C$6,T585)</f>
        <v/>
      </c>
      <c r="Y585" s="15">
        <f>IF('Pilot offer'!$C$24="Yes",'Pilot offer'!$C$8,U585)</f>
        <v/>
      </c>
      <c r="Z585" s="43">
        <f>IF('Pilot offer'!$C$24="Yes",'Pilot offer'!$C$11,"")</f>
        <v/>
      </c>
      <c r="AA585" s="15">
        <f>IF(X585="","",W585&amp;" · "&amp;TEXT(X585,"ddd d mmm, hh:mm")&amp;" · "&amp;Y585&amp;IF(Z585&lt;&gt;""," · £"&amp;TEXT(Z585,"0.00")&amp;" per player"," · price TBC (cost £"&amp;TEXT(V585,"0.00")&amp;" pp)"))</f>
        <v/>
      </c>
      <c r="AD585" s="44" t="n"/>
    </row>
    <row r="586">
      <c r="A586" s="13" t="n">
        <v>584</v>
      </c>
      <c r="B586" s="13" t="inlineStr">
        <is>
          <t>3 · E1 Whitechapel</t>
        </is>
      </c>
      <c r="C586" s="13" t="inlineStr">
        <is>
          <t>Office &amp; professional</t>
        </is>
      </c>
      <c r="D586" s="13" t="inlineStr">
        <is>
          <t>Corporate</t>
        </is>
      </c>
      <c r="E586" s="13" t="inlineStr">
        <is>
          <t>Improbable</t>
        </is>
      </c>
      <c r="F586" s="13" t="inlineStr">
        <is>
          <t>service</t>
        </is>
      </c>
      <c r="G586" s="13" t="inlineStr">
        <is>
          <t>privacypolicy@improbable.io</t>
        </is>
      </c>
      <c r="H586" s="13" t="inlineStr">
        <is>
          <t>person_or_other</t>
        </is>
      </c>
      <c r="I586" s="13" t="inlineStr">
        <is>
          <t>+44 20 8099 5349</t>
        </is>
      </c>
      <c r="J586" s="14" t="inlineStr">
        <is>
          <t>http://improbable.io/</t>
        </is>
      </c>
      <c r="K586" s="13" t="inlineStr">
        <is>
          <t>Level 4, 10 Bishops Square, London E1 6EG, UK</t>
        </is>
      </c>
      <c r="L586" s="13" t="inlineStr">
        <is>
          <t>E1 6EG</t>
        </is>
      </c>
      <c r="M586" s="13" t="inlineStr">
        <is>
          <t>Whitechapel</t>
        </is>
      </c>
      <c r="N586" s="13" t="n">
        <v>21</v>
      </c>
      <c r="O586" s="15">
        <f>IFERROR(INDEX(Venues!$C$2:$C$10,MATCH(M586,Venues!$A$2:$A$10,0)),"Not checked")</f>
        <v/>
      </c>
      <c r="P586" s="15">
        <f>IFERROR(INDEX(Venues!$D$2:$D$10,MATCH(M586,Venues!$A$2:$A$10,0)),0)</f>
        <v/>
      </c>
      <c r="Q586" s="42">
        <f>IFERROR(INDEX(Venues!$E$2:$E$10,MATCH(M586,Venues!$A$2:$A$10,0)),"")</f>
        <v/>
      </c>
      <c r="R586" s="15">
        <f>IF(P586&gt;0,"Yes","No")</f>
        <v/>
      </c>
      <c r="S586" s="13" t="inlineStr">
        <is>
          <t>COLA Shoreditch Park</t>
        </is>
      </c>
      <c r="T586" s="42">
        <f>IFERROR(INDEX(Venues!$E$2:$E$10,MATCH(S586,Venues!$A$2:$A$10,0)),"")</f>
        <v/>
      </c>
      <c r="U586" s="15">
        <f>IFERROR(INDEX(Venues!$F$2:$F$10,MATCH(S586,Venues!$A$2:$A$10,0)),"")</f>
        <v/>
      </c>
      <c r="V586" s="43">
        <f>IFERROR(INDEX(Venues!$H$2:$H$10,MATCH(S586,Venues!$A$2:$A$10,0)),"")</f>
        <v/>
      </c>
      <c r="W586" s="15">
        <f>IF('Pilot offer'!$C$24="Yes",'Pilot offer'!$C$3,S586)</f>
        <v/>
      </c>
      <c r="X586" s="42">
        <f>IF('Pilot offer'!$C$24="Yes",'Pilot offer'!$C$5+'Pilot offer'!$C$6,T586)</f>
        <v/>
      </c>
      <c r="Y586" s="15">
        <f>IF('Pilot offer'!$C$24="Yes",'Pilot offer'!$C$8,U586)</f>
        <v/>
      </c>
      <c r="Z586" s="43">
        <f>IF('Pilot offer'!$C$24="Yes",'Pilot offer'!$C$11,"")</f>
        <v/>
      </c>
      <c r="AA586" s="15">
        <f>IF(X586="","",W586&amp;" · "&amp;TEXT(X586,"ddd d mmm, hh:mm")&amp;" · "&amp;Y586&amp;IF(Z586&lt;&gt;""," · £"&amp;TEXT(Z586,"0.00")&amp;" per player"," · price TBC (cost £"&amp;TEXT(V586,"0.00")&amp;" pp)"))</f>
        <v/>
      </c>
      <c r="AD586" s="44" t="n"/>
    </row>
    <row r="587">
      <c r="A587" s="13" t="n">
        <v>585</v>
      </c>
      <c r="B587" s="13" t="inlineStr">
        <is>
          <t>3 · E1 Whitechapel</t>
        </is>
      </c>
      <c r="C587" s="13" t="inlineStr">
        <is>
          <t>Hospitality</t>
        </is>
      </c>
      <c r="D587" s="13" t="inlineStr">
        <is>
          <t>Local businesses</t>
        </is>
      </c>
      <c r="E587" s="13" t="inlineStr">
        <is>
          <t>Sud Italia</t>
        </is>
      </c>
      <c r="F587" s="13" t="inlineStr">
        <is>
          <t>amenity: restaurant</t>
        </is>
      </c>
      <c r="G587" s="13" t="inlineStr">
        <is>
          <t>info@suditaliapizza.co.uk</t>
        </is>
      </c>
      <c r="H587" s="13" t="inlineStr">
        <is>
          <t>openstreetmap_tag</t>
        </is>
      </c>
      <c r="I587" s="13" t="n"/>
      <c r="J587" s="14" t="inlineStr">
        <is>
          <t>https://suditaliapizza.co.uk/</t>
        </is>
      </c>
      <c r="K587" s="13" t="inlineStr">
        <is>
          <t>Horner Square 16, London</t>
        </is>
      </c>
      <c r="L587" s="13" t="inlineStr">
        <is>
          <t>E1 6EW</t>
        </is>
      </c>
      <c r="M587" s="13" t="inlineStr">
        <is>
          <t>Whitechapel</t>
        </is>
      </c>
      <c r="N587" s="13" t="n">
        <v>20</v>
      </c>
      <c r="O587" s="15">
        <f>IFERROR(INDEX(Venues!$C$2:$C$10,MATCH(M587,Venues!$A$2:$A$10,0)),"Not checked")</f>
        <v/>
      </c>
      <c r="P587" s="15">
        <f>IFERROR(INDEX(Venues!$D$2:$D$10,MATCH(M587,Venues!$A$2:$A$10,0)),0)</f>
        <v/>
      </c>
      <c r="Q587" s="42">
        <f>IFERROR(INDEX(Venues!$E$2:$E$10,MATCH(M587,Venues!$A$2:$A$10,0)),"")</f>
        <v/>
      </c>
      <c r="R587" s="15">
        <f>IF(P587&gt;0,"Yes","No")</f>
        <v/>
      </c>
      <c r="S587" s="13" t="inlineStr">
        <is>
          <t>COLA Shoreditch Park</t>
        </is>
      </c>
      <c r="T587" s="42">
        <f>IFERROR(INDEX(Venues!$E$2:$E$10,MATCH(S587,Venues!$A$2:$A$10,0)),"")</f>
        <v/>
      </c>
      <c r="U587" s="15">
        <f>IFERROR(INDEX(Venues!$F$2:$F$10,MATCH(S587,Venues!$A$2:$A$10,0)),"")</f>
        <v/>
      </c>
      <c r="V587" s="43">
        <f>IFERROR(INDEX(Venues!$H$2:$H$10,MATCH(S587,Venues!$A$2:$A$10,0)),"")</f>
        <v/>
      </c>
      <c r="W587" s="15">
        <f>IF('Pilot offer'!$C$24="Yes",'Pilot offer'!$C$3,S587)</f>
        <v/>
      </c>
      <c r="X587" s="42">
        <f>IF('Pilot offer'!$C$24="Yes",'Pilot offer'!$C$5+'Pilot offer'!$C$6,T587)</f>
        <v/>
      </c>
      <c r="Y587" s="15">
        <f>IF('Pilot offer'!$C$24="Yes",'Pilot offer'!$C$8,U587)</f>
        <v/>
      </c>
      <c r="Z587" s="43">
        <f>IF('Pilot offer'!$C$24="Yes",'Pilot offer'!$C$11,"")</f>
        <v/>
      </c>
      <c r="AA587" s="15">
        <f>IF(X587="","",W587&amp;" · "&amp;TEXT(X587,"ddd d mmm, hh:mm")&amp;" · "&amp;Y587&amp;IF(Z587&lt;&gt;""," · £"&amp;TEXT(Z587,"0.00")&amp;" per player"," · price TBC (cost £"&amp;TEXT(V587,"0.00")&amp;" pp)"))</f>
        <v/>
      </c>
      <c r="AD587" s="44" t="n"/>
    </row>
    <row r="588">
      <c r="A588" s="13" t="n">
        <v>586</v>
      </c>
      <c r="B588" s="13" t="inlineStr">
        <is>
          <t>3 · E1 Whitechapel</t>
        </is>
      </c>
      <c r="C588" s="13" t="inlineStr">
        <is>
          <t>Office &amp; professional</t>
        </is>
      </c>
      <c r="D588" s="13" t="inlineStr">
        <is>
          <t>Corporate</t>
        </is>
      </c>
      <c r="E588" s="13" t="inlineStr">
        <is>
          <t>Matter Of Form</t>
        </is>
      </c>
      <c r="F588" s="13" t="inlineStr">
        <is>
          <t>service</t>
        </is>
      </c>
      <c r="G588" s="13" t="inlineStr">
        <is>
          <t>hello@matterofform.com</t>
        </is>
      </c>
      <c r="H588" s="13" t="inlineStr">
        <is>
          <t>general</t>
        </is>
      </c>
      <c r="I588" s="13" t="inlineStr">
        <is>
          <t>+44 20 3141 2000</t>
        </is>
      </c>
      <c r="J588" s="14" t="inlineStr">
        <is>
          <t>http://matterofform.com/</t>
        </is>
      </c>
      <c r="K588" s="13" t="inlineStr">
        <is>
          <t>Unit 3, Matter Of Form, 168 Shoreditch High St, London E1 6HU, UK</t>
        </is>
      </c>
      <c r="L588" s="13" t="inlineStr">
        <is>
          <t>E1 6HU</t>
        </is>
      </c>
      <c r="M588" s="13" t="inlineStr">
        <is>
          <t>Shoreditch Rooftop</t>
        </is>
      </c>
      <c r="N588" s="13" t="n">
        <v>19</v>
      </c>
      <c r="O588" s="15">
        <f>IFERROR(INDEX(Venues!$C$2:$C$10,MATCH(M588,Venues!$A$2:$A$10,0)),"Not checked")</f>
        <v/>
      </c>
      <c r="P588" s="15">
        <f>IFERROR(INDEX(Venues!$D$2:$D$10,MATCH(M588,Venues!$A$2:$A$10,0)),0)</f>
        <v/>
      </c>
      <c r="Q588" s="42">
        <f>IFERROR(INDEX(Venues!$E$2:$E$10,MATCH(M588,Venues!$A$2:$A$10,0)),"")</f>
        <v/>
      </c>
      <c r="R588" s="15">
        <f>IF(P588&gt;0,"Yes","No")</f>
        <v/>
      </c>
      <c r="S588" s="13" t="inlineStr">
        <is>
          <t>Shoreditch Rooftop</t>
        </is>
      </c>
      <c r="T588" s="42">
        <f>IFERROR(INDEX(Venues!$E$2:$E$10,MATCH(S588,Venues!$A$2:$A$10,0)),"")</f>
        <v/>
      </c>
      <c r="U588" s="15">
        <f>IFERROR(INDEX(Venues!$F$2:$F$10,MATCH(S588,Venues!$A$2:$A$10,0)),"")</f>
        <v/>
      </c>
      <c r="V588" s="43">
        <f>IFERROR(INDEX(Venues!$H$2:$H$10,MATCH(S588,Venues!$A$2:$A$10,0)),"")</f>
        <v/>
      </c>
      <c r="W588" s="15">
        <f>IF('Pilot offer'!$C$24="Yes",'Pilot offer'!$C$3,S588)</f>
        <v/>
      </c>
      <c r="X588" s="42">
        <f>IF('Pilot offer'!$C$24="Yes",'Pilot offer'!$C$5+'Pilot offer'!$C$6,T588)</f>
        <v/>
      </c>
      <c r="Y588" s="15">
        <f>IF('Pilot offer'!$C$24="Yes",'Pilot offer'!$C$8,U588)</f>
        <v/>
      </c>
      <c r="Z588" s="43">
        <f>IF('Pilot offer'!$C$24="Yes",'Pilot offer'!$C$11,"")</f>
        <v/>
      </c>
      <c r="AA588" s="15">
        <f>IF(X588="","",W588&amp;" · "&amp;TEXT(X588,"ddd d mmm, hh:mm")&amp;" · "&amp;Y588&amp;IF(Z588&lt;&gt;""," · £"&amp;TEXT(Z588,"0.00")&amp;" per player"," · price TBC (cost £"&amp;TEXT(V588,"0.00")&amp;" pp)"))</f>
        <v/>
      </c>
      <c r="AD588" s="44" t="n"/>
    </row>
    <row r="589">
      <c r="A589" s="13" t="n">
        <v>587</v>
      </c>
      <c r="B589" s="13" t="inlineStr">
        <is>
          <t>3 · E1 Whitechapel</t>
        </is>
      </c>
      <c r="C589" s="13" t="inlineStr">
        <is>
          <t>Hospitality</t>
        </is>
      </c>
      <c r="D589" s="13" t="inlineStr">
        <is>
          <t>Local businesses</t>
        </is>
      </c>
      <c r="E589" s="13" t="inlineStr">
        <is>
          <t>Rudy's Pizza Napoletana</t>
        </is>
      </c>
      <c r="F589" s="13" t="inlineStr">
        <is>
          <t>amenity: restaurant</t>
        </is>
      </c>
      <c r="G589" s="13" t="inlineStr">
        <is>
          <t>shop@rudyspizza.co.uk</t>
        </is>
      </c>
      <c r="H589" s="13" t="inlineStr">
        <is>
          <t>person_or_other</t>
        </is>
      </c>
      <c r="I589" s="13" t="inlineStr">
        <is>
          <t>+44 20 8165 9929</t>
        </is>
      </c>
      <c r="J589" s="14" t="inlineStr">
        <is>
          <t>https://www.rudyspizza.co.uk/</t>
        </is>
      </c>
      <c r="K589" s="13" t="inlineStr">
        <is>
          <t>Shoreditch High Street 183, London</t>
        </is>
      </c>
      <c r="L589" s="13" t="inlineStr">
        <is>
          <t>E1 6HU</t>
        </is>
      </c>
      <c r="M589" s="13" t="inlineStr">
        <is>
          <t>Shoreditch Rooftop</t>
        </is>
      </c>
      <c r="N589" s="13" t="n">
        <v>20</v>
      </c>
      <c r="O589" s="15">
        <f>IFERROR(INDEX(Venues!$C$2:$C$10,MATCH(M589,Venues!$A$2:$A$10,0)),"Not checked")</f>
        <v/>
      </c>
      <c r="P589" s="15">
        <f>IFERROR(INDEX(Venues!$D$2:$D$10,MATCH(M589,Venues!$A$2:$A$10,0)),0)</f>
        <v/>
      </c>
      <c r="Q589" s="42">
        <f>IFERROR(INDEX(Venues!$E$2:$E$10,MATCH(M589,Venues!$A$2:$A$10,0)),"")</f>
        <v/>
      </c>
      <c r="R589" s="15">
        <f>IF(P589&gt;0,"Yes","No")</f>
        <v/>
      </c>
      <c r="S589" s="13" t="inlineStr">
        <is>
          <t>Shoreditch Rooftop</t>
        </is>
      </c>
      <c r="T589" s="42">
        <f>IFERROR(INDEX(Venues!$E$2:$E$10,MATCH(S589,Venues!$A$2:$A$10,0)),"")</f>
        <v/>
      </c>
      <c r="U589" s="15">
        <f>IFERROR(INDEX(Venues!$F$2:$F$10,MATCH(S589,Venues!$A$2:$A$10,0)),"")</f>
        <v/>
      </c>
      <c r="V589" s="43">
        <f>IFERROR(INDEX(Venues!$H$2:$H$10,MATCH(S589,Venues!$A$2:$A$10,0)),"")</f>
        <v/>
      </c>
      <c r="W589" s="15">
        <f>IF('Pilot offer'!$C$24="Yes",'Pilot offer'!$C$3,S589)</f>
        <v/>
      </c>
      <c r="X589" s="42">
        <f>IF('Pilot offer'!$C$24="Yes",'Pilot offer'!$C$5+'Pilot offer'!$C$6,T589)</f>
        <v/>
      </c>
      <c r="Y589" s="15">
        <f>IF('Pilot offer'!$C$24="Yes",'Pilot offer'!$C$8,U589)</f>
        <v/>
      </c>
      <c r="Z589" s="43">
        <f>IF('Pilot offer'!$C$24="Yes",'Pilot offer'!$C$11,"")</f>
        <v/>
      </c>
      <c r="AA589" s="15">
        <f>IF(X589="","",W589&amp;" · "&amp;TEXT(X589,"ddd d mmm, hh:mm")&amp;" · "&amp;Y589&amp;IF(Z589&lt;&gt;""," · £"&amp;TEXT(Z589,"0.00")&amp;" per player"," · price TBC (cost £"&amp;TEXT(V589,"0.00")&amp;" pp)"))</f>
        <v/>
      </c>
      <c r="AD589" s="44" t="n"/>
    </row>
    <row r="590">
      <c r="A590" s="13" t="n">
        <v>588</v>
      </c>
      <c r="B590" s="13" t="inlineStr">
        <is>
          <t>3 · E1 Whitechapel</t>
        </is>
      </c>
      <c r="C590" s="13" t="inlineStr">
        <is>
          <t>Hospitality</t>
        </is>
      </c>
      <c r="D590" s="13" t="inlineStr">
        <is>
          <t>Local businesses</t>
        </is>
      </c>
      <c r="E590" s="13" t="inlineStr">
        <is>
          <t>Singburi</t>
        </is>
      </c>
      <c r="F590" s="13" t="inlineStr">
        <is>
          <t>amenity: restaurant</t>
        </is>
      </c>
      <c r="G590" s="13" t="inlineStr">
        <is>
          <t>info@singburi.london</t>
        </is>
      </c>
      <c r="H590" s="13" t="inlineStr">
        <is>
          <t>general</t>
        </is>
      </c>
      <c r="I590" s="13" t="n"/>
      <c r="J590" s="14" t="inlineStr">
        <is>
          <t>https://singburi.london/</t>
        </is>
      </c>
      <c r="K590" s="13" t="inlineStr">
        <is>
          <t>Shoreditch High Street 185-186, London</t>
        </is>
      </c>
      <c r="L590" s="13" t="inlineStr">
        <is>
          <t>E1 6HU</t>
        </is>
      </c>
      <c r="M590" s="13" t="inlineStr">
        <is>
          <t>Shoreditch Rooftop</t>
        </is>
      </c>
      <c r="N590" s="13" t="n">
        <v>19</v>
      </c>
      <c r="O590" s="15">
        <f>IFERROR(INDEX(Venues!$C$2:$C$10,MATCH(M590,Venues!$A$2:$A$10,0)),"Not checked")</f>
        <v/>
      </c>
      <c r="P590" s="15">
        <f>IFERROR(INDEX(Venues!$D$2:$D$10,MATCH(M590,Venues!$A$2:$A$10,0)),0)</f>
        <v/>
      </c>
      <c r="Q590" s="42">
        <f>IFERROR(INDEX(Venues!$E$2:$E$10,MATCH(M590,Venues!$A$2:$A$10,0)),"")</f>
        <v/>
      </c>
      <c r="R590" s="15">
        <f>IF(P590&gt;0,"Yes","No")</f>
        <v/>
      </c>
      <c r="S590" s="13" t="inlineStr">
        <is>
          <t>Shoreditch Rooftop</t>
        </is>
      </c>
      <c r="T590" s="42">
        <f>IFERROR(INDEX(Venues!$E$2:$E$10,MATCH(S590,Venues!$A$2:$A$10,0)),"")</f>
        <v/>
      </c>
      <c r="U590" s="15">
        <f>IFERROR(INDEX(Venues!$F$2:$F$10,MATCH(S590,Venues!$A$2:$A$10,0)),"")</f>
        <v/>
      </c>
      <c r="V590" s="43">
        <f>IFERROR(INDEX(Venues!$H$2:$H$10,MATCH(S590,Venues!$A$2:$A$10,0)),"")</f>
        <v/>
      </c>
      <c r="W590" s="15">
        <f>IF('Pilot offer'!$C$24="Yes",'Pilot offer'!$C$3,S590)</f>
        <v/>
      </c>
      <c r="X590" s="42">
        <f>IF('Pilot offer'!$C$24="Yes",'Pilot offer'!$C$5+'Pilot offer'!$C$6,T590)</f>
        <v/>
      </c>
      <c r="Y590" s="15">
        <f>IF('Pilot offer'!$C$24="Yes",'Pilot offer'!$C$8,U590)</f>
        <v/>
      </c>
      <c r="Z590" s="43">
        <f>IF('Pilot offer'!$C$24="Yes",'Pilot offer'!$C$11,"")</f>
        <v/>
      </c>
      <c r="AA590" s="15">
        <f>IF(X590="","",W590&amp;" · "&amp;TEXT(X590,"ddd d mmm, hh:mm")&amp;" · "&amp;Y590&amp;IF(Z590&lt;&gt;""," · £"&amp;TEXT(Z590,"0.00")&amp;" per player"," · price TBC (cost £"&amp;TEXT(V590,"0.00")&amp;" pp)"))</f>
        <v/>
      </c>
      <c r="AD590" s="44" t="n"/>
    </row>
    <row r="591">
      <c r="A591" s="13" t="n">
        <v>589</v>
      </c>
      <c r="B591" s="13" t="inlineStr">
        <is>
          <t>3 · E1 Whitechapel</t>
        </is>
      </c>
      <c r="C591" s="13" t="inlineStr">
        <is>
          <t>Retail</t>
        </is>
      </c>
      <c r="D591" s="13" t="inlineStr">
        <is>
          <t>Local businesses</t>
        </is>
      </c>
      <c r="E591" s="13" t="inlineStr">
        <is>
          <t>Splendid Trading Ltd.</t>
        </is>
      </c>
      <c r="F591" s="13" t="inlineStr">
        <is>
          <t>shop: houseware</t>
        </is>
      </c>
      <c r="G591" s="13" t="inlineStr">
        <is>
          <t>sales@splendidtrading.co.uk</t>
        </is>
      </c>
      <c r="H591" s="13" t="inlineStr">
        <is>
          <t>commercial</t>
        </is>
      </c>
      <c r="I591" s="13" t="inlineStr">
        <is>
          <t>+44 20 7684 0000</t>
        </is>
      </c>
      <c r="J591" s="14" t="inlineStr">
        <is>
          <t>https://www.splendidtrading.co.uk/</t>
        </is>
      </c>
      <c r="K591" s="13" t="inlineStr">
        <is>
          <t>Shoreditch High Street 151-153, London</t>
        </is>
      </c>
      <c r="L591" s="13" t="inlineStr">
        <is>
          <t>E1 6HU</t>
        </is>
      </c>
      <c r="M591" s="13" t="inlineStr">
        <is>
          <t>Shoreditch Rooftop</t>
        </is>
      </c>
      <c r="N591" s="13" t="n">
        <v>17</v>
      </c>
      <c r="O591" s="15">
        <f>IFERROR(INDEX(Venues!$C$2:$C$10,MATCH(M591,Venues!$A$2:$A$10,0)),"Not checked")</f>
        <v/>
      </c>
      <c r="P591" s="15">
        <f>IFERROR(INDEX(Venues!$D$2:$D$10,MATCH(M591,Venues!$A$2:$A$10,0)),0)</f>
        <v/>
      </c>
      <c r="Q591" s="42">
        <f>IFERROR(INDEX(Venues!$E$2:$E$10,MATCH(M591,Venues!$A$2:$A$10,0)),"")</f>
        <v/>
      </c>
      <c r="R591" s="15">
        <f>IF(P591&gt;0,"Yes","No")</f>
        <v/>
      </c>
      <c r="S591" s="13" t="inlineStr">
        <is>
          <t>Shoreditch Rooftop</t>
        </is>
      </c>
      <c r="T591" s="42">
        <f>IFERROR(INDEX(Venues!$E$2:$E$10,MATCH(S591,Venues!$A$2:$A$10,0)),"")</f>
        <v/>
      </c>
      <c r="U591" s="15">
        <f>IFERROR(INDEX(Venues!$F$2:$F$10,MATCH(S591,Venues!$A$2:$A$10,0)),"")</f>
        <v/>
      </c>
      <c r="V591" s="43">
        <f>IFERROR(INDEX(Venues!$H$2:$H$10,MATCH(S591,Venues!$A$2:$A$10,0)),"")</f>
        <v/>
      </c>
      <c r="W591" s="15">
        <f>IF('Pilot offer'!$C$24="Yes",'Pilot offer'!$C$3,S591)</f>
        <v/>
      </c>
      <c r="X591" s="42">
        <f>IF('Pilot offer'!$C$24="Yes",'Pilot offer'!$C$5+'Pilot offer'!$C$6,T591)</f>
        <v/>
      </c>
      <c r="Y591" s="15">
        <f>IF('Pilot offer'!$C$24="Yes",'Pilot offer'!$C$8,U591)</f>
        <v/>
      </c>
      <c r="Z591" s="43">
        <f>IF('Pilot offer'!$C$24="Yes",'Pilot offer'!$C$11,"")</f>
        <v/>
      </c>
      <c r="AA591" s="15">
        <f>IF(X591="","",W591&amp;" · "&amp;TEXT(X591,"ddd d mmm, hh:mm")&amp;" · "&amp;Y591&amp;IF(Z591&lt;&gt;""," · £"&amp;TEXT(Z591,"0.00")&amp;" per player"," · price TBC (cost £"&amp;TEXT(V591,"0.00")&amp;" pp)"))</f>
        <v/>
      </c>
      <c r="AD591" s="44" t="n"/>
    </row>
    <row r="592">
      <c r="A592" s="13" t="n">
        <v>590</v>
      </c>
      <c r="B592" s="13" t="inlineStr">
        <is>
          <t>3 · E1 Whitechapel</t>
        </is>
      </c>
      <c r="C592" s="13" t="inlineStr">
        <is>
          <t>Office &amp; professional</t>
        </is>
      </c>
      <c r="D592" s="13" t="inlineStr">
        <is>
          <t>Corporate</t>
        </is>
      </c>
      <c r="E592" s="13" t="inlineStr">
        <is>
          <t>Truth Consulting</t>
        </is>
      </c>
      <c r="F592" s="13" t="inlineStr">
        <is>
          <t>consultant</t>
        </is>
      </c>
      <c r="G592" s="13" t="inlineStr">
        <is>
          <t>info@truth.ms</t>
        </is>
      </c>
      <c r="H592" s="13" t="inlineStr">
        <is>
          <t>general</t>
        </is>
      </c>
      <c r="I592" s="13" t="inlineStr">
        <is>
          <t>+44 20 7199 4545</t>
        </is>
      </c>
      <c r="J592" s="14" t="inlineStr">
        <is>
          <t>http://www.truth.ms/</t>
        </is>
      </c>
      <c r="K592" s="13" t="inlineStr">
        <is>
          <t>154-158 Shoreditch High St, London E1 6HU, UK</t>
        </is>
      </c>
      <c r="L592" s="13" t="inlineStr">
        <is>
          <t>E1 6HU</t>
        </is>
      </c>
      <c r="M592" s="13" t="inlineStr">
        <is>
          <t>Shoreditch Rooftop</t>
        </is>
      </c>
      <c r="N592" s="13" t="n">
        <v>19</v>
      </c>
      <c r="O592" s="15">
        <f>IFERROR(INDEX(Venues!$C$2:$C$10,MATCH(M592,Venues!$A$2:$A$10,0)),"Not checked")</f>
        <v/>
      </c>
      <c r="P592" s="15">
        <f>IFERROR(INDEX(Venues!$D$2:$D$10,MATCH(M592,Venues!$A$2:$A$10,0)),0)</f>
        <v/>
      </c>
      <c r="Q592" s="42">
        <f>IFERROR(INDEX(Venues!$E$2:$E$10,MATCH(M592,Venues!$A$2:$A$10,0)),"")</f>
        <v/>
      </c>
      <c r="R592" s="15">
        <f>IF(P592&gt;0,"Yes","No")</f>
        <v/>
      </c>
      <c r="S592" s="13" t="inlineStr">
        <is>
          <t>Shoreditch Rooftop</t>
        </is>
      </c>
      <c r="T592" s="42">
        <f>IFERROR(INDEX(Venues!$E$2:$E$10,MATCH(S592,Venues!$A$2:$A$10,0)),"")</f>
        <v/>
      </c>
      <c r="U592" s="15">
        <f>IFERROR(INDEX(Venues!$F$2:$F$10,MATCH(S592,Venues!$A$2:$A$10,0)),"")</f>
        <v/>
      </c>
      <c r="V592" s="43">
        <f>IFERROR(INDEX(Venues!$H$2:$H$10,MATCH(S592,Venues!$A$2:$A$10,0)),"")</f>
        <v/>
      </c>
      <c r="W592" s="15">
        <f>IF('Pilot offer'!$C$24="Yes",'Pilot offer'!$C$3,S592)</f>
        <v/>
      </c>
      <c r="X592" s="42">
        <f>IF('Pilot offer'!$C$24="Yes",'Pilot offer'!$C$5+'Pilot offer'!$C$6,T592)</f>
        <v/>
      </c>
      <c r="Y592" s="15">
        <f>IF('Pilot offer'!$C$24="Yes",'Pilot offer'!$C$8,U592)</f>
        <v/>
      </c>
      <c r="Z592" s="43">
        <f>IF('Pilot offer'!$C$24="Yes",'Pilot offer'!$C$11,"")</f>
        <v/>
      </c>
      <c r="AA592" s="15">
        <f>IF(X592="","",W592&amp;" · "&amp;TEXT(X592,"ddd d mmm, hh:mm")&amp;" · "&amp;Y592&amp;IF(Z592&lt;&gt;""," · £"&amp;TEXT(Z592,"0.00")&amp;" per player"," · price TBC (cost £"&amp;TEXT(V592,"0.00")&amp;" pp)"))</f>
        <v/>
      </c>
      <c r="AD592" s="44" t="n"/>
    </row>
    <row r="593">
      <c r="A593" s="13" t="n">
        <v>591</v>
      </c>
      <c r="B593" s="13" t="inlineStr">
        <is>
          <t>3 · E1 Whitechapel</t>
        </is>
      </c>
      <c r="C593" s="13" t="inlineStr">
        <is>
          <t>Hospitality</t>
        </is>
      </c>
      <c r="D593" s="13" t="inlineStr">
        <is>
          <t>Local businesses</t>
        </is>
      </c>
      <c r="E593" s="13" t="inlineStr">
        <is>
          <t>Dallas</t>
        </is>
      </c>
      <c r="F593" s="13" t="inlineStr">
        <is>
          <t>amenity: restaurant</t>
        </is>
      </c>
      <c r="G593" s="13" t="inlineStr">
        <is>
          <t>hello@dallasburger.com</t>
        </is>
      </c>
      <c r="H593" s="13" t="inlineStr">
        <is>
          <t>general</t>
        </is>
      </c>
      <c r="I593" s="13" t="n"/>
      <c r="J593" s="14" t="inlineStr">
        <is>
          <t>https://www.dallasburger.com/</t>
        </is>
      </c>
      <c r="K593" s="13" t="inlineStr">
        <is>
          <t>Shoreditch High Street 138-139, London</t>
        </is>
      </c>
      <c r="L593" s="13" t="inlineStr">
        <is>
          <t>E1 6JE</t>
        </is>
      </c>
      <c r="M593" s="13" t="inlineStr">
        <is>
          <t>Shoreditch Rooftop</t>
        </is>
      </c>
      <c r="N593" s="13" t="n">
        <v>16</v>
      </c>
      <c r="O593" s="15">
        <f>IFERROR(INDEX(Venues!$C$2:$C$10,MATCH(M593,Venues!$A$2:$A$10,0)),"Not checked")</f>
        <v/>
      </c>
      <c r="P593" s="15">
        <f>IFERROR(INDEX(Venues!$D$2:$D$10,MATCH(M593,Venues!$A$2:$A$10,0)),0)</f>
        <v/>
      </c>
      <c r="Q593" s="42">
        <f>IFERROR(INDEX(Venues!$E$2:$E$10,MATCH(M593,Venues!$A$2:$A$10,0)),"")</f>
        <v/>
      </c>
      <c r="R593" s="15">
        <f>IF(P593&gt;0,"Yes","No")</f>
        <v/>
      </c>
      <c r="S593" s="13" t="inlineStr">
        <is>
          <t>Shoreditch Rooftop</t>
        </is>
      </c>
      <c r="T593" s="42">
        <f>IFERROR(INDEX(Venues!$E$2:$E$10,MATCH(S593,Venues!$A$2:$A$10,0)),"")</f>
        <v/>
      </c>
      <c r="U593" s="15">
        <f>IFERROR(INDEX(Venues!$F$2:$F$10,MATCH(S593,Venues!$A$2:$A$10,0)),"")</f>
        <v/>
      </c>
      <c r="V593" s="43">
        <f>IFERROR(INDEX(Venues!$H$2:$H$10,MATCH(S593,Venues!$A$2:$A$10,0)),"")</f>
        <v/>
      </c>
      <c r="W593" s="15">
        <f>IF('Pilot offer'!$C$24="Yes",'Pilot offer'!$C$3,S593)</f>
        <v/>
      </c>
      <c r="X593" s="42">
        <f>IF('Pilot offer'!$C$24="Yes",'Pilot offer'!$C$5+'Pilot offer'!$C$6,T593)</f>
        <v/>
      </c>
      <c r="Y593" s="15">
        <f>IF('Pilot offer'!$C$24="Yes",'Pilot offer'!$C$8,U593)</f>
        <v/>
      </c>
      <c r="Z593" s="43">
        <f>IF('Pilot offer'!$C$24="Yes",'Pilot offer'!$C$11,"")</f>
        <v/>
      </c>
      <c r="AA593" s="15">
        <f>IF(X593="","",W593&amp;" · "&amp;TEXT(X593,"ddd d mmm, hh:mm")&amp;" · "&amp;Y593&amp;IF(Z593&lt;&gt;""," · £"&amp;TEXT(Z593,"0.00")&amp;" per player"," · price TBC (cost £"&amp;TEXT(V593,"0.00")&amp;" pp)"))</f>
        <v/>
      </c>
      <c r="AD593" s="44" t="n"/>
    </row>
    <row r="594">
      <c r="A594" s="13" t="n">
        <v>592</v>
      </c>
      <c r="B594" s="13" t="inlineStr">
        <is>
          <t>3 · E1 Whitechapel</t>
        </is>
      </c>
      <c r="C594" s="13" t="inlineStr">
        <is>
          <t>Office &amp; professional</t>
        </is>
      </c>
      <c r="D594" s="13" t="inlineStr">
        <is>
          <t>Corporate</t>
        </is>
      </c>
      <c r="E594" s="13" t="inlineStr">
        <is>
          <t>Cetera Labs</t>
        </is>
      </c>
      <c r="F594" s="13" t="inlineStr">
        <is>
          <t>company</t>
        </is>
      </c>
      <c r="G594" s="13" t="inlineStr">
        <is>
          <t>welcome@ceteralabs.com</t>
        </is>
      </c>
      <c r="H594" s="13" t="inlineStr">
        <is>
          <t>general</t>
        </is>
      </c>
      <c r="I594" s="13" t="inlineStr">
        <is>
          <t>+1 347-620-0902</t>
        </is>
      </c>
      <c r="J594" s="14" t="inlineStr">
        <is>
          <t>https://ceteralabs.com/</t>
        </is>
      </c>
      <c r="K594" s="13" t="inlineStr">
        <is>
          <t>Shoreditch High Street, London</t>
        </is>
      </c>
      <c r="L594" s="13" t="inlineStr">
        <is>
          <t>E1 6JJ</t>
        </is>
      </c>
      <c r="M594" s="13" t="inlineStr">
        <is>
          <t>Shoreditch Rooftop</t>
        </is>
      </c>
      <c r="N594" s="13" t="n">
        <v>20</v>
      </c>
      <c r="O594" s="15">
        <f>IFERROR(INDEX(Venues!$C$2:$C$10,MATCH(M594,Venues!$A$2:$A$10,0)),"Not checked")</f>
        <v/>
      </c>
      <c r="P594" s="15">
        <f>IFERROR(INDEX(Venues!$D$2:$D$10,MATCH(M594,Venues!$A$2:$A$10,0)),0)</f>
        <v/>
      </c>
      <c r="Q594" s="42">
        <f>IFERROR(INDEX(Venues!$E$2:$E$10,MATCH(M594,Venues!$A$2:$A$10,0)),"")</f>
        <v/>
      </c>
      <c r="R594" s="15">
        <f>IF(P594&gt;0,"Yes","No")</f>
        <v/>
      </c>
      <c r="S594" s="13" t="inlineStr">
        <is>
          <t>Shoreditch Rooftop</t>
        </is>
      </c>
      <c r="T594" s="42">
        <f>IFERROR(INDEX(Venues!$E$2:$E$10,MATCH(S594,Venues!$A$2:$A$10,0)),"")</f>
        <v/>
      </c>
      <c r="U594" s="15">
        <f>IFERROR(INDEX(Venues!$F$2:$F$10,MATCH(S594,Venues!$A$2:$A$10,0)),"")</f>
        <v/>
      </c>
      <c r="V594" s="43">
        <f>IFERROR(INDEX(Venues!$H$2:$H$10,MATCH(S594,Venues!$A$2:$A$10,0)),"")</f>
        <v/>
      </c>
      <c r="W594" s="15">
        <f>IF('Pilot offer'!$C$24="Yes",'Pilot offer'!$C$3,S594)</f>
        <v/>
      </c>
      <c r="X594" s="42">
        <f>IF('Pilot offer'!$C$24="Yes",'Pilot offer'!$C$5+'Pilot offer'!$C$6,T594)</f>
        <v/>
      </c>
      <c r="Y594" s="15">
        <f>IF('Pilot offer'!$C$24="Yes",'Pilot offer'!$C$8,U594)</f>
        <v/>
      </c>
      <c r="Z594" s="43">
        <f>IF('Pilot offer'!$C$24="Yes",'Pilot offer'!$C$11,"")</f>
        <v/>
      </c>
      <c r="AA594" s="15">
        <f>IF(X594="","",W594&amp;" · "&amp;TEXT(X594,"ddd d mmm, hh:mm")&amp;" · "&amp;Y594&amp;IF(Z594&lt;&gt;""," · £"&amp;TEXT(Z594,"0.00")&amp;" per player"," · price TBC (cost £"&amp;TEXT(V594,"0.00")&amp;" pp)"))</f>
        <v/>
      </c>
      <c r="AD594" s="44" t="n"/>
    </row>
    <row r="595">
      <c r="A595" s="13" t="n">
        <v>593</v>
      </c>
      <c r="B595" s="13" t="inlineStr">
        <is>
          <t>3 · E1 Whitechapel</t>
        </is>
      </c>
      <c r="C595" s="13" t="inlineStr">
        <is>
          <t>Office &amp; professional</t>
        </is>
      </c>
      <c r="D595" s="13" t="inlineStr">
        <is>
          <t>Corporate</t>
        </is>
      </c>
      <c r="E595" s="13" t="inlineStr">
        <is>
          <t>MADX Digital</t>
        </is>
      </c>
      <c r="F595" s="13" t="inlineStr">
        <is>
          <t>service</t>
        </is>
      </c>
      <c r="G595" s="13" t="inlineStr">
        <is>
          <t>hello@madx.digital</t>
        </is>
      </c>
      <c r="H595" s="13" t="inlineStr">
        <is>
          <t>general</t>
        </is>
      </c>
      <c r="I595" s="13" t="inlineStr">
        <is>
          <t>+44 7526 697777</t>
        </is>
      </c>
      <c r="J595" s="14" t="inlineStr">
        <is>
          <t>https://www.madx.digital/</t>
        </is>
      </c>
      <c r="K595" s="13" t="inlineStr">
        <is>
          <t>56 Shoreditch High St, London E1 6JJ, UK</t>
        </is>
      </c>
      <c r="L595" s="13" t="inlineStr">
        <is>
          <t>E1 6JJ</t>
        </is>
      </c>
      <c r="M595" s="13" t="inlineStr">
        <is>
          <t>Shoreditch Rooftop</t>
        </is>
      </c>
      <c r="N595" s="13" t="n">
        <v>21</v>
      </c>
      <c r="O595" s="15">
        <f>IFERROR(INDEX(Venues!$C$2:$C$10,MATCH(M595,Venues!$A$2:$A$10,0)),"Not checked")</f>
        <v/>
      </c>
      <c r="P595" s="15">
        <f>IFERROR(INDEX(Venues!$D$2:$D$10,MATCH(M595,Venues!$A$2:$A$10,0)),0)</f>
        <v/>
      </c>
      <c r="Q595" s="42">
        <f>IFERROR(INDEX(Venues!$E$2:$E$10,MATCH(M595,Venues!$A$2:$A$10,0)),"")</f>
        <v/>
      </c>
      <c r="R595" s="15">
        <f>IF(P595&gt;0,"Yes","No")</f>
        <v/>
      </c>
      <c r="S595" s="13" t="inlineStr">
        <is>
          <t>Shoreditch Rooftop</t>
        </is>
      </c>
      <c r="T595" s="42">
        <f>IFERROR(INDEX(Venues!$E$2:$E$10,MATCH(S595,Venues!$A$2:$A$10,0)),"")</f>
        <v/>
      </c>
      <c r="U595" s="15">
        <f>IFERROR(INDEX(Venues!$F$2:$F$10,MATCH(S595,Venues!$A$2:$A$10,0)),"")</f>
        <v/>
      </c>
      <c r="V595" s="43">
        <f>IFERROR(INDEX(Venues!$H$2:$H$10,MATCH(S595,Venues!$A$2:$A$10,0)),"")</f>
        <v/>
      </c>
      <c r="W595" s="15">
        <f>IF('Pilot offer'!$C$24="Yes",'Pilot offer'!$C$3,S595)</f>
        <v/>
      </c>
      <c r="X595" s="42">
        <f>IF('Pilot offer'!$C$24="Yes",'Pilot offer'!$C$5+'Pilot offer'!$C$6,T595)</f>
        <v/>
      </c>
      <c r="Y595" s="15">
        <f>IF('Pilot offer'!$C$24="Yes",'Pilot offer'!$C$8,U595)</f>
        <v/>
      </c>
      <c r="Z595" s="43">
        <f>IF('Pilot offer'!$C$24="Yes",'Pilot offer'!$C$11,"")</f>
        <v/>
      </c>
      <c r="AA595" s="15">
        <f>IF(X595="","",W595&amp;" · "&amp;TEXT(X595,"ddd d mmm, hh:mm")&amp;" · "&amp;Y595&amp;IF(Z595&lt;&gt;""," · £"&amp;TEXT(Z595,"0.00")&amp;" per player"," · price TBC (cost £"&amp;TEXT(V595,"0.00")&amp;" pp)"))</f>
        <v/>
      </c>
      <c r="AD595" s="44" t="n"/>
    </row>
    <row r="596">
      <c r="A596" s="13" t="n">
        <v>594</v>
      </c>
      <c r="B596" s="13" t="inlineStr">
        <is>
          <t>3 · E1 Whitechapel</t>
        </is>
      </c>
      <c r="C596" s="13" t="inlineStr">
        <is>
          <t>Hospitality</t>
        </is>
      </c>
      <c r="D596" s="13" t="inlineStr">
        <is>
          <t>Local businesses</t>
        </is>
      </c>
      <c r="E596" s="13" t="inlineStr">
        <is>
          <t>Smoking Goat</t>
        </is>
      </c>
      <c r="F596" s="13" t="inlineStr">
        <is>
          <t>amenity: restaurant</t>
        </is>
      </c>
      <c r="G596" s="13" t="inlineStr">
        <is>
          <t>info@smokinggoatbar.com</t>
        </is>
      </c>
      <c r="H596" s="13" t="inlineStr">
        <is>
          <t>general</t>
        </is>
      </c>
      <c r="I596" s="13" t="n"/>
      <c r="J596" s="14" t="inlineStr">
        <is>
          <t>https://www.smokinggoatbar.com/</t>
        </is>
      </c>
      <c r="K596" s="13" t="inlineStr">
        <is>
          <t>Shoreditch High Street 64, London</t>
        </is>
      </c>
      <c r="L596" s="13" t="inlineStr">
        <is>
          <t>E1 6JJ</t>
        </is>
      </c>
      <c r="M596" s="13" t="inlineStr">
        <is>
          <t>Shoreditch Rooftop</t>
        </is>
      </c>
      <c r="N596" s="13" t="n">
        <v>20</v>
      </c>
      <c r="O596" s="15">
        <f>IFERROR(INDEX(Venues!$C$2:$C$10,MATCH(M596,Venues!$A$2:$A$10,0)),"Not checked")</f>
        <v/>
      </c>
      <c r="P596" s="15">
        <f>IFERROR(INDEX(Venues!$D$2:$D$10,MATCH(M596,Venues!$A$2:$A$10,0)),0)</f>
        <v/>
      </c>
      <c r="Q596" s="42">
        <f>IFERROR(INDEX(Venues!$E$2:$E$10,MATCH(M596,Venues!$A$2:$A$10,0)),"")</f>
        <v/>
      </c>
      <c r="R596" s="15">
        <f>IF(P596&gt;0,"Yes","No")</f>
        <v/>
      </c>
      <c r="S596" s="13" t="inlineStr">
        <is>
          <t>Shoreditch Rooftop</t>
        </is>
      </c>
      <c r="T596" s="42">
        <f>IFERROR(INDEX(Venues!$E$2:$E$10,MATCH(S596,Venues!$A$2:$A$10,0)),"")</f>
        <v/>
      </c>
      <c r="U596" s="15">
        <f>IFERROR(INDEX(Venues!$F$2:$F$10,MATCH(S596,Venues!$A$2:$A$10,0)),"")</f>
        <v/>
      </c>
      <c r="V596" s="43">
        <f>IFERROR(INDEX(Venues!$H$2:$H$10,MATCH(S596,Venues!$A$2:$A$10,0)),"")</f>
        <v/>
      </c>
      <c r="W596" s="15">
        <f>IF('Pilot offer'!$C$24="Yes",'Pilot offer'!$C$3,S596)</f>
        <v/>
      </c>
      <c r="X596" s="42">
        <f>IF('Pilot offer'!$C$24="Yes",'Pilot offer'!$C$5+'Pilot offer'!$C$6,T596)</f>
        <v/>
      </c>
      <c r="Y596" s="15">
        <f>IF('Pilot offer'!$C$24="Yes",'Pilot offer'!$C$8,U596)</f>
        <v/>
      </c>
      <c r="Z596" s="43">
        <f>IF('Pilot offer'!$C$24="Yes",'Pilot offer'!$C$11,"")</f>
        <v/>
      </c>
      <c r="AA596" s="15">
        <f>IF(X596="","",W596&amp;" · "&amp;TEXT(X596,"ddd d mmm, hh:mm")&amp;" · "&amp;Y596&amp;IF(Z596&lt;&gt;""," · £"&amp;TEXT(Z596,"0.00")&amp;" per player"," · price TBC (cost £"&amp;TEXT(V596,"0.00")&amp;" pp)"))</f>
        <v/>
      </c>
      <c r="AD596" s="44" t="n"/>
    </row>
    <row r="597">
      <c r="A597" s="13" t="n">
        <v>595</v>
      </c>
      <c r="B597" s="13" t="inlineStr">
        <is>
          <t>3 · E1 Whitechapel</t>
        </is>
      </c>
      <c r="C597" s="13" t="inlineStr">
        <is>
          <t>Coworking / shared office</t>
        </is>
      </c>
      <c r="D597" s="13" t="inlineStr">
        <is>
          <t>Corporate</t>
        </is>
      </c>
      <c r="E597" s="13" t="inlineStr">
        <is>
          <t>Soho Works Shoreditch</t>
        </is>
      </c>
      <c r="F597" s="13" t="inlineStr">
        <is>
          <t>coworking_space</t>
        </is>
      </c>
      <c r="G597" s="13" t="inlineStr">
        <is>
          <t>membersupport@sohohouse.com</t>
        </is>
      </c>
      <c r="H597" s="13" t="inlineStr">
        <is>
          <t>person_or_other</t>
        </is>
      </c>
      <c r="I597" s="13" t="inlineStr">
        <is>
          <t>+44 20 3841 7600</t>
        </is>
      </c>
      <c r="J597" s="14" t="inlineStr">
        <is>
          <t>https://sohoworks.com/shoreditch/?utm_source=google&amp;utm_medium=organic&amp;utm_campaign=googlemybusiness</t>
        </is>
      </c>
      <c r="K597" s="13" t="inlineStr">
        <is>
          <t>56 Shoreditch High St, London E1 6JJ, UK</t>
        </is>
      </c>
      <c r="L597" s="13" t="inlineStr">
        <is>
          <t>E1 6JJ</t>
        </is>
      </c>
      <c r="M597" s="13" t="inlineStr">
        <is>
          <t>Shoreditch Rooftop</t>
        </is>
      </c>
      <c r="N597" s="13" t="n">
        <v>21</v>
      </c>
      <c r="O597" s="15">
        <f>IFERROR(INDEX(Venues!$C$2:$C$10,MATCH(M597,Venues!$A$2:$A$10,0)),"Not checked")</f>
        <v/>
      </c>
      <c r="P597" s="15">
        <f>IFERROR(INDEX(Venues!$D$2:$D$10,MATCH(M597,Venues!$A$2:$A$10,0)),0)</f>
        <v/>
      </c>
      <c r="Q597" s="42">
        <f>IFERROR(INDEX(Venues!$E$2:$E$10,MATCH(M597,Venues!$A$2:$A$10,0)),"")</f>
        <v/>
      </c>
      <c r="R597" s="15">
        <f>IF(P597&gt;0,"Yes","No")</f>
        <v/>
      </c>
      <c r="S597" s="13" t="inlineStr">
        <is>
          <t>Shoreditch Rooftop</t>
        </is>
      </c>
      <c r="T597" s="42">
        <f>IFERROR(INDEX(Venues!$E$2:$E$10,MATCH(S597,Venues!$A$2:$A$10,0)),"")</f>
        <v/>
      </c>
      <c r="U597" s="15">
        <f>IFERROR(INDEX(Venues!$F$2:$F$10,MATCH(S597,Venues!$A$2:$A$10,0)),"")</f>
        <v/>
      </c>
      <c r="V597" s="43">
        <f>IFERROR(INDEX(Venues!$H$2:$H$10,MATCH(S597,Venues!$A$2:$A$10,0)),"")</f>
        <v/>
      </c>
      <c r="W597" s="15">
        <f>IF('Pilot offer'!$C$24="Yes",'Pilot offer'!$C$3,S597)</f>
        <v/>
      </c>
      <c r="X597" s="42">
        <f>IF('Pilot offer'!$C$24="Yes",'Pilot offer'!$C$5+'Pilot offer'!$C$6,T597)</f>
        <v/>
      </c>
      <c r="Y597" s="15">
        <f>IF('Pilot offer'!$C$24="Yes",'Pilot offer'!$C$8,U597)</f>
        <v/>
      </c>
      <c r="Z597" s="43">
        <f>IF('Pilot offer'!$C$24="Yes",'Pilot offer'!$C$11,"")</f>
        <v/>
      </c>
      <c r="AA597" s="15">
        <f>IF(X597="","",W597&amp;" · "&amp;TEXT(X597,"ddd d mmm, hh:mm")&amp;" · "&amp;Y597&amp;IF(Z597&lt;&gt;""," · £"&amp;TEXT(Z597,"0.00")&amp;" per player"," · price TBC (cost £"&amp;TEXT(V597,"0.00")&amp;" pp)"))</f>
        <v/>
      </c>
      <c r="AD597" s="44" t="n"/>
    </row>
    <row r="598">
      <c r="A598" s="13" t="n">
        <v>596</v>
      </c>
      <c r="B598" s="13" t="inlineStr">
        <is>
          <t>3 · E1 Whitechapel</t>
        </is>
      </c>
      <c r="C598" s="13" t="inlineStr">
        <is>
          <t>Retail</t>
        </is>
      </c>
      <c r="D598" s="13" t="inlineStr">
        <is>
          <t>Local businesses</t>
        </is>
      </c>
      <c r="E598" s="13" t="inlineStr">
        <is>
          <t>Cowling and Wilcox</t>
        </is>
      </c>
      <c r="F598" s="13" t="inlineStr">
        <is>
          <t>shop: art</t>
        </is>
      </c>
      <c r="G598" s="13" t="inlineStr">
        <is>
          <t>shoreditch@cowlings.com</t>
        </is>
      </c>
      <c r="H598" s="13" t="inlineStr">
        <is>
          <t>openstreetmap_tag</t>
        </is>
      </c>
      <c r="I598" s="13" t="inlineStr">
        <is>
          <t>+44 20 7033 3685</t>
        </is>
      </c>
      <c r="J598" s="14" t="inlineStr">
        <is>
          <t>https://www.cowlingandwilcox.com/ourshops.aspx</t>
        </is>
      </c>
      <c r="K598" s="13" t="inlineStr">
        <is>
          <t>Shoreditch High Street 112, London</t>
        </is>
      </c>
      <c r="L598" s="13" t="inlineStr">
        <is>
          <t>E1 6JN</t>
        </is>
      </c>
      <c r="M598" s="13" t="inlineStr">
        <is>
          <t>Shoreditch Rooftop</t>
        </is>
      </c>
      <c r="N598" s="13" t="n">
        <v>16</v>
      </c>
      <c r="O598" s="15">
        <f>IFERROR(INDEX(Venues!$C$2:$C$10,MATCH(M598,Venues!$A$2:$A$10,0)),"Not checked")</f>
        <v/>
      </c>
      <c r="P598" s="15">
        <f>IFERROR(INDEX(Venues!$D$2:$D$10,MATCH(M598,Venues!$A$2:$A$10,0)),0)</f>
        <v/>
      </c>
      <c r="Q598" s="42">
        <f>IFERROR(INDEX(Venues!$E$2:$E$10,MATCH(M598,Venues!$A$2:$A$10,0)),"")</f>
        <v/>
      </c>
      <c r="R598" s="15">
        <f>IF(P598&gt;0,"Yes","No")</f>
        <v/>
      </c>
      <c r="S598" s="13" t="inlineStr">
        <is>
          <t>Shoreditch Rooftop</t>
        </is>
      </c>
      <c r="T598" s="42">
        <f>IFERROR(INDEX(Venues!$E$2:$E$10,MATCH(S598,Venues!$A$2:$A$10,0)),"")</f>
        <v/>
      </c>
      <c r="U598" s="15">
        <f>IFERROR(INDEX(Venues!$F$2:$F$10,MATCH(S598,Venues!$A$2:$A$10,0)),"")</f>
        <v/>
      </c>
      <c r="V598" s="43">
        <f>IFERROR(INDEX(Venues!$H$2:$H$10,MATCH(S598,Venues!$A$2:$A$10,0)),"")</f>
        <v/>
      </c>
      <c r="W598" s="15">
        <f>IF('Pilot offer'!$C$24="Yes",'Pilot offer'!$C$3,S598)</f>
        <v/>
      </c>
      <c r="X598" s="42">
        <f>IF('Pilot offer'!$C$24="Yes",'Pilot offer'!$C$5+'Pilot offer'!$C$6,T598)</f>
        <v/>
      </c>
      <c r="Y598" s="15">
        <f>IF('Pilot offer'!$C$24="Yes",'Pilot offer'!$C$8,U598)</f>
        <v/>
      </c>
      <c r="Z598" s="43">
        <f>IF('Pilot offer'!$C$24="Yes",'Pilot offer'!$C$11,"")</f>
        <v/>
      </c>
      <c r="AA598" s="15">
        <f>IF(X598="","",W598&amp;" · "&amp;TEXT(X598,"ddd d mmm, hh:mm")&amp;" · "&amp;Y598&amp;IF(Z598&lt;&gt;""," · £"&amp;TEXT(Z598,"0.00")&amp;" per player"," · price TBC (cost £"&amp;TEXT(V598,"0.00")&amp;" pp)"))</f>
        <v/>
      </c>
      <c r="AD598" s="44" t="n"/>
    </row>
    <row r="599">
      <c r="A599" s="13" t="n">
        <v>597</v>
      </c>
      <c r="B599" s="13" t="inlineStr">
        <is>
          <t>3 · E1 Whitechapel</t>
        </is>
      </c>
      <c r="C599" s="13" t="inlineStr">
        <is>
          <t>Hospitality</t>
        </is>
      </c>
      <c r="D599" s="13" t="inlineStr">
        <is>
          <t>Local businesses</t>
        </is>
      </c>
      <c r="E599" s="13" t="inlineStr">
        <is>
          <t>Seed Library</t>
        </is>
      </c>
      <c r="F599" s="13" t="inlineStr">
        <is>
          <t>amenity: bar</t>
        </is>
      </c>
      <c r="G599" s="13" t="inlineStr">
        <is>
          <t>hello@onehundredshoreditch.com</t>
        </is>
      </c>
      <c r="H599" s="13" t="inlineStr">
        <is>
          <t>general</t>
        </is>
      </c>
      <c r="I599" s="13" t="n"/>
      <c r="J599" s="14" t="inlineStr">
        <is>
          <t>https://onehundredshoreditch.com/eat-drink/seed-library/</t>
        </is>
      </c>
      <c r="K599" s="13" t="inlineStr">
        <is>
          <t>Shoreditch High Street 100, London</t>
        </is>
      </c>
      <c r="L599" s="13" t="inlineStr">
        <is>
          <t>E1 6JQ</t>
        </is>
      </c>
      <c r="M599" s="13" t="inlineStr">
        <is>
          <t>Shoreditch Rooftop</t>
        </is>
      </c>
      <c r="N599" s="13" t="n">
        <v>17</v>
      </c>
      <c r="O599" s="15">
        <f>IFERROR(INDEX(Venues!$C$2:$C$10,MATCH(M599,Venues!$A$2:$A$10,0)),"Not checked")</f>
        <v/>
      </c>
      <c r="P599" s="15">
        <f>IFERROR(INDEX(Venues!$D$2:$D$10,MATCH(M599,Venues!$A$2:$A$10,0)),0)</f>
        <v/>
      </c>
      <c r="Q599" s="42">
        <f>IFERROR(INDEX(Venues!$E$2:$E$10,MATCH(M599,Venues!$A$2:$A$10,0)),"")</f>
        <v/>
      </c>
      <c r="R599" s="15">
        <f>IF(P599&gt;0,"Yes","No")</f>
        <v/>
      </c>
      <c r="S599" s="13" t="inlineStr">
        <is>
          <t>Shoreditch Rooftop</t>
        </is>
      </c>
      <c r="T599" s="42">
        <f>IFERROR(INDEX(Venues!$E$2:$E$10,MATCH(S599,Venues!$A$2:$A$10,0)),"")</f>
        <v/>
      </c>
      <c r="U599" s="15">
        <f>IFERROR(INDEX(Venues!$F$2:$F$10,MATCH(S599,Venues!$A$2:$A$10,0)),"")</f>
        <v/>
      </c>
      <c r="V599" s="43">
        <f>IFERROR(INDEX(Venues!$H$2:$H$10,MATCH(S599,Venues!$A$2:$A$10,0)),"")</f>
        <v/>
      </c>
      <c r="W599" s="15">
        <f>IF('Pilot offer'!$C$24="Yes",'Pilot offer'!$C$3,S599)</f>
        <v/>
      </c>
      <c r="X599" s="42">
        <f>IF('Pilot offer'!$C$24="Yes",'Pilot offer'!$C$5+'Pilot offer'!$C$6,T599)</f>
        <v/>
      </c>
      <c r="Y599" s="15">
        <f>IF('Pilot offer'!$C$24="Yes",'Pilot offer'!$C$8,U599)</f>
        <v/>
      </c>
      <c r="Z599" s="43">
        <f>IF('Pilot offer'!$C$24="Yes",'Pilot offer'!$C$11,"")</f>
        <v/>
      </c>
      <c r="AA599" s="15">
        <f>IF(X599="","",W599&amp;" · "&amp;TEXT(X599,"ddd d mmm, hh:mm")&amp;" · "&amp;Y599&amp;IF(Z599&lt;&gt;""," · £"&amp;TEXT(Z599,"0.00")&amp;" per player"," · price TBC (cost £"&amp;TEXT(V599,"0.00")&amp;" pp)"))</f>
        <v/>
      </c>
      <c r="AD599" s="44" t="n"/>
    </row>
    <row r="600">
      <c r="A600" s="13" t="n">
        <v>598</v>
      </c>
      <c r="B600" s="13" t="inlineStr">
        <is>
          <t>3 · E1 Whitechapel</t>
        </is>
      </c>
      <c r="C600" s="13" t="inlineStr">
        <is>
          <t>Office &amp; professional</t>
        </is>
      </c>
      <c r="D600" s="13" t="inlineStr">
        <is>
          <t>Corporate</t>
        </is>
      </c>
      <c r="E600" s="13" t="inlineStr">
        <is>
          <t>Ralph</t>
        </is>
      </c>
      <c r="F600" s="13" t="inlineStr">
        <is>
          <t>service</t>
        </is>
      </c>
      <c r="G600" s="13" t="inlineStr">
        <is>
          <t>hello@ralph.world</t>
        </is>
      </c>
      <c r="H600" s="13" t="inlineStr">
        <is>
          <t>general</t>
        </is>
      </c>
      <c r="I600" s="13" t="inlineStr">
        <is>
          <t>+44 20 3006 6730</t>
        </is>
      </c>
      <c r="J600" s="14" t="inlineStr">
        <is>
          <t>http://www.ralphandco.com/</t>
        </is>
      </c>
      <c r="K600" s="13" t="inlineStr">
        <is>
          <t>27, 33 Bethnal Grn Rd, London E1 6LA, UK</t>
        </is>
      </c>
      <c r="L600" s="13" t="inlineStr">
        <is>
          <t>E1 6LA</t>
        </is>
      </c>
      <c r="M600" s="13" t="inlineStr">
        <is>
          <t>Shoreditch Rooftop</t>
        </is>
      </c>
      <c r="N600" s="13" t="n">
        <v>22</v>
      </c>
      <c r="O600" s="15">
        <f>IFERROR(INDEX(Venues!$C$2:$C$10,MATCH(M600,Venues!$A$2:$A$10,0)),"Not checked")</f>
        <v/>
      </c>
      <c r="P600" s="15">
        <f>IFERROR(INDEX(Venues!$D$2:$D$10,MATCH(M600,Venues!$A$2:$A$10,0)),0)</f>
        <v/>
      </c>
      <c r="Q600" s="42">
        <f>IFERROR(INDEX(Venues!$E$2:$E$10,MATCH(M600,Venues!$A$2:$A$10,0)),"")</f>
        <v/>
      </c>
      <c r="R600" s="15">
        <f>IF(P600&gt;0,"Yes","No")</f>
        <v/>
      </c>
      <c r="S600" s="13" t="inlineStr">
        <is>
          <t>Shoreditch Rooftop</t>
        </is>
      </c>
      <c r="T600" s="42">
        <f>IFERROR(INDEX(Venues!$E$2:$E$10,MATCH(S600,Venues!$A$2:$A$10,0)),"")</f>
        <v/>
      </c>
      <c r="U600" s="15">
        <f>IFERROR(INDEX(Venues!$F$2:$F$10,MATCH(S600,Venues!$A$2:$A$10,0)),"")</f>
        <v/>
      </c>
      <c r="V600" s="43">
        <f>IFERROR(INDEX(Venues!$H$2:$H$10,MATCH(S600,Venues!$A$2:$A$10,0)),"")</f>
        <v/>
      </c>
      <c r="W600" s="15">
        <f>IF('Pilot offer'!$C$24="Yes",'Pilot offer'!$C$3,S600)</f>
        <v/>
      </c>
      <c r="X600" s="42">
        <f>IF('Pilot offer'!$C$24="Yes",'Pilot offer'!$C$5+'Pilot offer'!$C$6,T600)</f>
        <v/>
      </c>
      <c r="Y600" s="15">
        <f>IF('Pilot offer'!$C$24="Yes",'Pilot offer'!$C$8,U600)</f>
        <v/>
      </c>
      <c r="Z600" s="43">
        <f>IF('Pilot offer'!$C$24="Yes",'Pilot offer'!$C$11,"")</f>
        <v/>
      </c>
      <c r="AA600" s="15">
        <f>IF(X600="","",W600&amp;" · "&amp;TEXT(X600,"ddd d mmm, hh:mm")&amp;" · "&amp;Y600&amp;IF(Z600&lt;&gt;""," · £"&amp;TEXT(Z600,"0.00")&amp;" per player"," · price TBC (cost £"&amp;TEXT(V600,"0.00")&amp;" pp)"))</f>
        <v/>
      </c>
      <c r="AD600" s="44" t="n"/>
    </row>
    <row r="601">
      <c r="A601" s="13" t="n">
        <v>599</v>
      </c>
      <c r="B601" s="13" t="inlineStr">
        <is>
          <t>3 · E1 Whitechapel</t>
        </is>
      </c>
      <c r="C601" s="13" t="inlineStr">
        <is>
          <t>Coworking / shared office</t>
        </is>
      </c>
      <c r="D601" s="13" t="inlineStr">
        <is>
          <t>Corporate</t>
        </is>
      </c>
      <c r="E601" s="13" t="inlineStr">
        <is>
          <t>Home - House of Music and Entertainment</t>
        </is>
      </c>
      <c r="F601" s="13" t="inlineStr">
        <is>
          <t>coworking</t>
        </is>
      </c>
      <c r="G601" s="13" t="inlineStr">
        <is>
          <t>enquiries@homeuk.net</t>
        </is>
      </c>
      <c r="H601" s="13" t="inlineStr">
        <is>
          <t>general</t>
        </is>
      </c>
      <c r="I601" s="13" t="n"/>
      <c r="J601" s="14" t="inlineStr">
        <is>
          <t>https://www.homeuk.net/</t>
        </is>
      </c>
      <c r="K601" s="13" t="inlineStr">
        <is>
          <t>20 Commercial Street, London</t>
        </is>
      </c>
      <c r="L601" s="13" t="inlineStr">
        <is>
          <t>E1 6LP</t>
        </is>
      </c>
      <c r="M601" s="13" t="inlineStr">
        <is>
          <t>Whitechapel</t>
        </is>
      </c>
      <c r="N601" s="13" t="n">
        <v>15</v>
      </c>
      <c r="O601" s="15">
        <f>IFERROR(INDEX(Venues!$C$2:$C$10,MATCH(M601,Venues!$A$2:$A$10,0)),"Not checked")</f>
        <v/>
      </c>
      <c r="P601" s="15">
        <f>IFERROR(INDEX(Venues!$D$2:$D$10,MATCH(M601,Venues!$A$2:$A$10,0)),0)</f>
        <v/>
      </c>
      <c r="Q601" s="42">
        <f>IFERROR(INDEX(Venues!$E$2:$E$10,MATCH(M601,Venues!$A$2:$A$10,0)),"")</f>
        <v/>
      </c>
      <c r="R601" s="15">
        <f>IF(P601&gt;0,"Yes","No")</f>
        <v/>
      </c>
      <c r="S601" s="13" t="inlineStr">
        <is>
          <t>COLA Shoreditch Park</t>
        </is>
      </c>
      <c r="T601" s="42">
        <f>IFERROR(INDEX(Venues!$E$2:$E$10,MATCH(S601,Venues!$A$2:$A$10,0)),"")</f>
        <v/>
      </c>
      <c r="U601" s="15">
        <f>IFERROR(INDEX(Venues!$F$2:$F$10,MATCH(S601,Venues!$A$2:$A$10,0)),"")</f>
        <v/>
      </c>
      <c r="V601" s="43">
        <f>IFERROR(INDEX(Venues!$H$2:$H$10,MATCH(S601,Venues!$A$2:$A$10,0)),"")</f>
        <v/>
      </c>
      <c r="W601" s="15">
        <f>IF('Pilot offer'!$C$24="Yes",'Pilot offer'!$C$3,S601)</f>
        <v/>
      </c>
      <c r="X601" s="42">
        <f>IF('Pilot offer'!$C$24="Yes",'Pilot offer'!$C$5+'Pilot offer'!$C$6,T601)</f>
        <v/>
      </c>
      <c r="Y601" s="15">
        <f>IF('Pilot offer'!$C$24="Yes",'Pilot offer'!$C$8,U601)</f>
        <v/>
      </c>
      <c r="Z601" s="43">
        <f>IF('Pilot offer'!$C$24="Yes",'Pilot offer'!$C$11,"")</f>
        <v/>
      </c>
      <c r="AA601" s="15">
        <f>IF(X601="","",W601&amp;" · "&amp;TEXT(X601,"ddd d mmm, hh:mm")&amp;" · "&amp;Y601&amp;IF(Z601&lt;&gt;""," · £"&amp;TEXT(Z601,"0.00")&amp;" per player"," · price TBC (cost £"&amp;TEXT(V601,"0.00")&amp;" pp)"))</f>
        <v/>
      </c>
      <c r="AD601" s="44" t="n"/>
    </row>
    <row r="602">
      <c r="A602" s="13" t="n">
        <v>600</v>
      </c>
      <c r="B602" s="13" t="inlineStr">
        <is>
          <t>3 · E1 Whitechapel</t>
        </is>
      </c>
      <c r="C602" s="13" t="inlineStr">
        <is>
          <t>Office &amp; professional</t>
        </is>
      </c>
      <c r="D602" s="13" t="inlineStr">
        <is>
          <t>Corporate</t>
        </is>
      </c>
      <c r="E602" s="13" t="inlineStr">
        <is>
          <t>Hubers Law</t>
        </is>
      </c>
      <c r="F602" s="13" t="inlineStr">
        <is>
          <t>consultant</t>
        </is>
      </c>
      <c r="G602" s="13" t="inlineStr">
        <is>
          <t>info@huberslaw.co.uk</t>
        </is>
      </c>
      <c r="H602" s="13" t="inlineStr">
        <is>
          <t>general</t>
        </is>
      </c>
      <c r="I602" s="13" t="inlineStr">
        <is>
          <t>+44 20 3488 0953</t>
        </is>
      </c>
      <c r="J602" s="14" t="inlineStr">
        <is>
          <t>http://www.huberslaw.co.uk/</t>
        </is>
      </c>
      <c r="K602" s="13" t="inlineStr">
        <is>
          <t>2, 3rd floor, 4 Commercial St, London E1 6LP, UK</t>
        </is>
      </c>
      <c r="L602" s="13" t="inlineStr">
        <is>
          <t>E1 6LP</t>
        </is>
      </c>
      <c r="M602" s="13" t="inlineStr">
        <is>
          <t>Whitechapel</t>
        </is>
      </c>
      <c r="N602" s="13" t="n">
        <v>14</v>
      </c>
      <c r="O602" s="15">
        <f>IFERROR(INDEX(Venues!$C$2:$C$10,MATCH(M602,Venues!$A$2:$A$10,0)),"Not checked")</f>
        <v/>
      </c>
      <c r="P602" s="15">
        <f>IFERROR(INDEX(Venues!$D$2:$D$10,MATCH(M602,Venues!$A$2:$A$10,0)),0)</f>
        <v/>
      </c>
      <c r="Q602" s="42">
        <f>IFERROR(INDEX(Venues!$E$2:$E$10,MATCH(M602,Venues!$A$2:$A$10,0)),"")</f>
        <v/>
      </c>
      <c r="R602" s="15">
        <f>IF(P602&gt;0,"Yes","No")</f>
        <v/>
      </c>
      <c r="S602" s="13" t="inlineStr">
        <is>
          <t>COLA Shoreditch Park</t>
        </is>
      </c>
      <c r="T602" s="42">
        <f>IFERROR(INDEX(Venues!$E$2:$E$10,MATCH(S602,Venues!$A$2:$A$10,0)),"")</f>
        <v/>
      </c>
      <c r="U602" s="15">
        <f>IFERROR(INDEX(Venues!$F$2:$F$10,MATCH(S602,Venues!$A$2:$A$10,0)),"")</f>
        <v/>
      </c>
      <c r="V602" s="43">
        <f>IFERROR(INDEX(Venues!$H$2:$H$10,MATCH(S602,Venues!$A$2:$A$10,0)),"")</f>
        <v/>
      </c>
      <c r="W602" s="15">
        <f>IF('Pilot offer'!$C$24="Yes",'Pilot offer'!$C$3,S602)</f>
        <v/>
      </c>
      <c r="X602" s="42">
        <f>IF('Pilot offer'!$C$24="Yes",'Pilot offer'!$C$5+'Pilot offer'!$C$6,T602)</f>
        <v/>
      </c>
      <c r="Y602" s="15">
        <f>IF('Pilot offer'!$C$24="Yes",'Pilot offer'!$C$8,U602)</f>
        <v/>
      </c>
      <c r="Z602" s="43">
        <f>IF('Pilot offer'!$C$24="Yes",'Pilot offer'!$C$11,"")</f>
        <v/>
      </c>
      <c r="AA602" s="15">
        <f>IF(X602="","",W602&amp;" · "&amp;TEXT(X602,"ddd d mmm, hh:mm")&amp;" · "&amp;Y602&amp;IF(Z602&lt;&gt;""," · £"&amp;TEXT(Z602,"0.00")&amp;" per player"," · price TBC (cost £"&amp;TEXT(V602,"0.00")&amp;" pp)"))</f>
        <v/>
      </c>
      <c r="AD602" s="44" t="n"/>
    </row>
    <row r="603">
      <c r="A603" s="13" t="n">
        <v>601</v>
      </c>
      <c r="B603" s="13" t="inlineStr">
        <is>
          <t>3 · E1 Whitechapel</t>
        </is>
      </c>
      <c r="C603" s="13" t="inlineStr">
        <is>
          <t>Hospitality</t>
        </is>
      </c>
      <c r="D603" s="13" t="inlineStr">
        <is>
          <t>Local businesses</t>
        </is>
      </c>
      <c r="E603" s="13" t="inlineStr">
        <is>
          <t>The Culpeper</t>
        </is>
      </c>
      <c r="F603" s="13" t="inlineStr">
        <is>
          <t>amenity: pub</t>
        </is>
      </c>
      <c r="G603" s="13" t="inlineStr">
        <is>
          <t>events@theculpeper.com</t>
        </is>
      </c>
      <c r="H603" s="13" t="inlineStr">
        <is>
          <t>people_team</t>
        </is>
      </c>
      <c r="I603" s="13" t="inlineStr">
        <is>
          <t>+44 20 7247 5371</t>
        </is>
      </c>
      <c r="J603" s="14" t="inlineStr">
        <is>
          <t>https://www.theculpeper.com/</t>
        </is>
      </c>
      <c r="K603" s="13" t="inlineStr">
        <is>
          <t>Commercial Street 40, London</t>
        </is>
      </c>
      <c r="L603" s="13" t="inlineStr">
        <is>
          <t>E1 6LP</t>
        </is>
      </c>
      <c r="M603" s="13" t="inlineStr">
        <is>
          <t>Whitechapel</t>
        </is>
      </c>
      <c r="N603" s="13" t="n">
        <v>15</v>
      </c>
      <c r="O603" s="15">
        <f>IFERROR(INDEX(Venues!$C$2:$C$10,MATCH(M603,Venues!$A$2:$A$10,0)),"Not checked")</f>
        <v/>
      </c>
      <c r="P603" s="15">
        <f>IFERROR(INDEX(Venues!$D$2:$D$10,MATCH(M603,Venues!$A$2:$A$10,0)),0)</f>
        <v/>
      </c>
      <c r="Q603" s="42">
        <f>IFERROR(INDEX(Venues!$E$2:$E$10,MATCH(M603,Venues!$A$2:$A$10,0)),"")</f>
        <v/>
      </c>
      <c r="R603" s="15">
        <f>IF(P603&gt;0,"Yes","No")</f>
        <v/>
      </c>
      <c r="S603" s="13" t="inlineStr">
        <is>
          <t>COLA Shoreditch Park</t>
        </is>
      </c>
      <c r="T603" s="42">
        <f>IFERROR(INDEX(Venues!$E$2:$E$10,MATCH(S603,Venues!$A$2:$A$10,0)),"")</f>
        <v/>
      </c>
      <c r="U603" s="15">
        <f>IFERROR(INDEX(Venues!$F$2:$F$10,MATCH(S603,Venues!$A$2:$A$10,0)),"")</f>
        <v/>
      </c>
      <c r="V603" s="43">
        <f>IFERROR(INDEX(Venues!$H$2:$H$10,MATCH(S603,Venues!$A$2:$A$10,0)),"")</f>
        <v/>
      </c>
      <c r="W603" s="15">
        <f>IF('Pilot offer'!$C$24="Yes",'Pilot offer'!$C$3,S603)</f>
        <v/>
      </c>
      <c r="X603" s="42">
        <f>IF('Pilot offer'!$C$24="Yes",'Pilot offer'!$C$5+'Pilot offer'!$C$6,T603)</f>
        <v/>
      </c>
      <c r="Y603" s="15">
        <f>IF('Pilot offer'!$C$24="Yes",'Pilot offer'!$C$8,U603)</f>
        <v/>
      </c>
      <c r="Z603" s="43">
        <f>IF('Pilot offer'!$C$24="Yes",'Pilot offer'!$C$11,"")</f>
        <v/>
      </c>
      <c r="AA603" s="15">
        <f>IF(X603="","",W603&amp;" · "&amp;TEXT(X603,"ddd d mmm, hh:mm")&amp;" · "&amp;Y603&amp;IF(Z603&lt;&gt;""," · £"&amp;TEXT(Z603,"0.00")&amp;" per player"," · price TBC (cost £"&amp;TEXT(V603,"0.00")&amp;" pp)"))</f>
        <v/>
      </c>
      <c r="AD603" s="44" t="n"/>
    </row>
    <row r="604">
      <c r="A604" s="13" t="n">
        <v>602</v>
      </c>
      <c r="B604" s="13" t="inlineStr">
        <is>
          <t>3 · E1 Whitechapel</t>
        </is>
      </c>
      <c r="C604" s="13" t="inlineStr">
        <is>
          <t>Office &amp; professional</t>
        </is>
      </c>
      <c r="D604" s="13" t="inlineStr">
        <is>
          <t>Corporate</t>
        </is>
      </c>
      <c r="E604" s="13" t="inlineStr">
        <is>
          <t>The Young Foundation</t>
        </is>
      </c>
      <c r="F604" s="13" t="inlineStr">
        <is>
          <t>ngo</t>
        </is>
      </c>
      <c r="G604" s="13" t="inlineStr">
        <is>
          <t>reception@youngfoundation.org</t>
        </is>
      </c>
      <c r="H604" s="13" t="inlineStr">
        <is>
          <t>general</t>
        </is>
      </c>
      <c r="I604" s="13" t="inlineStr">
        <is>
          <t>+44 20 8980 6263</t>
        </is>
      </c>
      <c r="J604" s="14" t="inlineStr">
        <is>
          <t>https://www.youngfoundation.org/</t>
        </is>
      </c>
      <c r="K604" s="13" t="inlineStr">
        <is>
          <t>28 Commercial Street, London</t>
        </is>
      </c>
      <c r="L604" s="13" t="inlineStr">
        <is>
          <t>E1 6LS</t>
        </is>
      </c>
      <c r="M604" s="13" t="inlineStr">
        <is>
          <t>Whitechapel</t>
        </is>
      </c>
      <c r="N604" s="13" t="n">
        <v>15</v>
      </c>
      <c r="O604" s="15">
        <f>IFERROR(INDEX(Venues!$C$2:$C$10,MATCH(M604,Venues!$A$2:$A$10,0)),"Not checked")</f>
        <v/>
      </c>
      <c r="P604" s="15">
        <f>IFERROR(INDEX(Venues!$D$2:$D$10,MATCH(M604,Venues!$A$2:$A$10,0)),0)</f>
        <v/>
      </c>
      <c r="Q604" s="42">
        <f>IFERROR(INDEX(Venues!$E$2:$E$10,MATCH(M604,Venues!$A$2:$A$10,0)),"")</f>
        <v/>
      </c>
      <c r="R604" s="15">
        <f>IF(P604&gt;0,"Yes","No")</f>
        <v/>
      </c>
      <c r="S604" s="13" t="inlineStr">
        <is>
          <t>COLA Shoreditch Park</t>
        </is>
      </c>
      <c r="T604" s="42">
        <f>IFERROR(INDEX(Venues!$E$2:$E$10,MATCH(S604,Venues!$A$2:$A$10,0)),"")</f>
        <v/>
      </c>
      <c r="U604" s="15">
        <f>IFERROR(INDEX(Venues!$F$2:$F$10,MATCH(S604,Venues!$A$2:$A$10,0)),"")</f>
        <v/>
      </c>
      <c r="V604" s="43">
        <f>IFERROR(INDEX(Venues!$H$2:$H$10,MATCH(S604,Venues!$A$2:$A$10,0)),"")</f>
        <v/>
      </c>
      <c r="W604" s="15">
        <f>IF('Pilot offer'!$C$24="Yes",'Pilot offer'!$C$3,S604)</f>
        <v/>
      </c>
      <c r="X604" s="42">
        <f>IF('Pilot offer'!$C$24="Yes",'Pilot offer'!$C$5+'Pilot offer'!$C$6,T604)</f>
        <v/>
      </c>
      <c r="Y604" s="15">
        <f>IF('Pilot offer'!$C$24="Yes",'Pilot offer'!$C$8,U604)</f>
        <v/>
      </c>
      <c r="Z604" s="43">
        <f>IF('Pilot offer'!$C$24="Yes",'Pilot offer'!$C$11,"")</f>
        <v/>
      </c>
      <c r="AA604" s="15">
        <f>IF(X604="","",W604&amp;" · "&amp;TEXT(X604,"ddd d mmm, hh:mm")&amp;" · "&amp;Y604&amp;IF(Z604&lt;&gt;""," · £"&amp;TEXT(Z604,"0.00")&amp;" per player"," · price TBC (cost £"&amp;TEXT(V604,"0.00")&amp;" pp)"))</f>
        <v/>
      </c>
      <c r="AD604" s="44" t="n"/>
    </row>
    <row r="605">
      <c r="A605" s="13" t="n">
        <v>603</v>
      </c>
      <c r="B605" s="13" t="inlineStr">
        <is>
          <t>3 · E1 Whitechapel</t>
        </is>
      </c>
      <c r="C605" s="13" t="inlineStr">
        <is>
          <t>Leisure &amp; culture</t>
        </is>
      </c>
      <c r="D605" s="13" t="inlineStr">
        <is>
          <t>Local businesses</t>
        </is>
      </c>
      <c r="E605" s="13" t="inlineStr">
        <is>
          <t>Toynbee Hall</t>
        </is>
      </c>
      <c r="F605" s="13" t="inlineStr">
        <is>
          <t>amenity: community centre</t>
        </is>
      </c>
      <c r="G605" s="13" t="inlineStr">
        <is>
          <t>info@toynbeehall.org.uk</t>
        </is>
      </c>
      <c r="H605" s="13" t="inlineStr">
        <is>
          <t>openstreetmap_tag</t>
        </is>
      </c>
      <c r="I605" s="13" t="n"/>
      <c r="J605" s="14" t="inlineStr">
        <is>
          <t>https://www.toynbeehall.org.uk</t>
        </is>
      </c>
      <c r="K605" s="13" t="inlineStr">
        <is>
          <t>Commercial Street 28, London</t>
        </is>
      </c>
      <c r="L605" s="13" t="inlineStr">
        <is>
          <t>E1 6LS</t>
        </is>
      </c>
      <c r="M605" s="13" t="inlineStr">
        <is>
          <t>Whitechapel</t>
        </is>
      </c>
      <c r="N605" s="13" t="n">
        <v>15</v>
      </c>
      <c r="O605" s="15">
        <f>IFERROR(INDEX(Venues!$C$2:$C$10,MATCH(M605,Venues!$A$2:$A$10,0)),"Not checked")</f>
        <v/>
      </c>
      <c r="P605" s="15">
        <f>IFERROR(INDEX(Venues!$D$2:$D$10,MATCH(M605,Venues!$A$2:$A$10,0)),0)</f>
        <v/>
      </c>
      <c r="Q605" s="42">
        <f>IFERROR(INDEX(Venues!$E$2:$E$10,MATCH(M605,Venues!$A$2:$A$10,0)),"")</f>
        <v/>
      </c>
      <c r="R605" s="15">
        <f>IF(P605&gt;0,"Yes","No")</f>
        <v/>
      </c>
      <c r="S605" s="13" t="inlineStr">
        <is>
          <t>COLA Shoreditch Park</t>
        </is>
      </c>
      <c r="T605" s="42">
        <f>IFERROR(INDEX(Venues!$E$2:$E$10,MATCH(S605,Venues!$A$2:$A$10,0)),"")</f>
        <v/>
      </c>
      <c r="U605" s="15">
        <f>IFERROR(INDEX(Venues!$F$2:$F$10,MATCH(S605,Venues!$A$2:$A$10,0)),"")</f>
        <v/>
      </c>
      <c r="V605" s="43">
        <f>IFERROR(INDEX(Venues!$H$2:$H$10,MATCH(S605,Venues!$A$2:$A$10,0)),"")</f>
        <v/>
      </c>
      <c r="W605" s="15">
        <f>IF('Pilot offer'!$C$24="Yes",'Pilot offer'!$C$3,S605)</f>
        <v/>
      </c>
      <c r="X605" s="42">
        <f>IF('Pilot offer'!$C$24="Yes",'Pilot offer'!$C$5+'Pilot offer'!$C$6,T605)</f>
        <v/>
      </c>
      <c r="Y605" s="15">
        <f>IF('Pilot offer'!$C$24="Yes",'Pilot offer'!$C$8,U605)</f>
        <v/>
      </c>
      <c r="Z605" s="43">
        <f>IF('Pilot offer'!$C$24="Yes",'Pilot offer'!$C$11,"")</f>
        <v/>
      </c>
      <c r="AA605" s="15">
        <f>IF(X605="","",W605&amp;" · "&amp;TEXT(X605,"ddd d mmm, hh:mm")&amp;" · "&amp;Y605&amp;IF(Z605&lt;&gt;""," · £"&amp;TEXT(Z605,"0.00")&amp;" per player"," · price TBC (cost £"&amp;TEXT(V605,"0.00")&amp;" pp)"))</f>
        <v/>
      </c>
      <c r="AD605" s="44" t="n"/>
    </row>
    <row r="606">
      <c r="A606" s="13" t="n">
        <v>604</v>
      </c>
      <c r="B606" s="13" t="inlineStr">
        <is>
          <t>3 · E1 Whitechapel</t>
        </is>
      </c>
      <c r="C606" s="13" t="inlineStr">
        <is>
          <t>Hospitality</t>
        </is>
      </c>
      <c r="D606" s="13" t="inlineStr">
        <is>
          <t>Local businesses</t>
        </is>
      </c>
      <c r="E606" s="13" t="inlineStr">
        <is>
          <t>Lupita</t>
        </is>
      </c>
      <c r="F606" s="13" t="inlineStr">
        <is>
          <t>amenity: restaurant</t>
        </is>
      </c>
      <c r="G606" s="13" t="inlineStr">
        <is>
          <t>east@lupita.co.uk</t>
        </is>
      </c>
      <c r="H606" s="13" t="inlineStr">
        <is>
          <t>openstreetmap_tag</t>
        </is>
      </c>
      <c r="I606" s="13" t="inlineStr">
        <is>
          <t>+44 20 3141 6000</t>
        </is>
      </c>
      <c r="J606" s="14" t="inlineStr">
        <is>
          <t>https://www.lupita.co.uk/</t>
        </is>
      </c>
      <c r="K606" s="13" t="inlineStr">
        <is>
          <t>Commercial Street 60-62, London</t>
        </is>
      </c>
      <c r="L606" s="13" t="inlineStr">
        <is>
          <t>E1 6LT</t>
        </is>
      </c>
      <c r="M606" s="13" t="inlineStr">
        <is>
          <t>Whitechapel</t>
        </is>
      </c>
      <c r="N606" s="13" t="n">
        <v>17</v>
      </c>
      <c r="O606" s="15">
        <f>IFERROR(INDEX(Venues!$C$2:$C$10,MATCH(M606,Venues!$A$2:$A$10,0)),"Not checked")</f>
        <v/>
      </c>
      <c r="P606" s="15">
        <f>IFERROR(INDEX(Venues!$D$2:$D$10,MATCH(M606,Venues!$A$2:$A$10,0)),0)</f>
        <v/>
      </c>
      <c r="Q606" s="42">
        <f>IFERROR(INDEX(Venues!$E$2:$E$10,MATCH(M606,Venues!$A$2:$A$10,0)),"")</f>
        <v/>
      </c>
      <c r="R606" s="15">
        <f>IF(P606&gt;0,"Yes","No")</f>
        <v/>
      </c>
      <c r="S606" s="13" t="inlineStr">
        <is>
          <t>COLA Shoreditch Park</t>
        </is>
      </c>
      <c r="T606" s="42">
        <f>IFERROR(INDEX(Venues!$E$2:$E$10,MATCH(S606,Venues!$A$2:$A$10,0)),"")</f>
        <v/>
      </c>
      <c r="U606" s="15">
        <f>IFERROR(INDEX(Venues!$F$2:$F$10,MATCH(S606,Venues!$A$2:$A$10,0)),"")</f>
        <v/>
      </c>
      <c r="V606" s="43">
        <f>IFERROR(INDEX(Venues!$H$2:$H$10,MATCH(S606,Venues!$A$2:$A$10,0)),"")</f>
        <v/>
      </c>
      <c r="W606" s="15">
        <f>IF('Pilot offer'!$C$24="Yes",'Pilot offer'!$C$3,S606)</f>
        <v/>
      </c>
      <c r="X606" s="42">
        <f>IF('Pilot offer'!$C$24="Yes",'Pilot offer'!$C$5+'Pilot offer'!$C$6,T606)</f>
        <v/>
      </c>
      <c r="Y606" s="15">
        <f>IF('Pilot offer'!$C$24="Yes",'Pilot offer'!$C$8,U606)</f>
        <v/>
      </c>
      <c r="Z606" s="43">
        <f>IF('Pilot offer'!$C$24="Yes",'Pilot offer'!$C$11,"")</f>
        <v/>
      </c>
      <c r="AA606" s="15">
        <f>IF(X606="","",W606&amp;" · "&amp;TEXT(X606,"ddd d mmm, hh:mm")&amp;" · "&amp;Y606&amp;IF(Z606&lt;&gt;""," · £"&amp;TEXT(Z606,"0.00")&amp;" per player"," · price TBC (cost £"&amp;TEXT(V606,"0.00")&amp;" pp)"))</f>
        <v/>
      </c>
      <c r="AD606" s="44" t="n"/>
    </row>
    <row r="607">
      <c r="A607" s="13" t="n">
        <v>605</v>
      </c>
      <c r="B607" s="13" t="inlineStr">
        <is>
          <t>3 · E1 Whitechapel</t>
        </is>
      </c>
      <c r="C607" s="13" t="inlineStr">
        <is>
          <t>Health</t>
        </is>
      </c>
      <c r="D607" s="13" t="inlineStr">
        <is>
          <t>Local businesses</t>
        </is>
      </c>
      <c r="E607" s="13" t="inlineStr">
        <is>
          <t>Cubitts</t>
        </is>
      </c>
      <c r="F607" s="13" t="inlineStr">
        <is>
          <t>shop: optician</t>
        </is>
      </c>
      <c r="G607" s="13" t="inlineStr">
        <is>
          <t>spitalfields@cubitts.com</t>
        </is>
      </c>
      <c r="H607" s="13" t="inlineStr">
        <is>
          <t>openstreetmap_tag</t>
        </is>
      </c>
      <c r="I607" s="13" t="inlineStr">
        <is>
          <t>+44 20 7375 2439</t>
        </is>
      </c>
      <c r="J607" s="14" t="inlineStr">
        <is>
          <t>https://www.cubitts.com/</t>
        </is>
      </c>
      <c r="K607" s="13" t="inlineStr">
        <is>
          <t>Commercial Street 86, London</t>
        </is>
      </c>
      <c r="L607" s="13" t="inlineStr">
        <is>
          <t>E1 6LY</t>
        </is>
      </c>
      <c r="M607" s="13" t="inlineStr">
        <is>
          <t>Whitechapel</t>
        </is>
      </c>
      <c r="N607" s="13" t="n">
        <v>19</v>
      </c>
      <c r="O607" s="15">
        <f>IFERROR(INDEX(Venues!$C$2:$C$10,MATCH(M607,Venues!$A$2:$A$10,0)),"Not checked")</f>
        <v/>
      </c>
      <c r="P607" s="15">
        <f>IFERROR(INDEX(Venues!$D$2:$D$10,MATCH(M607,Venues!$A$2:$A$10,0)),0)</f>
        <v/>
      </c>
      <c r="Q607" s="42">
        <f>IFERROR(INDEX(Venues!$E$2:$E$10,MATCH(M607,Venues!$A$2:$A$10,0)),"")</f>
        <v/>
      </c>
      <c r="R607" s="15">
        <f>IF(P607&gt;0,"Yes","No")</f>
        <v/>
      </c>
      <c r="S607" s="13" t="inlineStr">
        <is>
          <t>COLA Shoreditch Park</t>
        </is>
      </c>
      <c r="T607" s="42">
        <f>IFERROR(INDEX(Venues!$E$2:$E$10,MATCH(S607,Venues!$A$2:$A$10,0)),"")</f>
        <v/>
      </c>
      <c r="U607" s="15">
        <f>IFERROR(INDEX(Venues!$F$2:$F$10,MATCH(S607,Venues!$A$2:$A$10,0)),"")</f>
        <v/>
      </c>
      <c r="V607" s="43">
        <f>IFERROR(INDEX(Venues!$H$2:$H$10,MATCH(S607,Venues!$A$2:$A$10,0)),"")</f>
        <v/>
      </c>
      <c r="W607" s="15">
        <f>IF('Pilot offer'!$C$24="Yes",'Pilot offer'!$C$3,S607)</f>
        <v/>
      </c>
      <c r="X607" s="42">
        <f>IF('Pilot offer'!$C$24="Yes",'Pilot offer'!$C$5+'Pilot offer'!$C$6,T607)</f>
        <v/>
      </c>
      <c r="Y607" s="15">
        <f>IF('Pilot offer'!$C$24="Yes",'Pilot offer'!$C$8,U607)</f>
        <v/>
      </c>
      <c r="Z607" s="43">
        <f>IF('Pilot offer'!$C$24="Yes",'Pilot offer'!$C$11,"")</f>
        <v/>
      </c>
      <c r="AA607" s="15">
        <f>IF(X607="","",W607&amp;" · "&amp;TEXT(X607,"ddd d mmm, hh:mm")&amp;" · "&amp;Y607&amp;IF(Z607&lt;&gt;""," · £"&amp;TEXT(Z607,"0.00")&amp;" per player"," · price TBC (cost £"&amp;TEXT(V607,"0.00")&amp;" pp)"))</f>
        <v/>
      </c>
      <c r="AD607" s="44" t="n"/>
    </row>
    <row r="608">
      <c r="A608" s="13" t="n">
        <v>606</v>
      </c>
      <c r="B608" s="13" t="inlineStr">
        <is>
          <t>3 · E1 Whitechapel</t>
        </is>
      </c>
      <c r="C608" s="13" t="inlineStr">
        <is>
          <t>Hospitality</t>
        </is>
      </c>
      <c r="D608" s="13" t="inlineStr">
        <is>
          <t>Local businesses</t>
        </is>
      </c>
      <c r="E608" s="13" t="inlineStr">
        <is>
          <t>Suba</t>
        </is>
      </c>
      <c r="F608" s="13" t="inlineStr">
        <is>
          <t>amenity: cafe</t>
        </is>
      </c>
      <c r="G608" s="13" t="inlineStr">
        <is>
          <t>info@subabakery.com</t>
        </is>
      </c>
      <c r="H608" s="13" t="inlineStr">
        <is>
          <t>general</t>
        </is>
      </c>
      <c r="I608" s="13" t="n"/>
      <c r="J608" s="14" t="inlineStr">
        <is>
          <t>https://www.subabakery.com/</t>
        </is>
      </c>
      <c r="K608" s="13" t="inlineStr">
        <is>
          <t>Commercial Street 74, London</t>
        </is>
      </c>
      <c r="L608" s="13" t="inlineStr">
        <is>
          <t>E1 6LY</t>
        </is>
      </c>
      <c r="M608" s="13" t="inlineStr">
        <is>
          <t>Whitechapel</t>
        </is>
      </c>
      <c r="N608" s="13" t="n">
        <v>18</v>
      </c>
      <c r="O608" s="15">
        <f>IFERROR(INDEX(Venues!$C$2:$C$10,MATCH(M608,Venues!$A$2:$A$10,0)),"Not checked")</f>
        <v/>
      </c>
      <c r="P608" s="15">
        <f>IFERROR(INDEX(Venues!$D$2:$D$10,MATCH(M608,Venues!$A$2:$A$10,0)),0)</f>
        <v/>
      </c>
      <c r="Q608" s="42">
        <f>IFERROR(INDEX(Venues!$E$2:$E$10,MATCH(M608,Venues!$A$2:$A$10,0)),"")</f>
        <v/>
      </c>
      <c r="R608" s="15">
        <f>IF(P608&gt;0,"Yes","No")</f>
        <v/>
      </c>
      <c r="S608" s="13" t="inlineStr">
        <is>
          <t>COLA Shoreditch Park</t>
        </is>
      </c>
      <c r="T608" s="42">
        <f>IFERROR(INDEX(Venues!$E$2:$E$10,MATCH(S608,Venues!$A$2:$A$10,0)),"")</f>
        <v/>
      </c>
      <c r="U608" s="15">
        <f>IFERROR(INDEX(Venues!$F$2:$F$10,MATCH(S608,Venues!$A$2:$A$10,0)),"")</f>
        <v/>
      </c>
      <c r="V608" s="43">
        <f>IFERROR(INDEX(Venues!$H$2:$H$10,MATCH(S608,Venues!$A$2:$A$10,0)),"")</f>
        <v/>
      </c>
      <c r="W608" s="15">
        <f>IF('Pilot offer'!$C$24="Yes",'Pilot offer'!$C$3,S608)</f>
        <v/>
      </c>
      <c r="X608" s="42">
        <f>IF('Pilot offer'!$C$24="Yes",'Pilot offer'!$C$5+'Pilot offer'!$C$6,T608)</f>
        <v/>
      </c>
      <c r="Y608" s="15">
        <f>IF('Pilot offer'!$C$24="Yes",'Pilot offer'!$C$8,U608)</f>
        <v/>
      </c>
      <c r="Z608" s="43">
        <f>IF('Pilot offer'!$C$24="Yes",'Pilot offer'!$C$11,"")</f>
        <v/>
      </c>
      <c r="AA608" s="15">
        <f>IF(X608="","",W608&amp;" · "&amp;TEXT(X608,"ddd d mmm, hh:mm")&amp;" · "&amp;Y608&amp;IF(Z608&lt;&gt;""," · £"&amp;TEXT(Z608,"0.00")&amp;" per player"," · price TBC (cost £"&amp;TEXT(V608,"0.00")&amp;" pp)"))</f>
        <v/>
      </c>
      <c r="AD608" s="44" t="n"/>
    </row>
    <row r="609">
      <c r="A609" s="13" t="n">
        <v>607</v>
      </c>
      <c r="B609" s="13" t="inlineStr">
        <is>
          <t>3 · E1 Whitechapel</t>
        </is>
      </c>
      <c r="C609" s="13" t="inlineStr">
        <is>
          <t>Hospitality</t>
        </is>
      </c>
      <c r="D609" s="13" t="inlineStr">
        <is>
          <t>Local businesses</t>
        </is>
      </c>
      <c r="E609" s="13" t="inlineStr">
        <is>
          <t>Yuu Kitchen</t>
        </is>
      </c>
      <c r="F609" s="13" t="inlineStr">
        <is>
          <t>amenity: restaurant</t>
        </is>
      </c>
      <c r="G609" s="13" t="inlineStr">
        <is>
          <t>info@yuukitchen.com</t>
        </is>
      </c>
      <c r="H609" s="13" t="inlineStr">
        <is>
          <t>general</t>
        </is>
      </c>
      <c r="I609" s="13" t="n"/>
      <c r="J609" s="14" t="inlineStr">
        <is>
          <t>https://www.yuukitchen.com/</t>
        </is>
      </c>
      <c r="K609" s="13" t="inlineStr">
        <is>
          <t>Commercial Street 29, London</t>
        </is>
      </c>
      <c r="L609" s="13" t="inlineStr">
        <is>
          <t>E1 6NE</t>
        </is>
      </c>
      <c r="M609" s="13" t="inlineStr">
        <is>
          <t>Whitechapel</t>
        </is>
      </c>
      <c r="N609" s="13" t="n">
        <v>15</v>
      </c>
      <c r="O609" s="15">
        <f>IFERROR(INDEX(Venues!$C$2:$C$10,MATCH(M609,Venues!$A$2:$A$10,0)),"Not checked")</f>
        <v/>
      </c>
      <c r="P609" s="15">
        <f>IFERROR(INDEX(Venues!$D$2:$D$10,MATCH(M609,Venues!$A$2:$A$10,0)),0)</f>
        <v/>
      </c>
      <c r="Q609" s="42">
        <f>IFERROR(INDEX(Venues!$E$2:$E$10,MATCH(M609,Venues!$A$2:$A$10,0)),"")</f>
        <v/>
      </c>
      <c r="R609" s="15">
        <f>IF(P609&gt;0,"Yes","No")</f>
        <v/>
      </c>
      <c r="S609" s="13" t="inlineStr">
        <is>
          <t>COLA Shoreditch Park</t>
        </is>
      </c>
      <c r="T609" s="42">
        <f>IFERROR(INDEX(Venues!$E$2:$E$10,MATCH(S609,Venues!$A$2:$A$10,0)),"")</f>
        <v/>
      </c>
      <c r="U609" s="15">
        <f>IFERROR(INDEX(Venues!$F$2:$F$10,MATCH(S609,Venues!$A$2:$A$10,0)),"")</f>
        <v/>
      </c>
      <c r="V609" s="43">
        <f>IFERROR(INDEX(Venues!$H$2:$H$10,MATCH(S609,Venues!$A$2:$A$10,0)),"")</f>
        <v/>
      </c>
      <c r="W609" s="15">
        <f>IF('Pilot offer'!$C$24="Yes",'Pilot offer'!$C$3,S609)</f>
        <v/>
      </c>
      <c r="X609" s="42">
        <f>IF('Pilot offer'!$C$24="Yes",'Pilot offer'!$C$5+'Pilot offer'!$C$6,T609)</f>
        <v/>
      </c>
      <c r="Y609" s="15">
        <f>IF('Pilot offer'!$C$24="Yes",'Pilot offer'!$C$8,U609)</f>
        <v/>
      </c>
      <c r="Z609" s="43">
        <f>IF('Pilot offer'!$C$24="Yes",'Pilot offer'!$C$11,"")</f>
        <v/>
      </c>
      <c r="AA609" s="15">
        <f>IF(X609="","",W609&amp;" · "&amp;TEXT(X609,"ddd d mmm, hh:mm")&amp;" · "&amp;Y609&amp;IF(Z609&lt;&gt;""," · £"&amp;TEXT(Z609,"0.00")&amp;" per player"," · price TBC (cost £"&amp;TEXT(V609,"0.00")&amp;" pp)"))</f>
        <v/>
      </c>
      <c r="AD609" s="44" t="n"/>
    </row>
    <row r="610">
      <c r="A610" s="13" t="n">
        <v>608</v>
      </c>
      <c r="B610" s="13" t="inlineStr">
        <is>
          <t>3 · E1 Whitechapel</t>
        </is>
      </c>
      <c r="C610" s="13" t="inlineStr">
        <is>
          <t>Office &amp; professional</t>
        </is>
      </c>
      <c r="D610" s="13" t="inlineStr">
        <is>
          <t>Corporate</t>
        </is>
      </c>
      <c r="E610" s="13" t="inlineStr">
        <is>
          <t>MK Law Solicitors</t>
        </is>
      </c>
      <c r="F610" s="13" t="inlineStr">
        <is>
          <t>lawyer</t>
        </is>
      </c>
      <c r="G610" s="13" t="inlineStr">
        <is>
          <t>enquiries@mk-law.co.uk</t>
        </is>
      </c>
      <c r="H610" s="13" t="inlineStr">
        <is>
          <t>general</t>
        </is>
      </c>
      <c r="I610" s="13" t="inlineStr">
        <is>
          <t>+44 20 8692 2694</t>
        </is>
      </c>
      <c r="J610" s="14" t="inlineStr">
        <is>
          <t>http://mk-law.co.uk/</t>
        </is>
      </c>
      <c r="K610" s="13" t="inlineStr">
        <is>
          <t>224 Shoreditch High St, London E1 6PN, UK</t>
        </is>
      </c>
      <c r="L610" s="13" t="inlineStr">
        <is>
          <t>E1 6PN</t>
        </is>
      </c>
      <c r="M610" s="13" t="inlineStr">
        <is>
          <t>Shoreditch Rooftop</t>
        </is>
      </c>
      <c r="N610" s="13" t="n">
        <v>22</v>
      </c>
      <c r="O610" s="15">
        <f>IFERROR(INDEX(Venues!$C$2:$C$10,MATCH(M610,Venues!$A$2:$A$10,0)),"Not checked")</f>
        <v/>
      </c>
      <c r="P610" s="15">
        <f>IFERROR(INDEX(Venues!$D$2:$D$10,MATCH(M610,Venues!$A$2:$A$10,0)),0)</f>
        <v/>
      </c>
      <c r="Q610" s="42">
        <f>IFERROR(INDEX(Venues!$E$2:$E$10,MATCH(M610,Venues!$A$2:$A$10,0)),"")</f>
        <v/>
      </c>
      <c r="R610" s="15">
        <f>IF(P610&gt;0,"Yes","No")</f>
        <v/>
      </c>
      <c r="S610" s="13" t="inlineStr">
        <is>
          <t>Shoreditch Rooftop</t>
        </is>
      </c>
      <c r="T610" s="42">
        <f>IFERROR(INDEX(Venues!$E$2:$E$10,MATCH(S610,Venues!$A$2:$A$10,0)),"")</f>
        <v/>
      </c>
      <c r="U610" s="15">
        <f>IFERROR(INDEX(Venues!$F$2:$F$10,MATCH(S610,Venues!$A$2:$A$10,0)),"")</f>
        <v/>
      </c>
      <c r="V610" s="43">
        <f>IFERROR(INDEX(Venues!$H$2:$H$10,MATCH(S610,Venues!$A$2:$A$10,0)),"")</f>
        <v/>
      </c>
      <c r="W610" s="15">
        <f>IF('Pilot offer'!$C$24="Yes",'Pilot offer'!$C$3,S610)</f>
        <v/>
      </c>
      <c r="X610" s="42">
        <f>IF('Pilot offer'!$C$24="Yes",'Pilot offer'!$C$5+'Pilot offer'!$C$6,T610)</f>
        <v/>
      </c>
      <c r="Y610" s="15">
        <f>IF('Pilot offer'!$C$24="Yes",'Pilot offer'!$C$8,U610)</f>
        <v/>
      </c>
      <c r="Z610" s="43">
        <f>IF('Pilot offer'!$C$24="Yes",'Pilot offer'!$C$11,"")</f>
        <v/>
      </c>
      <c r="AA610" s="15">
        <f>IF(X610="","",W610&amp;" · "&amp;TEXT(X610,"ddd d mmm, hh:mm")&amp;" · "&amp;Y610&amp;IF(Z610&lt;&gt;""," · £"&amp;TEXT(Z610,"0.00")&amp;" per player"," · price TBC (cost £"&amp;TEXT(V610,"0.00")&amp;" pp)"))</f>
        <v/>
      </c>
      <c r="AD610" s="44" t="n"/>
    </row>
    <row r="611">
      <c r="A611" s="13" t="n">
        <v>609</v>
      </c>
      <c r="B611" s="13" t="inlineStr">
        <is>
          <t>3 · E1 Whitechapel</t>
        </is>
      </c>
      <c r="C611" s="13" t="inlineStr">
        <is>
          <t>Office &amp; professional</t>
        </is>
      </c>
      <c r="D611" s="13" t="inlineStr">
        <is>
          <t>Corporate</t>
        </is>
      </c>
      <c r="E611" s="13" t="inlineStr">
        <is>
          <t>Olympia Properties</t>
        </is>
      </c>
      <c r="F611" s="13" t="inlineStr">
        <is>
          <t>estate_agent</t>
        </is>
      </c>
      <c r="G611" s="13" t="inlineStr">
        <is>
          <t>info@olympiaproperties.co.uk</t>
        </is>
      </c>
      <c r="H611" s="13" t="inlineStr">
        <is>
          <t>general</t>
        </is>
      </c>
      <c r="I611" s="13" t="inlineStr">
        <is>
          <t>+44 20 7377 8000</t>
        </is>
      </c>
      <c r="J611" s="14" t="inlineStr">
        <is>
          <t>https://www.olympiaproperties.co.uk/</t>
        </is>
      </c>
      <c r="K611" s="13" t="inlineStr">
        <is>
          <t>13a Brick Lane, London</t>
        </is>
      </c>
      <c r="L611" s="13" t="inlineStr">
        <is>
          <t>E1 6PU</t>
        </is>
      </c>
      <c r="M611" s="13" t="inlineStr">
        <is>
          <t>Whitechapel</t>
        </is>
      </c>
      <c r="N611" s="13" t="n">
        <v>14</v>
      </c>
      <c r="O611" s="15">
        <f>IFERROR(INDEX(Venues!$C$2:$C$10,MATCH(M611,Venues!$A$2:$A$10,0)),"Not checked")</f>
        <v/>
      </c>
      <c r="P611" s="15">
        <f>IFERROR(INDEX(Venues!$D$2:$D$10,MATCH(M611,Venues!$A$2:$A$10,0)),0)</f>
        <v/>
      </c>
      <c r="Q611" s="42">
        <f>IFERROR(INDEX(Venues!$E$2:$E$10,MATCH(M611,Venues!$A$2:$A$10,0)),"")</f>
        <v/>
      </c>
      <c r="R611" s="15">
        <f>IF(P611&gt;0,"Yes","No")</f>
        <v/>
      </c>
      <c r="S611" s="13" t="inlineStr">
        <is>
          <t>COLA Shoreditch Park</t>
        </is>
      </c>
      <c r="T611" s="42">
        <f>IFERROR(INDEX(Venues!$E$2:$E$10,MATCH(S611,Venues!$A$2:$A$10,0)),"")</f>
        <v/>
      </c>
      <c r="U611" s="15">
        <f>IFERROR(INDEX(Venues!$F$2:$F$10,MATCH(S611,Venues!$A$2:$A$10,0)),"")</f>
        <v/>
      </c>
      <c r="V611" s="43">
        <f>IFERROR(INDEX(Venues!$H$2:$H$10,MATCH(S611,Venues!$A$2:$A$10,0)),"")</f>
        <v/>
      </c>
      <c r="W611" s="15">
        <f>IF('Pilot offer'!$C$24="Yes",'Pilot offer'!$C$3,S611)</f>
        <v/>
      </c>
      <c r="X611" s="42">
        <f>IF('Pilot offer'!$C$24="Yes",'Pilot offer'!$C$5+'Pilot offer'!$C$6,T611)</f>
        <v/>
      </c>
      <c r="Y611" s="15">
        <f>IF('Pilot offer'!$C$24="Yes",'Pilot offer'!$C$8,U611)</f>
        <v/>
      </c>
      <c r="Z611" s="43">
        <f>IF('Pilot offer'!$C$24="Yes",'Pilot offer'!$C$11,"")</f>
        <v/>
      </c>
      <c r="AA611" s="15">
        <f>IF(X611="","",W611&amp;" · "&amp;TEXT(X611,"ddd d mmm, hh:mm")&amp;" · "&amp;Y611&amp;IF(Z611&lt;&gt;""," · £"&amp;TEXT(Z611,"0.00")&amp;" per player"," · price TBC (cost £"&amp;TEXT(V611,"0.00")&amp;" pp)"))</f>
        <v/>
      </c>
      <c r="AD611" s="44" t="n"/>
    </row>
    <row r="612">
      <c r="A612" s="13" t="n">
        <v>610</v>
      </c>
      <c r="B612" s="13" t="inlineStr">
        <is>
          <t>3 · E1 Whitechapel</t>
        </is>
      </c>
      <c r="C612" s="13" t="inlineStr">
        <is>
          <t>Office &amp; professional</t>
        </is>
      </c>
      <c r="D612" s="13" t="inlineStr">
        <is>
          <t>Corporate</t>
        </is>
      </c>
      <c r="E612" s="13" t="inlineStr">
        <is>
          <t>Future Workshops</t>
        </is>
      </c>
      <c r="F612" s="13" t="inlineStr">
        <is>
          <t>company</t>
        </is>
      </c>
      <c r="G612" s="13" t="inlineStr">
        <is>
          <t>info@futureworkshops.com</t>
        </is>
      </c>
      <c r="H612" s="13" t="inlineStr">
        <is>
          <t>general</t>
        </is>
      </c>
      <c r="I612" s="13" t="n"/>
      <c r="J612" s="14" t="inlineStr">
        <is>
          <t>https://futureworkshops.com/</t>
        </is>
      </c>
      <c r="K612" s="13" t="inlineStr">
        <is>
          <t>11-29 Fashion Street, London</t>
        </is>
      </c>
      <c r="L612" s="13" t="inlineStr">
        <is>
          <t>E1 6PX</t>
        </is>
      </c>
      <c r="M612" s="13" t="inlineStr">
        <is>
          <t>Whitechapel</t>
        </is>
      </c>
      <c r="N612" s="13" t="n">
        <v>16</v>
      </c>
      <c r="O612" s="15">
        <f>IFERROR(INDEX(Venues!$C$2:$C$10,MATCH(M612,Venues!$A$2:$A$10,0)),"Not checked")</f>
        <v/>
      </c>
      <c r="P612" s="15">
        <f>IFERROR(INDEX(Venues!$D$2:$D$10,MATCH(M612,Venues!$A$2:$A$10,0)),0)</f>
        <v/>
      </c>
      <c r="Q612" s="42">
        <f>IFERROR(INDEX(Venues!$E$2:$E$10,MATCH(M612,Venues!$A$2:$A$10,0)),"")</f>
        <v/>
      </c>
      <c r="R612" s="15">
        <f>IF(P612&gt;0,"Yes","No")</f>
        <v/>
      </c>
      <c r="S612" s="13" t="inlineStr">
        <is>
          <t>COLA Shoreditch Park</t>
        </is>
      </c>
      <c r="T612" s="42">
        <f>IFERROR(INDEX(Venues!$E$2:$E$10,MATCH(S612,Venues!$A$2:$A$10,0)),"")</f>
        <v/>
      </c>
      <c r="U612" s="15">
        <f>IFERROR(INDEX(Venues!$F$2:$F$10,MATCH(S612,Venues!$A$2:$A$10,0)),"")</f>
        <v/>
      </c>
      <c r="V612" s="43">
        <f>IFERROR(INDEX(Venues!$H$2:$H$10,MATCH(S612,Venues!$A$2:$A$10,0)),"")</f>
        <v/>
      </c>
      <c r="W612" s="15">
        <f>IF('Pilot offer'!$C$24="Yes",'Pilot offer'!$C$3,S612)</f>
        <v/>
      </c>
      <c r="X612" s="42">
        <f>IF('Pilot offer'!$C$24="Yes",'Pilot offer'!$C$5+'Pilot offer'!$C$6,T612)</f>
        <v/>
      </c>
      <c r="Y612" s="15">
        <f>IF('Pilot offer'!$C$24="Yes",'Pilot offer'!$C$8,U612)</f>
        <v/>
      </c>
      <c r="Z612" s="43">
        <f>IF('Pilot offer'!$C$24="Yes",'Pilot offer'!$C$11,"")</f>
        <v/>
      </c>
      <c r="AA612" s="15">
        <f>IF(X612="","",W612&amp;" · "&amp;TEXT(X612,"ddd d mmm, hh:mm")&amp;" · "&amp;Y612&amp;IF(Z612&lt;&gt;""," · £"&amp;TEXT(Z612,"0.00")&amp;" per player"," · price TBC (cost £"&amp;TEXT(V612,"0.00")&amp;" pp)"))</f>
        <v/>
      </c>
      <c r="AD612" s="44" t="n"/>
    </row>
    <row r="613">
      <c r="A613" s="13" t="n">
        <v>611</v>
      </c>
      <c r="B613" s="13" t="inlineStr">
        <is>
          <t>3 · E1 Whitechapel</t>
        </is>
      </c>
      <c r="C613" s="13" t="inlineStr">
        <is>
          <t>Office &amp; professional</t>
        </is>
      </c>
      <c r="D613" s="13" t="inlineStr">
        <is>
          <t>Corporate</t>
        </is>
      </c>
      <c r="E613" s="13" t="inlineStr">
        <is>
          <t>ILN</t>
        </is>
      </c>
      <c r="F613" s="13" t="inlineStr">
        <is>
          <t>company</t>
        </is>
      </c>
      <c r="G613" s="13" t="inlineStr">
        <is>
          <t>hello@iln.co.uk</t>
        </is>
      </c>
      <c r="H613" s="13" t="inlineStr">
        <is>
          <t>general</t>
        </is>
      </c>
      <c r="I613" s="13" t="n"/>
      <c r="J613" s="14" t="inlineStr">
        <is>
          <t>https://www.iln.co.uk/</t>
        </is>
      </c>
      <c r="K613" s="13" t="inlineStr">
        <is>
          <t>10 Fashion Street, London</t>
        </is>
      </c>
      <c r="L613" s="13" t="inlineStr">
        <is>
          <t>E1 6PX</t>
        </is>
      </c>
      <c r="M613" s="13" t="inlineStr">
        <is>
          <t>Whitechapel</t>
        </is>
      </c>
      <c r="N613" s="13" t="n">
        <v>17</v>
      </c>
      <c r="O613" s="15">
        <f>IFERROR(INDEX(Venues!$C$2:$C$10,MATCH(M613,Venues!$A$2:$A$10,0)),"Not checked")</f>
        <v/>
      </c>
      <c r="P613" s="15">
        <f>IFERROR(INDEX(Venues!$D$2:$D$10,MATCH(M613,Venues!$A$2:$A$10,0)),0)</f>
        <v/>
      </c>
      <c r="Q613" s="42">
        <f>IFERROR(INDEX(Venues!$E$2:$E$10,MATCH(M613,Venues!$A$2:$A$10,0)),"")</f>
        <v/>
      </c>
      <c r="R613" s="15">
        <f>IF(P613&gt;0,"Yes","No")</f>
        <v/>
      </c>
      <c r="S613" s="13" t="inlineStr">
        <is>
          <t>COLA Shoreditch Park</t>
        </is>
      </c>
      <c r="T613" s="42">
        <f>IFERROR(INDEX(Venues!$E$2:$E$10,MATCH(S613,Venues!$A$2:$A$10,0)),"")</f>
        <v/>
      </c>
      <c r="U613" s="15">
        <f>IFERROR(INDEX(Venues!$F$2:$F$10,MATCH(S613,Venues!$A$2:$A$10,0)),"")</f>
        <v/>
      </c>
      <c r="V613" s="43">
        <f>IFERROR(INDEX(Venues!$H$2:$H$10,MATCH(S613,Venues!$A$2:$A$10,0)),"")</f>
        <v/>
      </c>
      <c r="W613" s="15">
        <f>IF('Pilot offer'!$C$24="Yes",'Pilot offer'!$C$3,S613)</f>
        <v/>
      </c>
      <c r="X613" s="42">
        <f>IF('Pilot offer'!$C$24="Yes",'Pilot offer'!$C$5+'Pilot offer'!$C$6,T613)</f>
        <v/>
      </c>
      <c r="Y613" s="15">
        <f>IF('Pilot offer'!$C$24="Yes",'Pilot offer'!$C$8,U613)</f>
        <v/>
      </c>
      <c r="Z613" s="43">
        <f>IF('Pilot offer'!$C$24="Yes",'Pilot offer'!$C$11,"")</f>
        <v/>
      </c>
      <c r="AA613" s="15">
        <f>IF(X613="","",W613&amp;" · "&amp;TEXT(X613,"ddd d mmm, hh:mm")&amp;" · "&amp;Y613&amp;IF(Z613&lt;&gt;""," · £"&amp;TEXT(Z613,"0.00")&amp;" per player"," · price TBC (cost £"&amp;TEXT(V613,"0.00")&amp;" pp)"))</f>
        <v/>
      </c>
      <c r="AD613" s="44" t="n"/>
    </row>
    <row r="614">
      <c r="A614" s="13" t="n">
        <v>612</v>
      </c>
      <c r="B614" s="13" t="inlineStr">
        <is>
          <t>3 · E1 Whitechapel</t>
        </is>
      </c>
      <c r="C614" s="13" t="inlineStr">
        <is>
          <t>Hospitality</t>
        </is>
      </c>
      <c r="D614" s="13" t="inlineStr">
        <is>
          <t>Local businesses</t>
        </is>
      </c>
      <c r="E614" s="13" t="inlineStr">
        <is>
          <t>Brick Lane Brasserie</t>
        </is>
      </c>
      <c r="F614" s="13" t="inlineStr">
        <is>
          <t>amenity: restaurant</t>
        </is>
      </c>
      <c r="G614" s="13" t="inlineStr">
        <is>
          <t>info@bricklanebrasserie.com</t>
        </is>
      </c>
      <c r="H614" s="13" t="inlineStr">
        <is>
          <t>openstreetmap_tag</t>
        </is>
      </c>
      <c r="I614" s="13" t="inlineStr">
        <is>
          <t>+44 20 7377 8072</t>
        </is>
      </c>
      <c r="J614" s="13" t="n"/>
      <c r="K614" s="13" t="inlineStr">
        <is>
          <t>Brick Lane 67, London</t>
        </is>
      </c>
      <c r="L614" s="13" t="inlineStr">
        <is>
          <t>E1 6QL</t>
        </is>
      </c>
      <c r="M614" s="13" t="inlineStr">
        <is>
          <t>Whitechapel</t>
        </is>
      </c>
      <c r="N614" s="13" t="n">
        <v>17</v>
      </c>
      <c r="O614" s="15">
        <f>IFERROR(INDEX(Venues!$C$2:$C$10,MATCH(M614,Venues!$A$2:$A$10,0)),"Not checked")</f>
        <v/>
      </c>
      <c r="P614" s="15">
        <f>IFERROR(INDEX(Venues!$D$2:$D$10,MATCH(M614,Venues!$A$2:$A$10,0)),0)</f>
        <v/>
      </c>
      <c r="Q614" s="42">
        <f>IFERROR(INDEX(Venues!$E$2:$E$10,MATCH(M614,Venues!$A$2:$A$10,0)),"")</f>
        <v/>
      </c>
      <c r="R614" s="15">
        <f>IF(P614&gt;0,"Yes","No")</f>
        <v/>
      </c>
      <c r="S614" s="13" t="inlineStr">
        <is>
          <t>COLA Shoreditch Park</t>
        </is>
      </c>
      <c r="T614" s="42">
        <f>IFERROR(INDEX(Venues!$E$2:$E$10,MATCH(S614,Venues!$A$2:$A$10,0)),"")</f>
        <v/>
      </c>
      <c r="U614" s="15">
        <f>IFERROR(INDEX(Venues!$F$2:$F$10,MATCH(S614,Venues!$A$2:$A$10,0)),"")</f>
        <v/>
      </c>
      <c r="V614" s="43">
        <f>IFERROR(INDEX(Venues!$H$2:$H$10,MATCH(S614,Venues!$A$2:$A$10,0)),"")</f>
        <v/>
      </c>
      <c r="W614" s="15">
        <f>IF('Pilot offer'!$C$24="Yes",'Pilot offer'!$C$3,S614)</f>
        <v/>
      </c>
      <c r="X614" s="42">
        <f>IF('Pilot offer'!$C$24="Yes",'Pilot offer'!$C$5+'Pilot offer'!$C$6,T614)</f>
        <v/>
      </c>
      <c r="Y614" s="15">
        <f>IF('Pilot offer'!$C$24="Yes",'Pilot offer'!$C$8,U614)</f>
        <v/>
      </c>
      <c r="Z614" s="43">
        <f>IF('Pilot offer'!$C$24="Yes",'Pilot offer'!$C$11,"")</f>
        <v/>
      </c>
      <c r="AA614" s="15">
        <f>IF(X614="","",W614&amp;" · "&amp;TEXT(X614,"ddd d mmm, hh:mm")&amp;" · "&amp;Y614&amp;IF(Z614&lt;&gt;""," · £"&amp;TEXT(Z614,"0.00")&amp;" per player"," · price TBC (cost £"&amp;TEXT(V614,"0.00")&amp;" pp)"))</f>
        <v/>
      </c>
      <c r="AD614" s="44" t="n"/>
    </row>
    <row r="615">
      <c r="A615" s="13" t="n">
        <v>613</v>
      </c>
      <c r="B615" s="13" t="inlineStr">
        <is>
          <t>3 · E1 Whitechapel</t>
        </is>
      </c>
      <c r="C615" s="13" t="inlineStr">
        <is>
          <t>Hospitality</t>
        </is>
      </c>
      <c r="D615" s="13" t="inlineStr">
        <is>
          <t>Local businesses</t>
        </is>
      </c>
      <c r="E615" s="13" t="inlineStr">
        <is>
          <t>Brick Lane Taproom</t>
        </is>
      </c>
      <c r="F615" s="13" t="inlineStr">
        <is>
          <t>amenity: pub</t>
        </is>
      </c>
      <c r="G615" s="13" t="inlineStr">
        <is>
          <t>hello@bricklanetaproom.co.uk</t>
        </is>
      </c>
      <c r="H615" s="13" t="inlineStr">
        <is>
          <t>general</t>
        </is>
      </c>
      <c r="I615" s="13" t="n"/>
      <c r="J615" s="14" t="inlineStr">
        <is>
          <t>https://www.bricklanetaproom.co.uk/</t>
        </is>
      </c>
      <c r="K615" s="13" t="inlineStr">
        <is>
          <t>Brick Lane, London</t>
        </is>
      </c>
      <c r="L615" s="13" t="inlineStr">
        <is>
          <t>E1 6QL</t>
        </is>
      </c>
      <c r="M615" s="13" t="inlineStr">
        <is>
          <t>Whitechapel</t>
        </is>
      </c>
      <c r="N615" s="13" t="n">
        <v>18</v>
      </c>
      <c r="O615" s="15">
        <f>IFERROR(INDEX(Venues!$C$2:$C$10,MATCH(M615,Venues!$A$2:$A$10,0)),"Not checked")</f>
        <v/>
      </c>
      <c r="P615" s="15">
        <f>IFERROR(INDEX(Venues!$D$2:$D$10,MATCH(M615,Venues!$A$2:$A$10,0)),0)</f>
        <v/>
      </c>
      <c r="Q615" s="42">
        <f>IFERROR(INDEX(Venues!$E$2:$E$10,MATCH(M615,Venues!$A$2:$A$10,0)),"")</f>
        <v/>
      </c>
      <c r="R615" s="15">
        <f>IF(P615&gt;0,"Yes","No")</f>
        <v/>
      </c>
      <c r="S615" s="13" t="inlineStr">
        <is>
          <t>COLA Shoreditch Park</t>
        </is>
      </c>
      <c r="T615" s="42">
        <f>IFERROR(INDEX(Venues!$E$2:$E$10,MATCH(S615,Venues!$A$2:$A$10,0)),"")</f>
        <v/>
      </c>
      <c r="U615" s="15">
        <f>IFERROR(INDEX(Venues!$F$2:$F$10,MATCH(S615,Venues!$A$2:$A$10,0)),"")</f>
        <v/>
      </c>
      <c r="V615" s="43">
        <f>IFERROR(INDEX(Venues!$H$2:$H$10,MATCH(S615,Venues!$A$2:$A$10,0)),"")</f>
        <v/>
      </c>
      <c r="W615" s="15">
        <f>IF('Pilot offer'!$C$24="Yes",'Pilot offer'!$C$3,S615)</f>
        <v/>
      </c>
      <c r="X615" s="42">
        <f>IF('Pilot offer'!$C$24="Yes",'Pilot offer'!$C$5+'Pilot offer'!$C$6,T615)</f>
        <v/>
      </c>
      <c r="Y615" s="15">
        <f>IF('Pilot offer'!$C$24="Yes",'Pilot offer'!$C$8,U615)</f>
        <v/>
      </c>
      <c r="Z615" s="43">
        <f>IF('Pilot offer'!$C$24="Yes",'Pilot offer'!$C$11,"")</f>
        <v/>
      </c>
      <c r="AA615" s="15">
        <f>IF(X615="","",W615&amp;" · "&amp;TEXT(X615,"ddd d mmm, hh:mm")&amp;" · "&amp;Y615&amp;IF(Z615&lt;&gt;""," · £"&amp;TEXT(Z615,"0.00")&amp;" per player"," · price TBC (cost £"&amp;TEXT(V615,"0.00")&amp;" pp)"))</f>
        <v/>
      </c>
      <c r="AD615" s="44" t="n"/>
    </row>
    <row r="616">
      <c r="A616" s="13" t="n">
        <v>614</v>
      </c>
      <c r="B616" s="13" t="inlineStr">
        <is>
          <t>3 · E1 Whitechapel</t>
        </is>
      </c>
      <c r="C616" s="13" t="inlineStr">
        <is>
          <t>Hospitality</t>
        </is>
      </c>
      <c r="D616" s="13" t="inlineStr">
        <is>
          <t>Local businesses</t>
        </is>
      </c>
      <c r="E616" s="13" t="inlineStr">
        <is>
          <t>Café 1001</t>
        </is>
      </c>
      <c r="F616" s="13" t="inlineStr">
        <is>
          <t>amenity: nightclub</t>
        </is>
      </c>
      <c r="G616" s="13" t="inlineStr">
        <is>
          <t>info@cafe1001.co.uk</t>
        </is>
      </c>
      <c r="H616" s="13" t="inlineStr">
        <is>
          <t>general</t>
        </is>
      </c>
      <c r="I616" s="13" t="inlineStr">
        <is>
          <t>+44 20 7770 6050</t>
        </is>
      </c>
      <c r="J616" s="14" t="inlineStr">
        <is>
          <t>https://www.cafe1001.co.uk/</t>
        </is>
      </c>
      <c r="K616" s="13" t="inlineStr">
        <is>
          <t>Dray Walk, London</t>
        </is>
      </c>
      <c r="L616" s="13" t="inlineStr">
        <is>
          <t>E1 6QL</t>
        </is>
      </c>
      <c r="M616" s="13" t="inlineStr">
        <is>
          <t>Whitechapel</t>
        </is>
      </c>
      <c r="N616" s="13" t="n">
        <v>18</v>
      </c>
      <c r="O616" s="15">
        <f>IFERROR(INDEX(Venues!$C$2:$C$10,MATCH(M616,Venues!$A$2:$A$10,0)),"Not checked")</f>
        <v/>
      </c>
      <c r="P616" s="15">
        <f>IFERROR(INDEX(Venues!$D$2:$D$10,MATCH(M616,Venues!$A$2:$A$10,0)),0)</f>
        <v/>
      </c>
      <c r="Q616" s="42">
        <f>IFERROR(INDEX(Venues!$E$2:$E$10,MATCH(M616,Venues!$A$2:$A$10,0)),"")</f>
        <v/>
      </c>
      <c r="R616" s="15">
        <f>IF(P616&gt;0,"Yes","No")</f>
        <v/>
      </c>
      <c r="S616" s="13" t="inlineStr">
        <is>
          <t>COLA Shoreditch Park</t>
        </is>
      </c>
      <c r="T616" s="42">
        <f>IFERROR(INDEX(Venues!$E$2:$E$10,MATCH(S616,Venues!$A$2:$A$10,0)),"")</f>
        <v/>
      </c>
      <c r="U616" s="15">
        <f>IFERROR(INDEX(Venues!$F$2:$F$10,MATCH(S616,Venues!$A$2:$A$10,0)),"")</f>
        <v/>
      </c>
      <c r="V616" s="43">
        <f>IFERROR(INDEX(Venues!$H$2:$H$10,MATCH(S616,Venues!$A$2:$A$10,0)),"")</f>
        <v/>
      </c>
      <c r="W616" s="15">
        <f>IF('Pilot offer'!$C$24="Yes",'Pilot offer'!$C$3,S616)</f>
        <v/>
      </c>
      <c r="X616" s="42">
        <f>IF('Pilot offer'!$C$24="Yes",'Pilot offer'!$C$5+'Pilot offer'!$C$6,T616)</f>
        <v/>
      </c>
      <c r="Y616" s="15">
        <f>IF('Pilot offer'!$C$24="Yes",'Pilot offer'!$C$8,U616)</f>
        <v/>
      </c>
      <c r="Z616" s="43">
        <f>IF('Pilot offer'!$C$24="Yes",'Pilot offer'!$C$11,"")</f>
        <v/>
      </c>
      <c r="AA616" s="15">
        <f>IF(X616="","",W616&amp;" · "&amp;TEXT(X616,"ddd d mmm, hh:mm")&amp;" · "&amp;Y616&amp;IF(Z616&lt;&gt;""," · £"&amp;TEXT(Z616,"0.00")&amp;" per player"," · price TBC (cost £"&amp;TEXT(V616,"0.00")&amp;" pp)"))</f>
        <v/>
      </c>
      <c r="AD616" s="44" t="n"/>
    </row>
    <row r="617">
      <c r="A617" s="13" t="n">
        <v>615</v>
      </c>
      <c r="B617" s="13" t="inlineStr">
        <is>
          <t>3 · E1 Whitechapel</t>
        </is>
      </c>
      <c r="C617" s="13" t="inlineStr">
        <is>
          <t>Retail</t>
        </is>
      </c>
      <c r="D617" s="13" t="inlineStr">
        <is>
          <t>Local businesses</t>
        </is>
      </c>
      <c r="E617" s="13" t="inlineStr">
        <is>
          <t>Slam City Skates</t>
        </is>
      </c>
      <c r="F617" s="13" t="inlineStr">
        <is>
          <t>shop: sports</t>
        </is>
      </c>
      <c r="G617" s="13" t="inlineStr">
        <is>
          <t>shop@slamcity.com</t>
        </is>
      </c>
      <c r="H617" s="13" t="inlineStr">
        <is>
          <t>openstreetmap_tag</t>
        </is>
      </c>
      <c r="I617" s="13" t="n"/>
      <c r="J617" s="14" t="inlineStr">
        <is>
          <t>https://www.slamcity.com</t>
        </is>
      </c>
      <c r="K617" s="13" t="inlineStr">
        <is>
          <t>Dray Walk 10, London</t>
        </is>
      </c>
      <c r="L617" s="13" t="inlineStr">
        <is>
          <t>E1 6QL</t>
        </is>
      </c>
      <c r="M617" s="13" t="inlineStr">
        <is>
          <t>Whitechapel</t>
        </is>
      </c>
      <c r="N617" s="13" t="n">
        <v>19</v>
      </c>
      <c r="O617" s="15">
        <f>IFERROR(INDEX(Venues!$C$2:$C$10,MATCH(M617,Venues!$A$2:$A$10,0)),"Not checked")</f>
        <v/>
      </c>
      <c r="P617" s="15">
        <f>IFERROR(INDEX(Venues!$D$2:$D$10,MATCH(M617,Venues!$A$2:$A$10,0)),0)</f>
        <v/>
      </c>
      <c r="Q617" s="42">
        <f>IFERROR(INDEX(Venues!$E$2:$E$10,MATCH(M617,Venues!$A$2:$A$10,0)),"")</f>
        <v/>
      </c>
      <c r="R617" s="15">
        <f>IF(P617&gt;0,"Yes","No")</f>
        <v/>
      </c>
      <c r="S617" s="13" t="inlineStr">
        <is>
          <t>COLA Shoreditch Park</t>
        </is>
      </c>
      <c r="T617" s="42">
        <f>IFERROR(INDEX(Venues!$E$2:$E$10,MATCH(S617,Venues!$A$2:$A$10,0)),"")</f>
        <v/>
      </c>
      <c r="U617" s="15">
        <f>IFERROR(INDEX(Venues!$F$2:$F$10,MATCH(S617,Venues!$A$2:$A$10,0)),"")</f>
        <v/>
      </c>
      <c r="V617" s="43">
        <f>IFERROR(INDEX(Venues!$H$2:$H$10,MATCH(S617,Venues!$A$2:$A$10,0)),"")</f>
        <v/>
      </c>
      <c r="W617" s="15">
        <f>IF('Pilot offer'!$C$24="Yes",'Pilot offer'!$C$3,S617)</f>
        <v/>
      </c>
      <c r="X617" s="42">
        <f>IF('Pilot offer'!$C$24="Yes",'Pilot offer'!$C$5+'Pilot offer'!$C$6,T617)</f>
        <v/>
      </c>
      <c r="Y617" s="15">
        <f>IF('Pilot offer'!$C$24="Yes",'Pilot offer'!$C$8,U617)</f>
        <v/>
      </c>
      <c r="Z617" s="43">
        <f>IF('Pilot offer'!$C$24="Yes",'Pilot offer'!$C$11,"")</f>
        <v/>
      </c>
      <c r="AA617" s="15">
        <f>IF(X617="","",W617&amp;" · "&amp;TEXT(X617,"ddd d mmm, hh:mm")&amp;" · "&amp;Y617&amp;IF(Z617&lt;&gt;""," · £"&amp;TEXT(Z617,"0.00")&amp;" per player"," · price TBC (cost £"&amp;TEXT(V617,"0.00")&amp;" pp)"))</f>
        <v/>
      </c>
      <c r="AD617" s="44" t="n"/>
    </row>
    <row r="618">
      <c r="A618" s="13" t="n">
        <v>616</v>
      </c>
      <c r="B618" s="13" t="inlineStr">
        <is>
          <t>3 · E1 Whitechapel</t>
        </is>
      </c>
      <c r="C618" s="13" t="inlineStr">
        <is>
          <t>Retail</t>
        </is>
      </c>
      <c r="D618" s="13" t="inlineStr">
        <is>
          <t>Local businesses</t>
        </is>
      </c>
      <c r="E618" s="13" t="inlineStr">
        <is>
          <t>Son of a Stag</t>
        </is>
      </c>
      <c r="F618" s="13" t="inlineStr">
        <is>
          <t>shop: clothes</t>
        </is>
      </c>
      <c r="G618" s="13" t="inlineStr">
        <is>
          <t>customercare@sonofastag.com</t>
        </is>
      </c>
      <c r="H618" s="13" t="inlineStr">
        <is>
          <t>openstreetmap_tag</t>
        </is>
      </c>
      <c r="I618" s="13" t="inlineStr">
        <is>
          <t>+44 20 7247 3333</t>
        </is>
      </c>
      <c r="J618" s="14" t="inlineStr">
        <is>
          <t>https://sonofastag.com/</t>
        </is>
      </c>
      <c r="K618" s="13" t="inlineStr">
        <is>
          <t>Dray Walk 9, London</t>
        </is>
      </c>
      <c r="L618" s="13" t="inlineStr">
        <is>
          <t>E1 6QL</t>
        </is>
      </c>
      <c r="M618" s="13" t="inlineStr">
        <is>
          <t>Whitechapel</t>
        </is>
      </c>
      <c r="N618" s="13" t="n">
        <v>19</v>
      </c>
      <c r="O618" s="15">
        <f>IFERROR(INDEX(Venues!$C$2:$C$10,MATCH(M618,Venues!$A$2:$A$10,0)),"Not checked")</f>
        <v/>
      </c>
      <c r="P618" s="15">
        <f>IFERROR(INDEX(Venues!$D$2:$D$10,MATCH(M618,Venues!$A$2:$A$10,0)),0)</f>
        <v/>
      </c>
      <c r="Q618" s="42">
        <f>IFERROR(INDEX(Venues!$E$2:$E$10,MATCH(M618,Venues!$A$2:$A$10,0)),"")</f>
        <v/>
      </c>
      <c r="R618" s="15">
        <f>IF(P618&gt;0,"Yes","No")</f>
        <v/>
      </c>
      <c r="S618" s="13" t="inlineStr">
        <is>
          <t>COLA Shoreditch Park</t>
        </is>
      </c>
      <c r="T618" s="42">
        <f>IFERROR(INDEX(Venues!$E$2:$E$10,MATCH(S618,Venues!$A$2:$A$10,0)),"")</f>
        <v/>
      </c>
      <c r="U618" s="15">
        <f>IFERROR(INDEX(Venues!$F$2:$F$10,MATCH(S618,Venues!$A$2:$A$10,0)),"")</f>
        <v/>
      </c>
      <c r="V618" s="43">
        <f>IFERROR(INDEX(Venues!$H$2:$H$10,MATCH(S618,Venues!$A$2:$A$10,0)),"")</f>
        <v/>
      </c>
      <c r="W618" s="15">
        <f>IF('Pilot offer'!$C$24="Yes",'Pilot offer'!$C$3,S618)</f>
        <v/>
      </c>
      <c r="X618" s="42">
        <f>IF('Pilot offer'!$C$24="Yes",'Pilot offer'!$C$5+'Pilot offer'!$C$6,T618)</f>
        <v/>
      </c>
      <c r="Y618" s="15">
        <f>IF('Pilot offer'!$C$24="Yes",'Pilot offer'!$C$8,U618)</f>
        <v/>
      </c>
      <c r="Z618" s="43">
        <f>IF('Pilot offer'!$C$24="Yes",'Pilot offer'!$C$11,"")</f>
        <v/>
      </c>
      <c r="AA618" s="15">
        <f>IF(X618="","",W618&amp;" · "&amp;TEXT(X618,"ddd d mmm, hh:mm")&amp;" · "&amp;Y618&amp;IF(Z618&lt;&gt;""," · £"&amp;TEXT(Z618,"0.00")&amp;" per player"," · price TBC (cost £"&amp;TEXT(V618,"0.00")&amp;" pp)"))</f>
        <v/>
      </c>
      <c r="AD618" s="44" t="n"/>
    </row>
    <row r="619">
      <c r="A619" s="13" t="n">
        <v>617</v>
      </c>
      <c r="B619" s="13" t="inlineStr">
        <is>
          <t>3 · E1 Whitechapel</t>
        </is>
      </c>
      <c r="C619" s="13" t="inlineStr">
        <is>
          <t>Coworking / shared office</t>
        </is>
      </c>
      <c r="D619" s="13" t="inlineStr">
        <is>
          <t>Corporate</t>
        </is>
      </c>
      <c r="E619" s="13" t="inlineStr">
        <is>
          <t>Hanbury Hall Coworking</t>
        </is>
      </c>
      <c r="F619" s="13" t="inlineStr">
        <is>
          <t>coworking_space</t>
        </is>
      </c>
      <c r="G619" s="13" t="inlineStr">
        <is>
          <t>hello@hanburyhall.com</t>
        </is>
      </c>
      <c r="H619" s="13" t="inlineStr">
        <is>
          <t>general</t>
        </is>
      </c>
      <c r="I619" s="13" t="n"/>
      <c r="J619" s="14" t="inlineStr">
        <is>
          <t>http://www.hanburyhall.com/</t>
        </is>
      </c>
      <c r="K619" s="13" t="inlineStr">
        <is>
          <t>22a Hanbury St, London E1 6QR, UK</t>
        </is>
      </c>
      <c r="L619" s="13" t="inlineStr">
        <is>
          <t>E1 6QR</t>
        </is>
      </c>
      <c r="M619" s="13" t="inlineStr">
        <is>
          <t>Whitechapel</t>
        </is>
      </c>
      <c r="N619" s="13" t="n">
        <v>18</v>
      </c>
      <c r="O619" s="15">
        <f>IFERROR(INDEX(Venues!$C$2:$C$10,MATCH(M619,Venues!$A$2:$A$10,0)),"Not checked")</f>
        <v/>
      </c>
      <c r="P619" s="15">
        <f>IFERROR(INDEX(Venues!$D$2:$D$10,MATCH(M619,Venues!$A$2:$A$10,0)),0)</f>
        <v/>
      </c>
      <c r="Q619" s="42">
        <f>IFERROR(INDEX(Venues!$E$2:$E$10,MATCH(M619,Venues!$A$2:$A$10,0)),"")</f>
        <v/>
      </c>
      <c r="R619" s="15">
        <f>IF(P619&gt;0,"Yes","No")</f>
        <v/>
      </c>
      <c r="S619" s="13" t="inlineStr">
        <is>
          <t>COLA Shoreditch Park</t>
        </is>
      </c>
      <c r="T619" s="42">
        <f>IFERROR(INDEX(Venues!$E$2:$E$10,MATCH(S619,Venues!$A$2:$A$10,0)),"")</f>
        <v/>
      </c>
      <c r="U619" s="15">
        <f>IFERROR(INDEX(Venues!$F$2:$F$10,MATCH(S619,Venues!$A$2:$A$10,0)),"")</f>
        <v/>
      </c>
      <c r="V619" s="43">
        <f>IFERROR(INDEX(Venues!$H$2:$H$10,MATCH(S619,Venues!$A$2:$A$10,0)),"")</f>
        <v/>
      </c>
      <c r="W619" s="15">
        <f>IF('Pilot offer'!$C$24="Yes",'Pilot offer'!$C$3,S619)</f>
        <v/>
      </c>
      <c r="X619" s="42">
        <f>IF('Pilot offer'!$C$24="Yes",'Pilot offer'!$C$5+'Pilot offer'!$C$6,T619)</f>
        <v/>
      </c>
      <c r="Y619" s="15">
        <f>IF('Pilot offer'!$C$24="Yes",'Pilot offer'!$C$8,U619)</f>
        <v/>
      </c>
      <c r="Z619" s="43">
        <f>IF('Pilot offer'!$C$24="Yes",'Pilot offer'!$C$11,"")</f>
        <v/>
      </c>
      <c r="AA619" s="15">
        <f>IF(X619="","",W619&amp;" · "&amp;TEXT(X619,"ddd d mmm, hh:mm")&amp;" · "&amp;Y619&amp;IF(Z619&lt;&gt;""," · £"&amp;TEXT(Z619,"0.00")&amp;" per player"," · price TBC (cost £"&amp;TEXT(V619,"0.00")&amp;" pp)"))</f>
        <v/>
      </c>
      <c r="AD619" s="44" t="n"/>
    </row>
    <row r="620">
      <c r="A620" s="13" t="n">
        <v>618</v>
      </c>
      <c r="B620" s="13" t="inlineStr">
        <is>
          <t>3 · E1 Whitechapel</t>
        </is>
      </c>
      <c r="C620" s="13" t="inlineStr">
        <is>
          <t>Hospitality</t>
        </is>
      </c>
      <c r="D620" s="13" t="inlineStr">
        <is>
          <t>Local businesses</t>
        </is>
      </c>
      <c r="E620" s="13" t="inlineStr">
        <is>
          <t>Three Rounds Tavern</t>
        </is>
      </c>
      <c r="F620" s="13" t="inlineStr">
        <is>
          <t>amenity: restaurant</t>
        </is>
      </c>
      <c r="G620" s="13" t="inlineStr">
        <is>
          <t>cheers@threerounds.co.uk</t>
        </is>
      </c>
      <c r="H620" s="13" t="inlineStr">
        <is>
          <t>person_or_other</t>
        </is>
      </c>
      <c r="I620" s="13" t="n"/>
      <c r="J620" s="14" t="inlineStr">
        <is>
          <t>https://threerounds.co.uk/</t>
        </is>
      </c>
      <c r="K620" s="13" t="inlineStr">
        <is>
          <t>Hanbury Street 32, London</t>
        </is>
      </c>
      <c r="L620" s="13" t="inlineStr">
        <is>
          <t>E1 6QR</t>
        </is>
      </c>
      <c r="M620" s="13" t="inlineStr">
        <is>
          <t>Whitechapel</t>
        </is>
      </c>
      <c r="N620" s="13" t="n">
        <v>17</v>
      </c>
      <c r="O620" s="15">
        <f>IFERROR(INDEX(Venues!$C$2:$C$10,MATCH(M620,Venues!$A$2:$A$10,0)),"Not checked")</f>
        <v/>
      </c>
      <c r="P620" s="15">
        <f>IFERROR(INDEX(Venues!$D$2:$D$10,MATCH(M620,Venues!$A$2:$A$10,0)),0)</f>
        <v/>
      </c>
      <c r="Q620" s="42">
        <f>IFERROR(INDEX(Venues!$E$2:$E$10,MATCH(M620,Venues!$A$2:$A$10,0)),"")</f>
        <v/>
      </c>
      <c r="R620" s="15">
        <f>IF(P620&gt;0,"Yes","No")</f>
        <v/>
      </c>
      <c r="S620" s="13" t="inlineStr">
        <is>
          <t>COLA Shoreditch Park</t>
        </is>
      </c>
      <c r="T620" s="42">
        <f>IFERROR(INDEX(Venues!$E$2:$E$10,MATCH(S620,Venues!$A$2:$A$10,0)),"")</f>
        <v/>
      </c>
      <c r="U620" s="15">
        <f>IFERROR(INDEX(Venues!$F$2:$F$10,MATCH(S620,Venues!$A$2:$A$10,0)),"")</f>
        <v/>
      </c>
      <c r="V620" s="43">
        <f>IFERROR(INDEX(Venues!$H$2:$H$10,MATCH(S620,Venues!$A$2:$A$10,0)),"")</f>
        <v/>
      </c>
      <c r="W620" s="15">
        <f>IF('Pilot offer'!$C$24="Yes",'Pilot offer'!$C$3,S620)</f>
        <v/>
      </c>
      <c r="X620" s="42">
        <f>IF('Pilot offer'!$C$24="Yes",'Pilot offer'!$C$5+'Pilot offer'!$C$6,T620)</f>
        <v/>
      </c>
      <c r="Y620" s="15">
        <f>IF('Pilot offer'!$C$24="Yes",'Pilot offer'!$C$8,U620)</f>
        <v/>
      </c>
      <c r="Z620" s="43">
        <f>IF('Pilot offer'!$C$24="Yes",'Pilot offer'!$C$11,"")</f>
        <v/>
      </c>
      <c r="AA620" s="15">
        <f>IF(X620="","",W620&amp;" · "&amp;TEXT(X620,"ddd d mmm, hh:mm")&amp;" · "&amp;Y620&amp;IF(Z620&lt;&gt;""," · £"&amp;TEXT(Z620,"0.00")&amp;" per player"," · price TBC (cost £"&amp;TEXT(V620,"0.00")&amp;" pp)"))</f>
        <v/>
      </c>
      <c r="AD620" s="44" t="n"/>
    </row>
    <row r="621">
      <c r="A621" s="13" t="n">
        <v>619</v>
      </c>
      <c r="B621" s="13" t="inlineStr">
        <is>
          <t>3 · E1 Whitechapel</t>
        </is>
      </c>
      <c r="C621" s="13" t="inlineStr">
        <is>
          <t>Office &amp; professional</t>
        </is>
      </c>
      <c r="D621" s="13" t="inlineStr">
        <is>
          <t>Corporate</t>
        </is>
      </c>
      <c r="E621" s="13" t="inlineStr">
        <is>
          <t>Kreston Reeves</t>
        </is>
      </c>
      <c r="F621" s="13" t="inlineStr">
        <is>
          <t>finance</t>
        </is>
      </c>
      <c r="G621" s="13" t="inlineStr">
        <is>
          <t>datateam@krestonreeves.com</t>
        </is>
      </c>
      <c r="H621" s="13" t="inlineStr">
        <is>
          <t>person_or_other</t>
        </is>
      </c>
      <c r="I621" s="13" t="inlineStr">
        <is>
          <t>+44 20 7382 1820</t>
        </is>
      </c>
      <c r="J621" s="14" t="inlineStr">
        <is>
          <t>https://www.krestonreeves.com/locations/london/?utm_source=Organic%20search&amp;utm_medium=GMB</t>
        </is>
      </c>
      <c r="K621" s="13" t="inlineStr">
        <is>
          <t>168 Shoreditch High St, London E1 6RA, UK</t>
        </is>
      </c>
      <c r="L621" s="13" t="inlineStr">
        <is>
          <t>E1 6RA</t>
        </is>
      </c>
      <c r="M621" s="13" t="inlineStr">
        <is>
          <t>Shoreditch Rooftop</t>
        </is>
      </c>
      <c r="N621" s="13" t="n">
        <v>19</v>
      </c>
      <c r="O621" s="15">
        <f>IFERROR(INDEX(Venues!$C$2:$C$10,MATCH(M621,Venues!$A$2:$A$10,0)),"Not checked")</f>
        <v/>
      </c>
      <c r="P621" s="15">
        <f>IFERROR(INDEX(Venues!$D$2:$D$10,MATCH(M621,Venues!$A$2:$A$10,0)),0)</f>
        <v/>
      </c>
      <c r="Q621" s="42">
        <f>IFERROR(INDEX(Venues!$E$2:$E$10,MATCH(M621,Venues!$A$2:$A$10,0)),"")</f>
        <v/>
      </c>
      <c r="R621" s="15">
        <f>IF(P621&gt;0,"Yes","No")</f>
        <v/>
      </c>
      <c r="S621" s="13" t="inlineStr">
        <is>
          <t>Shoreditch Rooftop</t>
        </is>
      </c>
      <c r="T621" s="42">
        <f>IFERROR(INDEX(Venues!$E$2:$E$10,MATCH(S621,Venues!$A$2:$A$10,0)),"")</f>
        <v/>
      </c>
      <c r="U621" s="15">
        <f>IFERROR(INDEX(Venues!$F$2:$F$10,MATCH(S621,Venues!$A$2:$A$10,0)),"")</f>
        <v/>
      </c>
      <c r="V621" s="43">
        <f>IFERROR(INDEX(Venues!$H$2:$H$10,MATCH(S621,Venues!$A$2:$A$10,0)),"")</f>
        <v/>
      </c>
      <c r="W621" s="15">
        <f>IF('Pilot offer'!$C$24="Yes",'Pilot offer'!$C$3,S621)</f>
        <v/>
      </c>
      <c r="X621" s="42">
        <f>IF('Pilot offer'!$C$24="Yes",'Pilot offer'!$C$5+'Pilot offer'!$C$6,T621)</f>
        <v/>
      </c>
      <c r="Y621" s="15">
        <f>IF('Pilot offer'!$C$24="Yes",'Pilot offer'!$C$8,U621)</f>
        <v/>
      </c>
      <c r="Z621" s="43">
        <f>IF('Pilot offer'!$C$24="Yes",'Pilot offer'!$C$11,"")</f>
        <v/>
      </c>
      <c r="AA621" s="15">
        <f>IF(X621="","",W621&amp;" · "&amp;TEXT(X621,"ddd d mmm, hh:mm")&amp;" · "&amp;Y621&amp;IF(Z621&lt;&gt;""," · £"&amp;TEXT(Z621,"0.00")&amp;" per player"," · price TBC (cost £"&amp;TEXT(V621,"0.00")&amp;" pp)"))</f>
        <v/>
      </c>
      <c r="AD621" s="44" t="n"/>
    </row>
    <row r="622">
      <c r="A622" s="13" t="n">
        <v>620</v>
      </c>
      <c r="B622" s="13" t="inlineStr">
        <is>
          <t>3 · E1 Whitechapel</t>
        </is>
      </c>
      <c r="C622" s="13" t="inlineStr">
        <is>
          <t>Office &amp; professional</t>
        </is>
      </c>
      <c r="D622" s="13" t="inlineStr">
        <is>
          <t>Corporate</t>
        </is>
      </c>
      <c r="E622" s="13" t="inlineStr">
        <is>
          <t>StrategiQ Marketing Limited</t>
        </is>
      </c>
      <c r="F622" s="13" t="inlineStr">
        <is>
          <t>consultant</t>
        </is>
      </c>
      <c r="G622" s="13" t="inlineStr">
        <is>
          <t>suffolk@strategiq.co</t>
        </is>
      </c>
      <c r="H622" s="13" t="inlineStr">
        <is>
          <t>person_or_other</t>
        </is>
      </c>
      <c r="I622" s="13" t="inlineStr">
        <is>
          <t>+44 20 4574 6531</t>
        </is>
      </c>
      <c r="J622" s="14" t="inlineStr">
        <is>
          <t>https://strategiq.co/</t>
        </is>
      </c>
      <c r="K622" s="13" t="inlineStr">
        <is>
          <t>Level 2 Warehouse, Nicholls &amp; Clarke, Building 1 Fleur De Lis Psge, London E1 6RB, UK</t>
        </is>
      </c>
      <c r="L622" s="13" t="inlineStr">
        <is>
          <t>E1 6RB</t>
        </is>
      </c>
      <c r="M622" s="13" t="inlineStr">
        <is>
          <t>Shoreditch Rooftop</t>
        </is>
      </c>
      <c r="N622" s="13" t="n">
        <v>23</v>
      </c>
      <c r="O622" s="15">
        <f>IFERROR(INDEX(Venues!$C$2:$C$10,MATCH(M622,Venues!$A$2:$A$10,0)),"Not checked")</f>
        <v/>
      </c>
      <c r="P622" s="15">
        <f>IFERROR(INDEX(Venues!$D$2:$D$10,MATCH(M622,Venues!$A$2:$A$10,0)),0)</f>
        <v/>
      </c>
      <c r="Q622" s="42">
        <f>IFERROR(INDEX(Venues!$E$2:$E$10,MATCH(M622,Venues!$A$2:$A$10,0)),"")</f>
        <v/>
      </c>
      <c r="R622" s="15">
        <f>IF(P622&gt;0,"Yes","No")</f>
        <v/>
      </c>
      <c r="S622" s="13" t="inlineStr">
        <is>
          <t>Shoreditch Rooftop</t>
        </is>
      </c>
      <c r="T622" s="42">
        <f>IFERROR(INDEX(Venues!$E$2:$E$10,MATCH(S622,Venues!$A$2:$A$10,0)),"")</f>
        <v/>
      </c>
      <c r="U622" s="15">
        <f>IFERROR(INDEX(Venues!$F$2:$F$10,MATCH(S622,Venues!$A$2:$A$10,0)),"")</f>
        <v/>
      </c>
      <c r="V622" s="43">
        <f>IFERROR(INDEX(Venues!$H$2:$H$10,MATCH(S622,Venues!$A$2:$A$10,0)),"")</f>
        <v/>
      </c>
      <c r="W622" s="15">
        <f>IF('Pilot offer'!$C$24="Yes",'Pilot offer'!$C$3,S622)</f>
        <v/>
      </c>
      <c r="X622" s="42">
        <f>IF('Pilot offer'!$C$24="Yes",'Pilot offer'!$C$5+'Pilot offer'!$C$6,T622)</f>
        <v/>
      </c>
      <c r="Y622" s="15">
        <f>IF('Pilot offer'!$C$24="Yes",'Pilot offer'!$C$8,U622)</f>
        <v/>
      </c>
      <c r="Z622" s="43">
        <f>IF('Pilot offer'!$C$24="Yes",'Pilot offer'!$C$11,"")</f>
        <v/>
      </c>
      <c r="AA622" s="15">
        <f>IF(X622="","",W622&amp;" · "&amp;TEXT(X622,"ddd d mmm, hh:mm")&amp;" · "&amp;Y622&amp;IF(Z622&lt;&gt;""," · £"&amp;TEXT(Z622,"0.00")&amp;" per player"," · price TBC (cost £"&amp;TEXT(V622,"0.00")&amp;" pp)"))</f>
        <v/>
      </c>
      <c r="AD622" s="44" t="n"/>
    </row>
    <row r="623">
      <c r="A623" s="13" t="n">
        <v>621</v>
      </c>
      <c r="B623" s="13" t="inlineStr">
        <is>
          <t>3 · E1 Whitechapel</t>
        </is>
      </c>
      <c r="C623" s="13" t="inlineStr">
        <is>
          <t>Hospitality</t>
        </is>
      </c>
      <c r="D623" s="13" t="inlineStr">
        <is>
          <t>Local businesses</t>
        </is>
      </c>
      <c r="E623" s="13" t="inlineStr">
        <is>
          <t>One Rice</t>
        </is>
      </c>
      <c r="F623" s="13" t="inlineStr">
        <is>
          <t>amenity: restaurant</t>
        </is>
      </c>
      <c r="G623" s="13" t="inlineStr">
        <is>
          <t>onerice@example.com</t>
        </is>
      </c>
      <c r="H623" s="13" t="inlineStr">
        <is>
          <t>openstreetmap_tag</t>
        </is>
      </c>
      <c r="I623" s="13" t="inlineStr">
        <is>
          <t>+44 20 3859 5892</t>
        </is>
      </c>
      <c r="J623" s="14" t="inlineStr">
        <is>
          <t>https://www.onericelondon.com/</t>
        </is>
      </c>
      <c r="K623" s="13" t="inlineStr">
        <is>
          <t>Brick Lane 46, London</t>
        </is>
      </c>
      <c r="L623" s="13" t="inlineStr">
        <is>
          <t>E1 6RF</t>
        </is>
      </c>
      <c r="M623" s="13" t="inlineStr">
        <is>
          <t>Whitechapel</t>
        </is>
      </c>
      <c r="N623" s="13" t="n">
        <v>15</v>
      </c>
      <c r="O623" s="15">
        <f>IFERROR(INDEX(Venues!$C$2:$C$10,MATCH(M623,Venues!$A$2:$A$10,0)),"Not checked")</f>
        <v/>
      </c>
      <c r="P623" s="15">
        <f>IFERROR(INDEX(Venues!$D$2:$D$10,MATCH(M623,Venues!$A$2:$A$10,0)),0)</f>
        <v/>
      </c>
      <c r="Q623" s="42">
        <f>IFERROR(INDEX(Venues!$E$2:$E$10,MATCH(M623,Venues!$A$2:$A$10,0)),"")</f>
        <v/>
      </c>
      <c r="R623" s="15">
        <f>IF(P623&gt;0,"Yes","No")</f>
        <v/>
      </c>
      <c r="S623" s="13" t="inlineStr">
        <is>
          <t>COLA Shoreditch Park</t>
        </is>
      </c>
      <c r="T623" s="42">
        <f>IFERROR(INDEX(Venues!$E$2:$E$10,MATCH(S623,Venues!$A$2:$A$10,0)),"")</f>
        <v/>
      </c>
      <c r="U623" s="15">
        <f>IFERROR(INDEX(Venues!$F$2:$F$10,MATCH(S623,Venues!$A$2:$A$10,0)),"")</f>
        <v/>
      </c>
      <c r="V623" s="43">
        <f>IFERROR(INDEX(Venues!$H$2:$H$10,MATCH(S623,Venues!$A$2:$A$10,0)),"")</f>
        <v/>
      </c>
      <c r="W623" s="15">
        <f>IF('Pilot offer'!$C$24="Yes",'Pilot offer'!$C$3,S623)</f>
        <v/>
      </c>
      <c r="X623" s="42">
        <f>IF('Pilot offer'!$C$24="Yes",'Pilot offer'!$C$5+'Pilot offer'!$C$6,T623)</f>
        <v/>
      </c>
      <c r="Y623" s="15">
        <f>IF('Pilot offer'!$C$24="Yes",'Pilot offer'!$C$8,U623)</f>
        <v/>
      </c>
      <c r="Z623" s="43">
        <f>IF('Pilot offer'!$C$24="Yes",'Pilot offer'!$C$11,"")</f>
        <v/>
      </c>
      <c r="AA623" s="15">
        <f>IF(X623="","",W623&amp;" · "&amp;TEXT(X623,"ddd d mmm, hh:mm")&amp;" · "&amp;Y623&amp;IF(Z623&lt;&gt;""," · £"&amp;TEXT(Z623,"0.00")&amp;" per player"," · price TBC (cost £"&amp;TEXT(V623,"0.00")&amp;" pp)"))</f>
        <v/>
      </c>
      <c r="AD623" s="44" t="n"/>
    </row>
    <row r="624">
      <c r="A624" s="13" t="n">
        <v>622</v>
      </c>
      <c r="B624" s="13" t="inlineStr">
        <is>
          <t>3 · E1 Whitechapel</t>
        </is>
      </c>
      <c r="C624" s="13" t="inlineStr">
        <is>
          <t>Hospitality</t>
        </is>
      </c>
      <c r="D624" s="13" t="inlineStr">
        <is>
          <t>Local businesses</t>
        </is>
      </c>
      <c r="E624" s="13" t="inlineStr">
        <is>
          <t>Vegan Yes</t>
        </is>
      </c>
      <c r="F624" s="13" t="inlineStr">
        <is>
          <t>amenity: restaurant</t>
        </is>
      </c>
      <c r="G624" s="13" t="inlineStr">
        <is>
          <t>shop@veganyes.co.uk</t>
        </is>
      </c>
      <c r="H624" s="13" t="inlineStr">
        <is>
          <t>person_or_other</t>
        </is>
      </c>
      <c r="I624" s="13" t="n"/>
      <c r="J624" s="14" t="inlineStr">
        <is>
          <t>https://veganyes.co.uk</t>
        </is>
      </c>
      <c r="K624" s="13" t="inlineStr">
        <is>
          <t>Brick Lane 64, London</t>
        </is>
      </c>
      <c r="L624" s="13" t="inlineStr">
        <is>
          <t>E1 6RF</t>
        </is>
      </c>
      <c r="M624" s="13" t="inlineStr">
        <is>
          <t>Whitechapel</t>
        </is>
      </c>
      <c r="N624" s="13" t="n">
        <v>15</v>
      </c>
      <c r="O624" s="15">
        <f>IFERROR(INDEX(Venues!$C$2:$C$10,MATCH(M624,Venues!$A$2:$A$10,0)),"Not checked")</f>
        <v/>
      </c>
      <c r="P624" s="15">
        <f>IFERROR(INDEX(Venues!$D$2:$D$10,MATCH(M624,Venues!$A$2:$A$10,0)),0)</f>
        <v/>
      </c>
      <c r="Q624" s="42">
        <f>IFERROR(INDEX(Venues!$E$2:$E$10,MATCH(M624,Venues!$A$2:$A$10,0)),"")</f>
        <v/>
      </c>
      <c r="R624" s="15">
        <f>IF(P624&gt;0,"Yes","No")</f>
        <v/>
      </c>
      <c r="S624" s="13" t="inlineStr">
        <is>
          <t>COLA Shoreditch Park</t>
        </is>
      </c>
      <c r="T624" s="42">
        <f>IFERROR(INDEX(Venues!$E$2:$E$10,MATCH(S624,Venues!$A$2:$A$10,0)),"")</f>
        <v/>
      </c>
      <c r="U624" s="15">
        <f>IFERROR(INDEX(Venues!$F$2:$F$10,MATCH(S624,Venues!$A$2:$A$10,0)),"")</f>
        <v/>
      </c>
      <c r="V624" s="43">
        <f>IFERROR(INDEX(Venues!$H$2:$H$10,MATCH(S624,Venues!$A$2:$A$10,0)),"")</f>
        <v/>
      </c>
      <c r="W624" s="15">
        <f>IF('Pilot offer'!$C$24="Yes",'Pilot offer'!$C$3,S624)</f>
        <v/>
      </c>
      <c r="X624" s="42">
        <f>IF('Pilot offer'!$C$24="Yes",'Pilot offer'!$C$5+'Pilot offer'!$C$6,T624)</f>
        <v/>
      </c>
      <c r="Y624" s="15">
        <f>IF('Pilot offer'!$C$24="Yes",'Pilot offer'!$C$8,U624)</f>
        <v/>
      </c>
      <c r="Z624" s="43">
        <f>IF('Pilot offer'!$C$24="Yes",'Pilot offer'!$C$11,"")</f>
        <v/>
      </c>
      <c r="AA624" s="15">
        <f>IF(X624="","",W624&amp;" · "&amp;TEXT(X624,"ddd d mmm, hh:mm")&amp;" · "&amp;Y624&amp;IF(Z624&lt;&gt;""," · £"&amp;TEXT(Z624,"0.00")&amp;" per player"," · price TBC (cost £"&amp;TEXT(V624,"0.00")&amp;" pp)"))</f>
        <v/>
      </c>
      <c r="AD624" s="44" t="n"/>
    </row>
    <row r="625">
      <c r="A625" s="13" t="n">
        <v>623</v>
      </c>
      <c r="B625" s="13" t="inlineStr">
        <is>
          <t>3 · E1 Whitechapel</t>
        </is>
      </c>
      <c r="C625" s="13" t="inlineStr">
        <is>
          <t>Hospitality</t>
        </is>
      </c>
      <c r="D625" s="13" t="inlineStr">
        <is>
          <t>Local businesses</t>
        </is>
      </c>
      <c r="E625" s="13" t="inlineStr">
        <is>
          <t>Amar Gaon</t>
        </is>
      </c>
      <c r="F625" s="13" t="inlineStr">
        <is>
          <t>amenity: restaurant</t>
        </is>
      </c>
      <c r="G625" s="13" t="inlineStr">
        <is>
          <t>info@amargaon.co.uk</t>
        </is>
      </c>
      <c r="H625" s="13" t="inlineStr">
        <is>
          <t>openstreetmap_tag</t>
        </is>
      </c>
      <c r="I625" s="13" t="inlineStr">
        <is>
          <t>+44 20 7377 6688</t>
        </is>
      </c>
      <c r="J625" s="14" t="inlineStr">
        <is>
          <t>https://amargaon.co.uk/</t>
        </is>
      </c>
      <c r="K625" s="13" t="inlineStr">
        <is>
          <t>Brick Lane 48-50, London</t>
        </is>
      </c>
      <c r="L625" s="13" t="inlineStr">
        <is>
          <t>E1 6RL</t>
        </is>
      </c>
      <c r="M625" s="13" t="inlineStr">
        <is>
          <t>Whitechapel</t>
        </is>
      </c>
      <c r="N625" s="13" t="n">
        <v>15</v>
      </c>
      <c r="O625" s="15">
        <f>IFERROR(INDEX(Venues!$C$2:$C$10,MATCH(M625,Venues!$A$2:$A$10,0)),"Not checked")</f>
        <v/>
      </c>
      <c r="P625" s="15">
        <f>IFERROR(INDEX(Venues!$D$2:$D$10,MATCH(M625,Venues!$A$2:$A$10,0)),0)</f>
        <v/>
      </c>
      <c r="Q625" s="42">
        <f>IFERROR(INDEX(Venues!$E$2:$E$10,MATCH(M625,Venues!$A$2:$A$10,0)),"")</f>
        <v/>
      </c>
      <c r="R625" s="15">
        <f>IF(P625&gt;0,"Yes","No")</f>
        <v/>
      </c>
      <c r="S625" s="13" t="inlineStr">
        <is>
          <t>COLA Shoreditch Park</t>
        </is>
      </c>
      <c r="T625" s="42">
        <f>IFERROR(INDEX(Venues!$E$2:$E$10,MATCH(S625,Venues!$A$2:$A$10,0)),"")</f>
        <v/>
      </c>
      <c r="U625" s="15">
        <f>IFERROR(INDEX(Venues!$F$2:$F$10,MATCH(S625,Venues!$A$2:$A$10,0)),"")</f>
        <v/>
      </c>
      <c r="V625" s="43">
        <f>IFERROR(INDEX(Venues!$H$2:$H$10,MATCH(S625,Venues!$A$2:$A$10,0)),"")</f>
        <v/>
      </c>
      <c r="W625" s="15">
        <f>IF('Pilot offer'!$C$24="Yes",'Pilot offer'!$C$3,S625)</f>
        <v/>
      </c>
      <c r="X625" s="42">
        <f>IF('Pilot offer'!$C$24="Yes",'Pilot offer'!$C$5+'Pilot offer'!$C$6,T625)</f>
        <v/>
      </c>
      <c r="Y625" s="15">
        <f>IF('Pilot offer'!$C$24="Yes",'Pilot offer'!$C$8,U625)</f>
        <v/>
      </c>
      <c r="Z625" s="43">
        <f>IF('Pilot offer'!$C$24="Yes",'Pilot offer'!$C$11,"")</f>
        <v/>
      </c>
      <c r="AA625" s="15">
        <f>IF(X625="","",W625&amp;" · "&amp;TEXT(X625,"ddd d mmm, hh:mm")&amp;" · "&amp;Y625&amp;IF(Z625&lt;&gt;""," · £"&amp;TEXT(Z625,"0.00")&amp;" per player"," · price TBC (cost £"&amp;TEXT(V625,"0.00")&amp;" pp)"))</f>
        <v/>
      </c>
      <c r="AD625" s="44" t="n"/>
    </row>
    <row r="626">
      <c r="A626" s="13" t="n">
        <v>624</v>
      </c>
      <c r="B626" s="13" t="inlineStr">
        <is>
          <t>3 · E1 Whitechapel</t>
        </is>
      </c>
      <c r="C626" s="13" t="inlineStr">
        <is>
          <t>Hospitality</t>
        </is>
      </c>
      <c r="D626" s="13" t="inlineStr">
        <is>
          <t>Local businesses</t>
        </is>
      </c>
      <c r="E626" s="13" t="inlineStr">
        <is>
          <t>Enso Lounge</t>
        </is>
      </c>
      <c r="F626" s="13" t="inlineStr">
        <is>
          <t>amenity: restaurant</t>
        </is>
      </c>
      <c r="G626" s="13" t="inlineStr">
        <is>
          <t>info@ensolondon.uk</t>
        </is>
      </c>
      <c r="H626" s="13" t="inlineStr">
        <is>
          <t>openstreetmap_tag</t>
        </is>
      </c>
      <c r="I626" s="13" t="n"/>
      <c r="J626" s="14" t="inlineStr">
        <is>
          <t>https://www.ensolounge.com/</t>
        </is>
      </c>
      <c r="K626" s="13" t="inlineStr">
        <is>
          <t>Brick Lane 124-126, London</t>
        </is>
      </c>
      <c r="L626" s="13" t="inlineStr">
        <is>
          <t>E1 6RL</t>
        </is>
      </c>
      <c r="M626" s="13" t="inlineStr">
        <is>
          <t>Whitechapel</t>
        </is>
      </c>
      <c r="N626" s="13" t="n">
        <v>17</v>
      </c>
      <c r="O626" s="15">
        <f>IFERROR(INDEX(Venues!$C$2:$C$10,MATCH(M626,Venues!$A$2:$A$10,0)),"Not checked")</f>
        <v/>
      </c>
      <c r="P626" s="15">
        <f>IFERROR(INDEX(Venues!$D$2:$D$10,MATCH(M626,Venues!$A$2:$A$10,0)),0)</f>
        <v/>
      </c>
      <c r="Q626" s="42">
        <f>IFERROR(INDEX(Venues!$E$2:$E$10,MATCH(M626,Venues!$A$2:$A$10,0)),"")</f>
        <v/>
      </c>
      <c r="R626" s="15">
        <f>IF(P626&gt;0,"Yes","No")</f>
        <v/>
      </c>
      <c r="S626" s="13" t="inlineStr">
        <is>
          <t>COLA Shoreditch Park</t>
        </is>
      </c>
      <c r="T626" s="42">
        <f>IFERROR(INDEX(Venues!$E$2:$E$10,MATCH(S626,Venues!$A$2:$A$10,0)),"")</f>
        <v/>
      </c>
      <c r="U626" s="15">
        <f>IFERROR(INDEX(Venues!$F$2:$F$10,MATCH(S626,Venues!$A$2:$A$10,0)),"")</f>
        <v/>
      </c>
      <c r="V626" s="43">
        <f>IFERROR(INDEX(Venues!$H$2:$H$10,MATCH(S626,Venues!$A$2:$A$10,0)),"")</f>
        <v/>
      </c>
      <c r="W626" s="15">
        <f>IF('Pilot offer'!$C$24="Yes",'Pilot offer'!$C$3,S626)</f>
        <v/>
      </c>
      <c r="X626" s="42">
        <f>IF('Pilot offer'!$C$24="Yes",'Pilot offer'!$C$5+'Pilot offer'!$C$6,T626)</f>
        <v/>
      </c>
      <c r="Y626" s="15">
        <f>IF('Pilot offer'!$C$24="Yes",'Pilot offer'!$C$8,U626)</f>
        <v/>
      </c>
      <c r="Z626" s="43">
        <f>IF('Pilot offer'!$C$24="Yes",'Pilot offer'!$C$11,"")</f>
        <v/>
      </c>
      <c r="AA626" s="15">
        <f>IF(X626="","",W626&amp;" · "&amp;TEXT(X626,"ddd d mmm, hh:mm")&amp;" · "&amp;Y626&amp;IF(Z626&lt;&gt;""," · £"&amp;TEXT(Z626,"0.00")&amp;" per player"," · price TBC (cost £"&amp;TEXT(V626,"0.00")&amp;" pp)"))</f>
        <v/>
      </c>
      <c r="AD626" s="44" t="n"/>
    </row>
    <row r="627">
      <c r="A627" s="13" t="n">
        <v>625</v>
      </c>
      <c r="B627" s="13" t="inlineStr">
        <is>
          <t>3 · E1 Whitechapel</t>
        </is>
      </c>
      <c r="C627" s="13" t="inlineStr">
        <is>
          <t>Office &amp; professional</t>
        </is>
      </c>
      <c r="D627" s="13" t="inlineStr">
        <is>
          <t>Corporate</t>
        </is>
      </c>
      <c r="E627" s="13" t="inlineStr">
        <is>
          <t>Reed Smith</t>
        </is>
      </c>
      <c r="F627" s="13" t="inlineStr">
        <is>
          <t>lawyer</t>
        </is>
      </c>
      <c r="G627" s="13" t="inlineStr">
        <is>
          <t>rswebsite@reedsmith.com</t>
        </is>
      </c>
      <c r="H627" s="13" t="inlineStr">
        <is>
          <t>person_or_other</t>
        </is>
      </c>
      <c r="I627" s="13" t="inlineStr">
        <is>
          <t>+44 20 3116 3000</t>
        </is>
      </c>
      <c r="J627" s="14" t="inlineStr">
        <is>
          <t>https://www.reedsmith.com/</t>
        </is>
      </c>
      <c r="K627" s="13" t="inlineStr">
        <is>
          <t>1 Blossom Yard, London E1 6RS, UK</t>
        </is>
      </c>
      <c r="L627" s="13" t="inlineStr">
        <is>
          <t>E1 6RS</t>
        </is>
      </c>
      <c r="M627" s="13" t="inlineStr">
        <is>
          <t>Whitechapel</t>
        </is>
      </c>
      <c r="N627" s="13" t="n">
        <v>24</v>
      </c>
      <c r="O627" s="15">
        <f>IFERROR(INDEX(Venues!$C$2:$C$10,MATCH(M627,Venues!$A$2:$A$10,0)),"Not checked")</f>
        <v/>
      </c>
      <c r="P627" s="15">
        <f>IFERROR(INDEX(Venues!$D$2:$D$10,MATCH(M627,Venues!$A$2:$A$10,0)),0)</f>
        <v/>
      </c>
      <c r="Q627" s="42">
        <f>IFERROR(INDEX(Venues!$E$2:$E$10,MATCH(M627,Venues!$A$2:$A$10,0)),"")</f>
        <v/>
      </c>
      <c r="R627" s="15">
        <f>IF(P627&gt;0,"Yes","No")</f>
        <v/>
      </c>
      <c r="S627" s="13" t="inlineStr">
        <is>
          <t>COLA Shoreditch Park</t>
        </is>
      </c>
      <c r="T627" s="42">
        <f>IFERROR(INDEX(Venues!$E$2:$E$10,MATCH(S627,Venues!$A$2:$A$10,0)),"")</f>
        <v/>
      </c>
      <c r="U627" s="15">
        <f>IFERROR(INDEX(Venues!$F$2:$F$10,MATCH(S627,Venues!$A$2:$A$10,0)),"")</f>
        <v/>
      </c>
      <c r="V627" s="43">
        <f>IFERROR(INDEX(Venues!$H$2:$H$10,MATCH(S627,Venues!$A$2:$A$10,0)),"")</f>
        <v/>
      </c>
      <c r="W627" s="15">
        <f>IF('Pilot offer'!$C$24="Yes",'Pilot offer'!$C$3,S627)</f>
        <v/>
      </c>
      <c r="X627" s="42">
        <f>IF('Pilot offer'!$C$24="Yes",'Pilot offer'!$C$5+'Pilot offer'!$C$6,T627)</f>
        <v/>
      </c>
      <c r="Y627" s="15">
        <f>IF('Pilot offer'!$C$24="Yes",'Pilot offer'!$C$8,U627)</f>
        <v/>
      </c>
      <c r="Z627" s="43">
        <f>IF('Pilot offer'!$C$24="Yes",'Pilot offer'!$C$11,"")</f>
        <v/>
      </c>
      <c r="AA627" s="15">
        <f>IF(X627="","",W627&amp;" · "&amp;TEXT(X627,"ddd d mmm, hh:mm")&amp;" · "&amp;Y627&amp;IF(Z627&lt;&gt;""," · £"&amp;TEXT(Z627,"0.00")&amp;" per player"," · price TBC (cost £"&amp;TEXT(V627,"0.00")&amp;" pp)"))</f>
        <v/>
      </c>
      <c r="AD627" s="44" t="n"/>
    </row>
    <row r="628">
      <c r="A628" s="13" t="n">
        <v>626</v>
      </c>
      <c r="B628" s="13" t="inlineStr">
        <is>
          <t>3 · E1 Whitechapel</t>
        </is>
      </c>
      <c r="C628" s="13" t="inlineStr">
        <is>
          <t>Leisure &amp; culture</t>
        </is>
      </c>
      <c r="D628" s="13" t="inlineStr">
        <is>
          <t>Local businesses</t>
        </is>
      </c>
      <c r="E628" s="13" t="inlineStr">
        <is>
          <t>Attlee Centre</t>
        </is>
      </c>
      <c r="F628" s="13" t="inlineStr">
        <is>
          <t>amenity: community centre</t>
        </is>
      </c>
      <c r="G628" s="13" t="inlineStr">
        <is>
          <t>admin@attleecentre.org</t>
        </is>
      </c>
      <c r="H628" s="13" t="inlineStr">
        <is>
          <t>general</t>
        </is>
      </c>
      <c r="I628" s="13" t="n"/>
      <c r="J628" s="14" t="inlineStr">
        <is>
          <t>https://attleecentre.org/</t>
        </is>
      </c>
      <c r="K628" s="13" t="inlineStr">
        <is>
          <t>Thrawl Street 5, London</t>
        </is>
      </c>
      <c r="L628" s="13" t="inlineStr">
        <is>
          <t>E1 6RT</t>
        </is>
      </c>
      <c r="M628" s="13" t="inlineStr">
        <is>
          <t>Whitechapel</t>
        </is>
      </c>
      <c r="N628" s="13" t="n">
        <v>16</v>
      </c>
      <c r="O628" s="15">
        <f>IFERROR(INDEX(Venues!$C$2:$C$10,MATCH(M628,Venues!$A$2:$A$10,0)),"Not checked")</f>
        <v/>
      </c>
      <c r="P628" s="15">
        <f>IFERROR(INDEX(Venues!$D$2:$D$10,MATCH(M628,Venues!$A$2:$A$10,0)),0)</f>
        <v/>
      </c>
      <c r="Q628" s="42">
        <f>IFERROR(INDEX(Venues!$E$2:$E$10,MATCH(M628,Venues!$A$2:$A$10,0)),"")</f>
        <v/>
      </c>
      <c r="R628" s="15">
        <f>IF(P628&gt;0,"Yes","No")</f>
        <v/>
      </c>
      <c r="S628" s="13" t="inlineStr">
        <is>
          <t>COLA Shoreditch Park</t>
        </is>
      </c>
      <c r="T628" s="42">
        <f>IFERROR(INDEX(Venues!$E$2:$E$10,MATCH(S628,Venues!$A$2:$A$10,0)),"")</f>
        <v/>
      </c>
      <c r="U628" s="15">
        <f>IFERROR(INDEX(Venues!$F$2:$F$10,MATCH(S628,Venues!$A$2:$A$10,0)),"")</f>
        <v/>
      </c>
      <c r="V628" s="43">
        <f>IFERROR(INDEX(Venues!$H$2:$H$10,MATCH(S628,Venues!$A$2:$A$10,0)),"")</f>
        <v/>
      </c>
      <c r="W628" s="15">
        <f>IF('Pilot offer'!$C$24="Yes",'Pilot offer'!$C$3,S628)</f>
        <v/>
      </c>
      <c r="X628" s="42">
        <f>IF('Pilot offer'!$C$24="Yes",'Pilot offer'!$C$5+'Pilot offer'!$C$6,T628)</f>
        <v/>
      </c>
      <c r="Y628" s="15">
        <f>IF('Pilot offer'!$C$24="Yes",'Pilot offer'!$C$8,U628)</f>
        <v/>
      </c>
      <c r="Z628" s="43">
        <f>IF('Pilot offer'!$C$24="Yes",'Pilot offer'!$C$11,"")</f>
        <v/>
      </c>
      <c r="AA628" s="15">
        <f>IF(X628="","",W628&amp;" · "&amp;TEXT(X628,"ddd d mmm, hh:mm")&amp;" · "&amp;Y628&amp;IF(Z628&lt;&gt;""," · £"&amp;TEXT(Z628,"0.00")&amp;" per player"," · price TBC (cost £"&amp;TEXT(V628,"0.00")&amp;" pp)"))</f>
        <v/>
      </c>
      <c r="AD628" s="44" t="n"/>
    </row>
    <row r="629">
      <c r="A629" s="13" t="n">
        <v>627</v>
      </c>
      <c r="B629" s="13" t="inlineStr">
        <is>
          <t>3 · E1 Whitechapel</t>
        </is>
      </c>
      <c r="C629" s="13" t="inlineStr">
        <is>
          <t>Hospitality</t>
        </is>
      </c>
      <c r="D629" s="13" t="inlineStr">
        <is>
          <t>Local businesses</t>
        </is>
      </c>
      <c r="E629" s="13" t="inlineStr">
        <is>
          <t>Thai O'CHA</t>
        </is>
      </c>
      <c r="F629" s="13" t="inlineStr">
        <is>
          <t>amenity: restaurant</t>
        </is>
      </c>
      <c r="G629" s="13" t="inlineStr">
        <is>
          <t>info@thaiocha.co.uk</t>
        </is>
      </c>
      <c r="H629" s="13" t="inlineStr">
        <is>
          <t>general</t>
        </is>
      </c>
      <c r="I629" s="13" t="n"/>
      <c r="J629" s="14" t="inlineStr">
        <is>
          <t>https://thaiocha.co.uk/</t>
        </is>
      </c>
      <c r="K629" s="13" t="inlineStr">
        <is>
          <t>Brick Lane 176, London</t>
        </is>
      </c>
      <c r="L629" s="13" t="inlineStr">
        <is>
          <t>E1 6RU</t>
        </is>
      </c>
      <c r="M629" s="13" t="inlineStr">
        <is>
          <t>Whitechapel</t>
        </is>
      </c>
      <c r="N629" s="13" t="n">
        <v>19</v>
      </c>
      <c r="O629" s="15">
        <f>IFERROR(INDEX(Venues!$C$2:$C$10,MATCH(M629,Venues!$A$2:$A$10,0)),"Not checked")</f>
        <v/>
      </c>
      <c r="P629" s="15">
        <f>IFERROR(INDEX(Venues!$D$2:$D$10,MATCH(M629,Venues!$A$2:$A$10,0)),0)</f>
        <v/>
      </c>
      <c r="Q629" s="42">
        <f>IFERROR(INDEX(Venues!$E$2:$E$10,MATCH(M629,Venues!$A$2:$A$10,0)),"")</f>
        <v/>
      </c>
      <c r="R629" s="15">
        <f>IF(P629&gt;0,"Yes","No")</f>
        <v/>
      </c>
      <c r="S629" s="13" t="inlineStr">
        <is>
          <t>COLA Shoreditch Park</t>
        </is>
      </c>
      <c r="T629" s="42">
        <f>IFERROR(INDEX(Venues!$E$2:$E$10,MATCH(S629,Venues!$A$2:$A$10,0)),"")</f>
        <v/>
      </c>
      <c r="U629" s="15">
        <f>IFERROR(INDEX(Venues!$F$2:$F$10,MATCH(S629,Venues!$A$2:$A$10,0)),"")</f>
        <v/>
      </c>
      <c r="V629" s="43">
        <f>IFERROR(INDEX(Venues!$H$2:$H$10,MATCH(S629,Venues!$A$2:$A$10,0)),"")</f>
        <v/>
      </c>
      <c r="W629" s="15">
        <f>IF('Pilot offer'!$C$24="Yes",'Pilot offer'!$C$3,S629)</f>
        <v/>
      </c>
      <c r="X629" s="42">
        <f>IF('Pilot offer'!$C$24="Yes",'Pilot offer'!$C$5+'Pilot offer'!$C$6,T629)</f>
        <v/>
      </c>
      <c r="Y629" s="15">
        <f>IF('Pilot offer'!$C$24="Yes",'Pilot offer'!$C$8,U629)</f>
        <v/>
      </c>
      <c r="Z629" s="43">
        <f>IF('Pilot offer'!$C$24="Yes",'Pilot offer'!$C$11,"")</f>
        <v/>
      </c>
      <c r="AA629" s="15">
        <f>IF(X629="","",W629&amp;" · "&amp;TEXT(X629,"ddd d mmm, hh:mm")&amp;" · "&amp;Y629&amp;IF(Z629&lt;&gt;""," · £"&amp;TEXT(Z629,"0.00")&amp;" per player"," · price TBC (cost £"&amp;TEXT(V629,"0.00")&amp;" pp)"))</f>
        <v/>
      </c>
      <c r="AD629" s="44" t="n"/>
    </row>
    <row r="630">
      <c r="A630" s="13" t="n">
        <v>628</v>
      </c>
      <c r="B630" s="13" t="inlineStr">
        <is>
          <t>3 · E1 Whitechapel</t>
        </is>
      </c>
      <c r="C630" s="13" t="inlineStr">
        <is>
          <t>Retail</t>
        </is>
      </c>
      <c r="D630" s="13" t="inlineStr">
        <is>
          <t>Local businesses</t>
        </is>
      </c>
      <c r="E630" s="13" t="inlineStr">
        <is>
          <t>Urbiana UK</t>
        </is>
      </c>
      <c r="F630" s="13" t="inlineStr">
        <is>
          <t>shop: jewelry</t>
        </is>
      </c>
      <c r="G630" s="13" t="inlineStr">
        <is>
          <t>info@urbiana.co.uk</t>
        </is>
      </c>
      <c r="H630" s="13" t="inlineStr">
        <is>
          <t>general</t>
        </is>
      </c>
      <c r="I630" s="13" t="n"/>
      <c r="J630" s="14" t="inlineStr">
        <is>
          <t>https://urbiana.co.uk/</t>
        </is>
      </c>
      <c r="K630" s="13" t="inlineStr">
        <is>
          <t>Brick Lane 156, London</t>
        </is>
      </c>
      <c r="L630" s="13" t="inlineStr">
        <is>
          <t>E1 6RU</t>
        </is>
      </c>
      <c r="M630" s="13" t="inlineStr">
        <is>
          <t>Whitechapel</t>
        </is>
      </c>
      <c r="N630" s="13" t="n">
        <v>19</v>
      </c>
      <c r="O630" s="15">
        <f>IFERROR(INDEX(Venues!$C$2:$C$10,MATCH(M630,Venues!$A$2:$A$10,0)),"Not checked")</f>
        <v/>
      </c>
      <c r="P630" s="15">
        <f>IFERROR(INDEX(Venues!$D$2:$D$10,MATCH(M630,Venues!$A$2:$A$10,0)),0)</f>
        <v/>
      </c>
      <c r="Q630" s="42">
        <f>IFERROR(INDEX(Venues!$E$2:$E$10,MATCH(M630,Venues!$A$2:$A$10,0)),"")</f>
        <v/>
      </c>
      <c r="R630" s="15">
        <f>IF(P630&gt;0,"Yes","No")</f>
        <v/>
      </c>
      <c r="S630" s="13" t="inlineStr">
        <is>
          <t>COLA Shoreditch Park</t>
        </is>
      </c>
      <c r="T630" s="42">
        <f>IFERROR(INDEX(Venues!$E$2:$E$10,MATCH(S630,Venues!$A$2:$A$10,0)),"")</f>
        <v/>
      </c>
      <c r="U630" s="15">
        <f>IFERROR(INDEX(Venues!$F$2:$F$10,MATCH(S630,Venues!$A$2:$A$10,0)),"")</f>
        <v/>
      </c>
      <c r="V630" s="43">
        <f>IFERROR(INDEX(Venues!$H$2:$H$10,MATCH(S630,Venues!$A$2:$A$10,0)),"")</f>
        <v/>
      </c>
      <c r="W630" s="15">
        <f>IF('Pilot offer'!$C$24="Yes",'Pilot offer'!$C$3,S630)</f>
        <v/>
      </c>
      <c r="X630" s="42">
        <f>IF('Pilot offer'!$C$24="Yes",'Pilot offer'!$C$5+'Pilot offer'!$C$6,T630)</f>
        <v/>
      </c>
      <c r="Y630" s="15">
        <f>IF('Pilot offer'!$C$24="Yes",'Pilot offer'!$C$8,U630)</f>
        <v/>
      </c>
      <c r="Z630" s="43">
        <f>IF('Pilot offer'!$C$24="Yes",'Pilot offer'!$C$11,"")</f>
        <v/>
      </c>
      <c r="AA630" s="15">
        <f>IF(X630="","",W630&amp;" · "&amp;TEXT(X630,"ddd d mmm, hh:mm")&amp;" · "&amp;Y630&amp;IF(Z630&lt;&gt;""," · £"&amp;TEXT(Z630,"0.00")&amp;" per player"," · price TBC (cost £"&amp;TEXT(V630,"0.00")&amp;" pp)"))</f>
        <v/>
      </c>
      <c r="AD630" s="44" t="n"/>
    </row>
    <row r="631">
      <c r="A631" s="13" t="n">
        <v>629</v>
      </c>
      <c r="B631" s="13" t="inlineStr">
        <is>
          <t>3 · E1 Whitechapel</t>
        </is>
      </c>
      <c r="C631" s="13" t="inlineStr">
        <is>
          <t>Office &amp; professional</t>
        </is>
      </c>
      <c r="D631" s="13" t="inlineStr">
        <is>
          <t>Corporate</t>
        </is>
      </c>
      <c r="E631" s="13" t="inlineStr">
        <is>
          <t>Hoxton Wealth</t>
        </is>
      </c>
      <c r="F631" s="13" t="inlineStr">
        <is>
          <t>finance</t>
        </is>
      </c>
      <c r="G631" s="13" t="inlineStr">
        <is>
          <t>client.services@hoxtonwealth.com</t>
        </is>
      </c>
      <c r="H631" s="13" t="inlineStr">
        <is>
          <t>person_or_other</t>
        </is>
      </c>
      <c r="I631" s="13" t="inlineStr">
        <is>
          <t>+44 20 3917 3757</t>
        </is>
      </c>
      <c r="J631" s="14" t="inlineStr">
        <is>
          <t>https://hoxtonwealth.com/uk</t>
        </is>
      </c>
      <c r="K631" s="13" t="inlineStr">
        <is>
          <t>Level 10, 1 Blossom St, Norton Folgate, London E1 6SG, UK</t>
        </is>
      </c>
      <c r="L631" s="13" t="inlineStr">
        <is>
          <t>E1 6SG</t>
        </is>
      </c>
      <c r="M631" s="13" t="inlineStr">
        <is>
          <t>Whitechapel</t>
        </is>
      </c>
      <c r="N631" s="13" t="n">
        <v>23</v>
      </c>
      <c r="O631" s="15">
        <f>IFERROR(INDEX(Venues!$C$2:$C$10,MATCH(M631,Venues!$A$2:$A$10,0)),"Not checked")</f>
        <v/>
      </c>
      <c r="P631" s="15">
        <f>IFERROR(INDEX(Venues!$D$2:$D$10,MATCH(M631,Venues!$A$2:$A$10,0)),0)</f>
        <v/>
      </c>
      <c r="Q631" s="42">
        <f>IFERROR(INDEX(Venues!$E$2:$E$10,MATCH(M631,Venues!$A$2:$A$10,0)),"")</f>
        <v/>
      </c>
      <c r="R631" s="15">
        <f>IF(P631&gt;0,"Yes","No")</f>
        <v/>
      </c>
      <c r="S631" s="13" t="inlineStr">
        <is>
          <t>COLA Shoreditch Park</t>
        </is>
      </c>
      <c r="T631" s="42">
        <f>IFERROR(INDEX(Venues!$E$2:$E$10,MATCH(S631,Venues!$A$2:$A$10,0)),"")</f>
        <v/>
      </c>
      <c r="U631" s="15">
        <f>IFERROR(INDEX(Venues!$F$2:$F$10,MATCH(S631,Venues!$A$2:$A$10,0)),"")</f>
        <v/>
      </c>
      <c r="V631" s="43">
        <f>IFERROR(INDEX(Venues!$H$2:$H$10,MATCH(S631,Venues!$A$2:$A$10,0)),"")</f>
        <v/>
      </c>
      <c r="W631" s="15">
        <f>IF('Pilot offer'!$C$24="Yes",'Pilot offer'!$C$3,S631)</f>
        <v/>
      </c>
      <c r="X631" s="42">
        <f>IF('Pilot offer'!$C$24="Yes",'Pilot offer'!$C$5+'Pilot offer'!$C$6,T631)</f>
        <v/>
      </c>
      <c r="Y631" s="15">
        <f>IF('Pilot offer'!$C$24="Yes",'Pilot offer'!$C$8,U631)</f>
        <v/>
      </c>
      <c r="Z631" s="43">
        <f>IF('Pilot offer'!$C$24="Yes",'Pilot offer'!$C$11,"")</f>
        <v/>
      </c>
      <c r="AA631" s="15">
        <f>IF(X631="","",W631&amp;" · "&amp;TEXT(X631,"ddd d mmm, hh:mm")&amp;" · "&amp;Y631&amp;IF(Z631&lt;&gt;""," · £"&amp;TEXT(Z631,"0.00")&amp;" per player"," · price TBC (cost £"&amp;TEXT(V631,"0.00")&amp;" pp)"))</f>
        <v/>
      </c>
      <c r="AD631" s="44" t="n"/>
    </row>
    <row r="632">
      <c r="A632" s="13" t="n">
        <v>630</v>
      </c>
      <c r="B632" s="13" t="inlineStr">
        <is>
          <t>3 · E1 Whitechapel</t>
        </is>
      </c>
      <c r="C632" s="13" t="inlineStr">
        <is>
          <t>Coworking / shared office</t>
        </is>
      </c>
      <c r="D632" s="13" t="inlineStr">
        <is>
          <t>Corporate</t>
        </is>
      </c>
      <c r="E632" s="13" t="inlineStr">
        <is>
          <t>Crisis</t>
        </is>
      </c>
      <c r="F632" s="13" t="inlineStr">
        <is>
          <t>office building (multi-tenant)</t>
        </is>
      </c>
      <c r="G632" s="13" t="inlineStr">
        <is>
          <t>bricklane.shop@crisis.org.uk</t>
        </is>
      </c>
      <c r="H632" s="13" t="inlineStr">
        <is>
          <t>openstreetmap_tag</t>
        </is>
      </c>
      <c r="I632" s="13" t="inlineStr">
        <is>
          <t>+44 20 7247 3831</t>
        </is>
      </c>
      <c r="J632" s="13" t="n"/>
      <c r="K632" s="13" t="inlineStr">
        <is>
          <t>78 Quaker Street, London</t>
        </is>
      </c>
      <c r="L632" s="13" t="inlineStr">
        <is>
          <t>E1 6SW</t>
        </is>
      </c>
      <c r="M632" s="13" t="inlineStr">
        <is>
          <t>Whitechapel</t>
        </is>
      </c>
      <c r="N632" s="13" t="n">
        <v>19</v>
      </c>
      <c r="O632" s="15">
        <f>IFERROR(INDEX(Venues!$C$2:$C$10,MATCH(M632,Venues!$A$2:$A$10,0)),"Not checked")</f>
        <v/>
      </c>
      <c r="P632" s="15">
        <f>IFERROR(INDEX(Venues!$D$2:$D$10,MATCH(M632,Venues!$A$2:$A$10,0)),0)</f>
        <v/>
      </c>
      <c r="Q632" s="42">
        <f>IFERROR(INDEX(Venues!$E$2:$E$10,MATCH(M632,Venues!$A$2:$A$10,0)),"")</f>
        <v/>
      </c>
      <c r="R632" s="15">
        <f>IF(P632&gt;0,"Yes","No")</f>
        <v/>
      </c>
      <c r="S632" s="13" t="inlineStr">
        <is>
          <t>COLA Shoreditch Park</t>
        </is>
      </c>
      <c r="T632" s="42">
        <f>IFERROR(INDEX(Venues!$E$2:$E$10,MATCH(S632,Venues!$A$2:$A$10,0)),"")</f>
        <v/>
      </c>
      <c r="U632" s="15">
        <f>IFERROR(INDEX(Venues!$F$2:$F$10,MATCH(S632,Venues!$A$2:$A$10,0)),"")</f>
        <v/>
      </c>
      <c r="V632" s="43">
        <f>IFERROR(INDEX(Venues!$H$2:$H$10,MATCH(S632,Venues!$A$2:$A$10,0)),"")</f>
        <v/>
      </c>
      <c r="W632" s="15">
        <f>IF('Pilot offer'!$C$24="Yes",'Pilot offer'!$C$3,S632)</f>
        <v/>
      </c>
      <c r="X632" s="42">
        <f>IF('Pilot offer'!$C$24="Yes",'Pilot offer'!$C$5+'Pilot offer'!$C$6,T632)</f>
        <v/>
      </c>
      <c r="Y632" s="15">
        <f>IF('Pilot offer'!$C$24="Yes",'Pilot offer'!$C$8,U632)</f>
        <v/>
      </c>
      <c r="Z632" s="43">
        <f>IF('Pilot offer'!$C$24="Yes",'Pilot offer'!$C$11,"")</f>
        <v/>
      </c>
      <c r="AA632" s="15">
        <f>IF(X632="","",W632&amp;" · "&amp;TEXT(X632,"ddd d mmm, hh:mm")&amp;" · "&amp;Y632&amp;IF(Z632&lt;&gt;""," · £"&amp;TEXT(Z632,"0.00")&amp;" per player"," · price TBC (cost £"&amp;TEXT(V632,"0.00")&amp;" pp)"))</f>
        <v/>
      </c>
      <c r="AD632" s="44" t="n"/>
    </row>
    <row r="633">
      <c r="A633" s="13" t="n">
        <v>631</v>
      </c>
      <c r="B633" s="13" t="inlineStr">
        <is>
          <t>3 · E1 Whitechapel</t>
        </is>
      </c>
      <c r="C633" s="13" t="inlineStr">
        <is>
          <t>Hospitality</t>
        </is>
      </c>
      <c r="D633" s="13" t="inlineStr">
        <is>
          <t>Local businesses</t>
        </is>
      </c>
      <c r="E633" s="13" t="inlineStr">
        <is>
          <t>The Buxton</t>
        </is>
      </c>
      <c r="F633" s="13" t="inlineStr">
        <is>
          <t>tourism: hotel</t>
        </is>
      </c>
      <c r="G633" s="13" t="inlineStr">
        <is>
          <t>bookings@thebuxton.co.uk</t>
        </is>
      </c>
      <c r="H633" s="13" t="inlineStr">
        <is>
          <t>openstreetmap_tag</t>
        </is>
      </c>
      <c r="I633" s="13" t="inlineStr">
        <is>
          <t>+44 7595 366162</t>
        </is>
      </c>
      <c r="J633" s="14" t="inlineStr">
        <is>
          <t>https://www.thebuxton.co.uk/stay/</t>
        </is>
      </c>
      <c r="K633" s="13" t="inlineStr">
        <is>
          <t>Osborn Street 42, London</t>
        </is>
      </c>
      <c r="L633" s="13" t="inlineStr">
        <is>
          <t>E1 6TD</t>
        </is>
      </c>
      <c r="M633" s="13" t="inlineStr">
        <is>
          <t>Whitechapel</t>
        </is>
      </c>
      <c r="N633" s="13" t="n">
        <v>13</v>
      </c>
      <c r="O633" s="15">
        <f>IFERROR(INDEX(Venues!$C$2:$C$10,MATCH(M633,Venues!$A$2:$A$10,0)),"Not checked")</f>
        <v/>
      </c>
      <c r="P633" s="15">
        <f>IFERROR(INDEX(Venues!$D$2:$D$10,MATCH(M633,Venues!$A$2:$A$10,0)),0)</f>
        <v/>
      </c>
      <c r="Q633" s="42">
        <f>IFERROR(INDEX(Venues!$E$2:$E$10,MATCH(M633,Venues!$A$2:$A$10,0)),"")</f>
        <v/>
      </c>
      <c r="R633" s="15">
        <f>IF(P633&gt;0,"Yes","No")</f>
        <v/>
      </c>
      <c r="S633" s="13" t="inlineStr">
        <is>
          <t>COLA Shoreditch Park</t>
        </is>
      </c>
      <c r="T633" s="42">
        <f>IFERROR(INDEX(Venues!$E$2:$E$10,MATCH(S633,Venues!$A$2:$A$10,0)),"")</f>
        <v/>
      </c>
      <c r="U633" s="15">
        <f>IFERROR(INDEX(Venues!$F$2:$F$10,MATCH(S633,Venues!$A$2:$A$10,0)),"")</f>
        <v/>
      </c>
      <c r="V633" s="43">
        <f>IFERROR(INDEX(Venues!$H$2:$H$10,MATCH(S633,Venues!$A$2:$A$10,0)),"")</f>
        <v/>
      </c>
      <c r="W633" s="15">
        <f>IF('Pilot offer'!$C$24="Yes",'Pilot offer'!$C$3,S633)</f>
        <v/>
      </c>
      <c r="X633" s="42">
        <f>IF('Pilot offer'!$C$24="Yes",'Pilot offer'!$C$5+'Pilot offer'!$C$6,T633)</f>
        <v/>
      </c>
      <c r="Y633" s="15">
        <f>IF('Pilot offer'!$C$24="Yes",'Pilot offer'!$C$8,U633)</f>
        <v/>
      </c>
      <c r="Z633" s="43">
        <f>IF('Pilot offer'!$C$24="Yes",'Pilot offer'!$C$11,"")</f>
        <v/>
      </c>
      <c r="AA633" s="15">
        <f>IF(X633="","",W633&amp;" · "&amp;TEXT(X633,"ddd d mmm, hh:mm")&amp;" · "&amp;Y633&amp;IF(Z633&lt;&gt;""," · £"&amp;TEXT(Z633,"0.00")&amp;" per player"," · price TBC (cost £"&amp;TEXT(V633,"0.00")&amp;" pp)"))</f>
        <v/>
      </c>
      <c r="AD633" s="44" t="n"/>
    </row>
    <row r="634">
      <c r="A634" s="13" t="n">
        <v>632</v>
      </c>
      <c r="B634" s="13" t="inlineStr">
        <is>
          <t>3 · E1 Whitechapel</t>
        </is>
      </c>
      <c r="C634" s="13" t="inlineStr">
        <is>
          <t>Hospitality</t>
        </is>
      </c>
      <c r="D634" s="13" t="inlineStr">
        <is>
          <t>Local businesses</t>
        </is>
      </c>
      <c r="E634" s="13" t="inlineStr">
        <is>
          <t>Mumbai Square</t>
        </is>
      </c>
      <c r="F634" s="13" t="inlineStr">
        <is>
          <t>amenity: restaurant</t>
        </is>
      </c>
      <c r="G634" s="13" t="inlineStr">
        <is>
          <t>info@mumbaisquare.co.uk</t>
        </is>
      </c>
      <c r="H634" s="13" t="inlineStr">
        <is>
          <t>general</t>
        </is>
      </c>
      <c r="I634" s="13" t="inlineStr">
        <is>
          <t>+44 20 7247 6461</t>
        </is>
      </c>
      <c r="J634" s="14" t="inlineStr">
        <is>
          <t>https://mumbaisquare.co.uk/</t>
        </is>
      </c>
      <c r="K634" s="13" t="inlineStr">
        <is>
          <t>Middlesex Street 7, London</t>
        </is>
      </c>
      <c r="L634" s="13" t="inlineStr">
        <is>
          <t>E1 7AA</t>
        </is>
      </c>
      <c r="M634" s="13" t="inlineStr">
        <is>
          <t>Whitechapel</t>
        </is>
      </c>
      <c r="N634" s="13" t="n">
        <v>18</v>
      </c>
      <c r="O634" s="15">
        <f>IFERROR(INDEX(Venues!$C$2:$C$10,MATCH(M634,Venues!$A$2:$A$10,0)),"Not checked")</f>
        <v/>
      </c>
      <c r="P634" s="15">
        <f>IFERROR(INDEX(Venues!$D$2:$D$10,MATCH(M634,Venues!$A$2:$A$10,0)),0)</f>
        <v/>
      </c>
      <c r="Q634" s="42">
        <f>IFERROR(INDEX(Venues!$E$2:$E$10,MATCH(M634,Venues!$A$2:$A$10,0)),"")</f>
        <v/>
      </c>
      <c r="R634" s="15">
        <f>IF(P634&gt;0,"Yes","No")</f>
        <v/>
      </c>
      <c r="S634" s="13" t="inlineStr">
        <is>
          <t>COLA Shoreditch Park</t>
        </is>
      </c>
      <c r="T634" s="42">
        <f>IFERROR(INDEX(Venues!$E$2:$E$10,MATCH(S634,Venues!$A$2:$A$10,0)),"")</f>
        <v/>
      </c>
      <c r="U634" s="15">
        <f>IFERROR(INDEX(Venues!$F$2:$F$10,MATCH(S634,Venues!$A$2:$A$10,0)),"")</f>
        <v/>
      </c>
      <c r="V634" s="43">
        <f>IFERROR(INDEX(Venues!$H$2:$H$10,MATCH(S634,Venues!$A$2:$A$10,0)),"")</f>
        <v/>
      </c>
      <c r="W634" s="15">
        <f>IF('Pilot offer'!$C$24="Yes",'Pilot offer'!$C$3,S634)</f>
        <v/>
      </c>
      <c r="X634" s="42">
        <f>IF('Pilot offer'!$C$24="Yes",'Pilot offer'!$C$5+'Pilot offer'!$C$6,T634)</f>
        <v/>
      </c>
      <c r="Y634" s="15">
        <f>IF('Pilot offer'!$C$24="Yes",'Pilot offer'!$C$8,U634)</f>
        <v/>
      </c>
      <c r="Z634" s="43">
        <f>IF('Pilot offer'!$C$24="Yes",'Pilot offer'!$C$11,"")</f>
        <v/>
      </c>
      <c r="AA634" s="15">
        <f>IF(X634="","",W634&amp;" · "&amp;TEXT(X634,"ddd d mmm, hh:mm")&amp;" · "&amp;Y634&amp;IF(Z634&lt;&gt;""," · £"&amp;TEXT(Z634,"0.00")&amp;" per player"," · price TBC (cost £"&amp;TEXT(V634,"0.00")&amp;" pp)"))</f>
        <v/>
      </c>
      <c r="AD634" s="44" t="n"/>
    </row>
    <row r="635">
      <c r="A635" s="13" t="n">
        <v>633</v>
      </c>
      <c r="B635" s="13" t="inlineStr">
        <is>
          <t>3 · E1 Whitechapel</t>
        </is>
      </c>
      <c r="C635" s="13" t="inlineStr">
        <is>
          <t>Hospitality</t>
        </is>
      </c>
      <c r="D635" s="13" t="inlineStr">
        <is>
          <t>Local businesses</t>
        </is>
      </c>
      <c r="E635" s="13" t="inlineStr">
        <is>
          <t>Xian Biang Biang Noodles</t>
        </is>
      </c>
      <c r="F635" s="13" t="inlineStr">
        <is>
          <t>amenity: restaurant</t>
        </is>
      </c>
      <c r="G635" s="13" t="inlineStr">
        <is>
          <t>info@xianbiangbiangnoodles.com</t>
        </is>
      </c>
      <c r="H635" s="13" t="inlineStr">
        <is>
          <t>openstreetmap_tag</t>
        </is>
      </c>
      <c r="I635" s="13" t="inlineStr">
        <is>
          <t>+44 20 8617 1470</t>
        </is>
      </c>
      <c r="J635" s="14" t="inlineStr">
        <is>
          <t>https://xianbiangbiangnoodles.com</t>
        </is>
      </c>
      <c r="K635" s="13" t="inlineStr">
        <is>
          <t>Wentworth Street 62, London</t>
        </is>
      </c>
      <c r="L635" s="13" t="inlineStr">
        <is>
          <t>E1 7AL</t>
        </is>
      </c>
      <c r="M635" s="13" t="inlineStr">
        <is>
          <t>Whitechapel</t>
        </is>
      </c>
      <c r="N635" s="13" t="n">
        <v>16</v>
      </c>
      <c r="O635" s="15">
        <f>IFERROR(INDEX(Venues!$C$2:$C$10,MATCH(M635,Venues!$A$2:$A$10,0)),"Not checked")</f>
        <v/>
      </c>
      <c r="P635" s="15">
        <f>IFERROR(INDEX(Venues!$D$2:$D$10,MATCH(M635,Venues!$A$2:$A$10,0)),0)</f>
        <v/>
      </c>
      <c r="Q635" s="42">
        <f>IFERROR(INDEX(Venues!$E$2:$E$10,MATCH(M635,Venues!$A$2:$A$10,0)),"")</f>
        <v/>
      </c>
      <c r="R635" s="15">
        <f>IF(P635&gt;0,"Yes","No")</f>
        <v/>
      </c>
      <c r="S635" s="13" t="inlineStr">
        <is>
          <t>COLA Shoreditch Park</t>
        </is>
      </c>
      <c r="T635" s="42">
        <f>IFERROR(INDEX(Venues!$E$2:$E$10,MATCH(S635,Venues!$A$2:$A$10,0)),"")</f>
        <v/>
      </c>
      <c r="U635" s="15">
        <f>IFERROR(INDEX(Venues!$F$2:$F$10,MATCH(S635,Venues!$A$2:$A$10,0)),"")</f>
        <v/>
      </c>
      <c r="V635" s="43">
        <f>IFERROR(INDEX(Venues!$H$2:$H$10,MATCH(S635,Venues!$A$2:$A$10,0)),"")</f>
        <v/>
      </c>
      <c r="W635" s="15">
        <f>IF('Pilot offer'!$C$24="Yes",'Pilot offer'!$C$3,S635)</f>
        <v/>
      </c>
      <c r="X635" s="42">
        <f>IF('Pilot offer'!$C$24="Yes",'Pilot offer'!$C$5+'Pilot offer'!$C$6,T635)</f>
        <v/>
      </c>
      <c r="Y635" s="15">
        <f>IF('Pilot offer'!$C$24="Yes",'Pilot offer'!$C$8,U635)</f>
        <v/>
      </c>
      <c r="Z635" s="43">
        <f>IF('Pilot offer'!$C$24="Yes",'Pilot offer'!$C$11,"")</f>
        <v/>
      </c>
      <c r="AA635" s="15">
        <f>IF(X635="","",W635&amp;" · "&amp;TEXT(X635,"ddd d mmm, hh:mm")&amp;" · "&amp;Y635&amp;IF(Z635&lt;&gt;""," · £"&amp;TEXT(Z635,"0.00")&amp;" per player"," · price TBC (cost £"&amp;TEXT(V635,"0.00")&amp;" pp)"))</f>
        <v/>
      </c>
      <c r="AD635" s="44" t="n"/>
    </row>
    <row r="636">
      <c r="A636" s="13" t="n">
        <v>634</v>
      </c>
      <c r="B636" s="13" t="inlineStr">
        <is>
          <t>3 · E1 Whitechapel</t>
        </is>
      </c>
      <c r="C636" s="13" t="inlineStr">
        <is>
          <t>Hospitality</t>
        </is>
      </c>
      <c r="D636" s="13" t="inlineStr">
        <is>
          <t>Local businesses</t>
        </is>
      </c>
      <c r="E636" s="13" t="inlineStr">
        <is>
          <t>Clayton Hotel</t>
        </is>
      </c>
      <c r="F636" s="13" t="inlineStr">
        <is>
          <t>tourism: hotel</t>
        </is>
      </c>
      <c r="G636" s="13" t="inlineStr">
        <is>
          <t>res.cityoflondon@claytonhotels.com</t>
        </is>
      </c>
      <c r="H636" s="13" t="inlineStr">
        <is>
          <t>openstreetmap_tag</t>
        </is>
      </c>
      <c r="I636" s="13" t="inlineStr">
        <is>
          <t>+44 20 3687 2777</t>
        </is>
      </c>
      <c r="J636" s="14" t="inlineStr">
        <is>
          <t>https://www.claytonhotelcityoflondon.com/</t>
        </is>
      </c>
      <c r="K636" s="13" t="inlineStr">
        <is>
          <t>New Drum Street 10, London</t>
        </is>
      </c>
      <c r="L636" s="13" t="inlineStr">
        <is>
          <t>E1 7AT</t>
        </is>
      </c>
      <c r="M636" s="13" t="inlineStr">
        <is>
          <t>Whitechapel</t>
        </is>
      </c>
      <c r="N636" s="13" t="n">
        <v>12</v>
      </c>
      <c r="O636" s="15">
        <f>IFERROR(INDEX(Venues!$C$2:$C$10,MATCH(M636,Venues!$A$2:$A$10,0)),"Not checked")</f>
        <v/>
      </c>
      <c r="P636" s="15">
        <f>IFERROR(INDEX(Venues!$D$2:$D$10,MATCH(M636,Venues!$A$2:$A$10,0)),0)</f>
        <v/>
      </c>
      <c r="Q636" s="42">
        <f>IFERROR(INDEX(Venues!$E$2:$E$10,MATCH(M636,Venues!$A$2:$A$10,0)),"")</f>
        <v/>
      </c>
      <c r="R636" s="15">
        <f>IF(P636&gt;0,"Yes","No")</f>
        <v/>
      </c>
      <c r="S636" s="13" t="inlineStr">
        <is>
          <t>COLA Shoreditch Park</t>
        </is>
      </c>
      <c r="T636" s="42">
        <f>IFERROR(INDEX(Venues!$E$2:$E$10,MATCH(S636,Venues!$A$2:$A$10,0)),"")</f>
        <v/>
      </c>
      <c r="U636" s="15">
        <f>IFERROR(INDEX(Venues!$F$2:$F$10,MATCH(S636,Venues!$A$2:$A$10,0)),"")</f>
        <v/>
      </c>
      <c r="V636" s="43">
        <f>IFERROR(INDEX(Venues!$H$2:$H$10,MATCH(S636,Venues!$A$2:$A$10,0)),"")</f>
        <v/>
      </c>
      <c r="W636" s="15">
        <f>IF('Pilot offer'!$C$24="Yes",'Pilot offer'!$C$3,S636)</f>
        <v/>
      </c>
      <c r="X636" s="42">
        <f>IF('Pilot offer'!$C$24="Yes",'Pilot offer'!$C$5+'Pilot offer'!$C$6,T636)</f>
        <v/>
      </c>
      <c r="Y636" s="15">
        <f>IF('Pilot offer'!$C$24="Yes",'Pilot offer'!$C$8,U636)</f>
        <v/>
      </c>
      <c r="Z636" s="43">
        <f>IF('Pilot offer'!$C$24="Yes",'Pilot offer'!$C$11,"")</f>
        <v/>
      </c>
      <c r="AA636" s="15">
        <f>IF(X636="","",W636&amp;" · "&amp;TEXT(X636,"ddd d mmm, hh:mm")&amp;" · "&amp;Y636&amp;IF(Z636&lt;&gt;""," · £"&amp;TEXT(Z636,"0.00")&amp;" per player"," · price TBC (cost £"&amp;TEXT(V636,"0.00")&amp;" pp)"))</f>
        <v/>
      </c>
      <c r="AD636" s="44" t="n"/>
    </row>
    <row r="637">
      <c r="A637" s="13" t="n">
        <v>635</v>
      </c>
      <c r="B637" s="13" t="inlineStr">
        <is>
          <t>3 · E1 Whitechapel</t>
        </is>
      </c>
      <c r="C637" s="13" t="inlineStr">
        <is>
          <t>Hospitality</t>
        </is>
      </c>
      <c r="D637" s="13" t="inlineStr">
        <is>
          <t>Local businesses</t>
        </is>
      </c>
      <c r="E637" s="13" t="inlineStr">
        <is>
          <t>Ara Restaurant</t>
        </is>
      </c>
      <c r="F637" s="13" t="inlineStr">
        <is>
          <t>amenity: restaurant</t>
        </is>
      </c>
      <c r="G637" s="13" t="inlineStr">
        <is>
          <t>info@ararestaurant.co.uk</t>
        </is>
      </c>
      <c r="H637" s="13" t="inlineStr">
        <is>
          <t>openstreetmap_tag</t>
        </is>
      </c>
      <c r="I637" s="13" t="inlineStr">
        <is>
          <t>+44 20 4597 0116</t>
        </is>
      </c>
      <c r="J637" s="14" t="inlineStr">
        <is>
          <t>https://ararestaurant.co.uk/</t>
        </is>
      </c>
      <c r="K637" s="13" t="inlineStr">
        <is>
          <t>New Drum Street 1, London</t>
        </is>
      </c>
      <c r="L637" s="13" t="inlineStr">
        <is>
          <t>E1 7AY</t>
        </is>
      </c>
      <c r="M637" s="13" t="inlineStr">
        <is>
          <t>Whitechapel</t>
        </is>
      </c>
      <c r="N637" s="13" t="n">
        <v>13</v>
      </c>
      <c r="O637" s="15">
        <f>IFERROR(INDEX(Venues!$C$2:$C$10,MATCH(M637,Venues!$A$2:$A$10,0)),"Not checked")</f>
        <v/>
      </c>
      <c r="P637" s="15">
        <f>IFERROR(INDEX(Venues!$D$2:$D$10,MATCH(M637,Venues!$A$2:$A$10,0)),0)</f>
        <v/>
      </c>
      <c r="Q637" s="42">
        <f>IFERROR(INDEX(Venues!$E$2:$E$10,MATCH(M637,Venues!$A$2:$A$10,0)),"")</f>
        <v/>
      </c>
      <c r="R637" s="15">
        <f>IF(P637&gt;0,"Yes","No")</f>
        <v/>
      </c>
      <c r="S637" s="13" t="inlineStr">
        <is>
          <t>COLA Shoreditch Park</t>
        </is>
      </c>
      <c r="T637" s="42">
        <f>IFERROR(INDEX(Venues!$E$2:$E$10,MATCH(S637,Venues!$A$2:$A$10,0)),"")</f>
        <v/>
      </c>
      <c r="U637" s="15">
        <f>IFERROR(INDEX(Venues!$F$2:$F$10,MATCH(S637,Venues!$A$2:$A$10,0)),"")</f>
        <v/>
      </c>
      <c r="V637" s="43">
        <f>IFERROR(INDEX(Venues!$H$2:$H$10,MATCH(S637,Venues!$A$2:$A$10,0)),"")</f>
        <v/>
      </c>
      <c r="W637" s="15">
        <f>IF('Pilot offer'!$C$24="Yes",'Pilot offer'!$C$3,S637)</f>
        <v/>
      </c>
      <c r="X637" s="42">
        <f>IF('Pilot offer'!$C$24="Yes",'Pilot offer'!$C$5+'Pilot offer'!$C$6,T637)</f>
        <v/>
      </c>
      <c r="Y637" s="15">
        <f>IF('Pilot offer'!$C$24="Yes",'Pilot offer'!$C$8,U637)</f>
        <v/>
      </c>
      <c r="Z637" s="43">
        <f>IF('Pilot offer'!$C$24="Yes",'Pilot offer'!$C$11,"")</f>
        <v/>
      </c>
      <c r="AA637" s="15">
        <f>IF(X637="","",W637&amp;" · "&amp;TEXT(X637,"ddd d mmm, hh:mm")&amp;" · "&amp;Y637&amp;IF(Z637&lt;&gt;""," · £"&amp;TEXT(Z637,"0.00")&amp;" per player"," · price TBC (cost £"&amp;TEXT(V637,"0.00")&amp;" pp)"))</f>
        <v/>
      </c>
      <c r="AD637" s="44" t="n"/>
    </row>
    <row r="638">
      <c r="A638" s="13" t="n">
        <v>636</v>
      </c>
      <c r="B638" s="13" t="inlineStr">
        <is>
          <t>3 · E1 Whitechapel</t>
        </is>
      </c>
      <c r="C638" s="13" t="inlineStr">
        <is>
          <t>Office &amp; professional</t>
        </is>
      </c>
      <c r="D638" s="13" t="inlineStr">
        <is>
          <t>Corporate</t>
        </is>
      </c>
      <c r="E638" s="13" t="inlineStr">
        <is>
          <t>London Accounting Firm</t>
        </is>
      </c>
      <c r="F638" s="13" t="inlineStr">
        <is>
          <t>finance</t>
        </is>
      </c>
      <c r="G638" s="13" t="inlineStr">
        <is>
          <t>info@londonaccountingfirm.co.uk</t>
        </is>
      </c>
      <c r="H638" s="13" t="inlineStr">
        <is>
          <t>general</t>
        </is>
      </c>
      <c r="I638" s="13" t="inlineStr">
        <is>
          <t>+44 7494 090068</t>
        </is>
      </c>
      <c r="J638" s="14" t="inlineStr">
        <is>
          <t>https://londonaccountingfirm.co.uk/</t>
        </is>
      </c>
      <c r="K638" s="13" t="inlineStr">
        <is>
          <t>95 Middlesex St, London E1 7DA, UK</t>
        </is>
      </c>
      <c r="L638" s="13" t="inlineStr">
        <is>
          <t>E1 7DA</t>
        </is>
      </c>
      <c r="M638" s="13" t="inlineStr">
        <is>
          <t>Whitechapel</t>
        </is>
      </c>
      <c r="N638" s="13" t="n">
        <v>19</v>
      </c>
      <c r="O638" s="15">
        <f>IFERROR(INDEX(Venues!$C$2:$C$10,MATCH(M638,Venues!$A$2:$A$10,0)),"Not checked")</f>
        <v/>
      </c>
      <c r="P638" s="15">
        <f>IFERROR(INDEX(Venues!$D$2:$D$10,MATCH(M638,Venues!$A$2:$A$10,0)),0)</f>
        <v/>
      </c>
      <c r="Q638" s="42">
        <f>IFERROR(INDEX(Venues!$E$2:$E$10,MATCH(M638,Venues!$A$2:$A$10,0)),"")</f>
        <v/>
      </c>
      <c r="R638" s="15">
        <f>IF(P638&gt;0,"Yes","No")</f>
        <v/>
      </c>
      <c r="S638" s="13" t="inlineStr">
        <is>
          <t>COLA Shoreditch Park</t>
        </is>
      </c>
      <c r="T638" s="42">
        <f>IFERROR(INDEX(Venues!$E$2:$E$10,MATCH(S638,Venues!$A$2:$A$10,0)),"")</f>
        <v/>
      </c>
      <c r="U638" s="15">
        <f>IFERROR(INDEX(Venues!$F$2:$F$10,MATCH(S638,Venues!$A$2:$A$10,0)),"")</f>
        <v/>
      </c>
      <c r="V638" s="43">
        <f>IFERROR(INDEX(Venues!$H$2:$H$10,MATCH(S638,Venues!$A$2:$A$10,0)),"")</f>
        <v/>
      </c>
      <c r="W638" s="15">
        <f>IF('Pilot offer'!$C$24="Yes",'Pilot offer'!$C$3,S638)</f>
        <v/>
      </c>
      <c r="X638" s="42">
        <f>IF('Pilot offer'!$C$24="Yes",'Pilot offer'!$C$5+'Pilot offer'!$C$6,T638)</f>
        <v/>
      </c>
      <c r="Y638" s="15">
        <f>IF('Pilot offer'!$C$24="Yes",'Pilot offer'!$C$8,U638)</f>
        <v/>
      </c>
      <c r="Z638" s="43">
        <f>IF('Pilot offer'!$C$24="Yes",'Pilot offer'!$C$11,"")</f>
        <v/>
      </c>
      <c r="AA638" s="15">
        <f>IF(X638="","",W638&amp;" · "&amp;TEXT(X638,"ddd d mmm, hh:mm")&amp;" · "&amp;Y638&amp;IF(Z638&lt;&gt;""," · £"&amp;TEXT(Z638,"0.00")&amp;" per player"," · price TBC (cost £"&amp;TEXT(V638,"0.00")&amp;" pp)"))</f>
        <v/>
      </c>
      <c r="AD638" s="44" t="n"/>
    </row>
    <row r="639">
      <c r="A639" s="13" t="n">
        <v>637</v>
      </c>
      <c r="B639" s="13" t="inlineStr">
        <is>
          <t>3 · E1 Whitechapel</t>
        </is>
      </c>
      <c r="C639" s="13" t="inlineStr">
        <is>
          <t>Hospitality</t>
        </is>
      </c>
      <c r="D639" s="13" t="inlineStr">
        <is>
          <t>Local businesses</t>
        </is>
      </c>
      <c r="E639" s="13" t="inlineStr">
        <is>
          <t>Current Cafe</t>
        </is>
      </c>
      <c r="F639" s="13" t="inlineStr">
        <is>
          <t>amenity: cafe</t>
        </is>
      </c>
      <c r="G639" s="13" t="inlineStr">
        <is>
          <t>hello@currentcafe.co.uk</t>
        </is>
      </c>
      <c r="H639" s="13" t="inlineStr">
        <is>
          <t>openstreetmap_tag</t>
        </is>
      </c>
      <c r="I639" s="13" t="inlineStr">
        <is>
          <t>+44 7909 661731</t>
        </is>
      </c>
      <c r="J639" s="14" t="inlineStr">
        <is>
          <t>https://www.currentcafe.co.uk/</t>
        </is>
      </c>
      <c r="K639" s="13" t="inlineStr">
        <is>
          <t>Harrow Place 6, London</t>
        </is>
      </c>
      <c r="L639" s="13" t="inlineStr">
        <is>
          <t>E1 7DB</t>
        </is>
      </c>
      <c r="M639" s="13" t="inlineStr">
        <is>
          <t>Whitechapel</t>
        </is>
      </c>
      <c r="N639" s="13" t="n">
        <v>20</v>
      </c>
      <c r="O639" s="15">
        <f>IFERROR(INDEX(Venues!$C$2:$C$10,MATCH(M639,Venues!$A$2:$A$10,0)),"Not checked")</f>
        <v/>
      </c>
      <c r="P639" s="15">
        <f>IFERROR(INDEX(Venues!$D$2:$D$10,MATCH(M639,Venues!$A$2:$A$10,0)),0)</f>
        <v/>
      </c>
      <c r="Q639" s="42">
        <f>IFERROR(INDEX(Venues!$E$2:$E$10,MATCH(M639,Venues!$A$2:$A$10,0)),"")</f>
        <v/>
      </c>
      <c r="R639" s="15">
        <f>IF(P639&gt;0,"Yes","No")</f>
        <v/>
      </c>
      <c r="S639" s="13" t="inlineStr">
        <is>
          <t>COLA Shoreditch Park</t>
        </is>
      </c>
      <c r="T639" s="42">
        <f>IFERROR(INDEX(Venues!$E$2:$E$10,MATCH(S639,Venues!$A$2:$A$10,0)),"")</f>
        <v/>
      </c>
      <c r="U639" s="15">
        <f>IFERROR(INDEX(Venues!$F$2:$F$10,MATCH(S639,Venues!$A$2:$A$10,0)),"")</f>
        <v/>
      </c>
      <c r="V639" s="43">
        <f>IFERROR(INDEX(Venues!$H$2:$H$10,MATCH(S639,Venues!$A$2:$A$10,0)),"")</f>
        <v/>
      </c>
      <c r="W639" s="15">
        <f>IF('Pilot offer'!$C$24="Yes",'Pilot offer'!$C$3,S639)</f>
        <v/>
      </c>
      <c r="X639" s="42">
        <f>IF('Pilot offer'!$C$24="Yes",'Pilot offer'!$C$5+'Pilot offer'!$C$6,T639)</f>
        <v/>
      </c>
      <c r="Y639" s="15">
        <f>IF('Pilot offer'!$C$24="Yes",'Pilot offer'!$C$8,U639)</f>
        <v/>
      </c>
      <c r="Z639" s="43">
        <f>IF('Pilot offer'!$C$24="Yes",'Pilot offer'!$C$11,"")</f>
        <v/>
      </c>
      <c r="AA639" s="15">
        <f>IF(X639="","",W639&amp;" · "&amp;TEXT(X639,"ddd d mmm, hh:mm")&amp;" · "&amp;Y639&amp;IF(Z639&lt;&gt;""," · £"&amp;TEXT(Z639,"0.00")&amp;" per player"," · price TBC (cost £"&amp;TEXT(V639,"0.00")&amp;" pp)"))</f>
        <v/>
      </c>
      <c r="AD639" s="44" t="n"/>
    </row>
    <row r="640">
      <c r="A640" s="13" t="n">
        <v>638</v>
      </c>
      <c r="B640" s="13" t="inlineStr">
        <is>
          <t>3 · E1 Whitechapel</t>
        </is>
      </c>
      <c r="C640" s="13" t="inlineStr">
        <is>
          <t>Hospitality</t>
        </is>
      </c>
      <c r="D640" s="13" t="inlineStr">
        <is>
          <t>Local businesses</t>
        </is>
      </c>
      <c r="E640" s="13" t="inlineStr">
        <is>
          <t>Grain Kitchen</t>
        </is>
      </c>
      <c r="F640" s="13" t="inlineStr">
        <is>
          <t>amenity: cafe</t>
        </is>
      </c>
      <c r="G640" s="13" t="inlineStr">
        <is>
          <t>info@grainkitchen.co.uk</t>
        </is>
      </c>
      <c r="H640" s="13" t="inlineStr">
        <is>
          <t>general</t>
        </is>
      </c>
      <c r="I640" s="13" t="inlineStr">
        <is>
          <t>+44 20 7377 8586</t>
        </is>
      </c>
      <c r="J640" s="14" t="inlineStr">
        <is>
          <t>https://www.grainkitchen.co.uk/</t>
        </is>
      </c>
      <c r="K640" s="13" t="inlineStr">
        <is>
          <t>Harrow Place 13, London</t>
        </is>
      </c>
      <c r="L640" s="13" t="inlineStr">
        <is>
          <t>E1 7DB</t>
        </is>
      </c>
      <c r="M640" s="13" t="inlineStr">
        <is>
          <t>Whitechapel</t>
        </is>
      </c>
      <c r="N640" s="13" t="n">
        <v>20</v>
      </c>
      <c r="O640" s="15">
        <f>IFERROR(INDEX(Venues!$C$2:$C$10,MATCH(M640,Venues!$A$2:$A$10,0)),"Not checked")</f>
        <v/>
      </c>
      <c r="P640" s="15">
        <f>IFERROR(INDEX(Venues!$D$2:$D$10,MATCH(M640,Venues!$A$2:$A$10,0)),0)</f>
        <v/>
      </c>
      <c r="Q640" s="42">
        <f>IFERROR(INDEX(Venues!$E$2:$E$10,MATCH(M640,Venues!$A$2:$A$10,0)),"")</f>
        <v/>
      </c>
      <c r="R640" s="15">
        <f>IF(P640&gt;0,"Yes","No")</f>
        <v/>
      </c>
      <c r="S640" s="13" t="inlineStr">
        <is>
          <t>COLA Shoreditch Park</t>
        </is>
      </c>
      <c r="T640" s="42">
        <f>IFERROR(INDEX(Venues!$E$2:$E$10,MATCH(S640,Venues!$A$2:$A$10,0)),"")</f>
        <v/>
      </c>
      <c r="U640" s="15">
        <f>IFERROR(INDEX(Venues!$F$2:$F$10,MATCH(S640,Venues!$A$2:$A$10,0)),"")</f>
        <v/>
      </c>
      <c r="V640" s="43">
        <f>IFERROR(INDEX(Venues!$H$2:$H$10,MATCH(S640,Venues!$A$2:$A$10,0)),"")</f>
        <v/>
      </c>
      <c r="W640" s="15">
        <f>IF('Pilot offer'!$C$24="Yes",'Pilot offer'!$C$3,S640)</f>
        <v/>
      </c>
      <c r="X640" s="42">
        <f>IF('Pilot offer'!$C$24="Yes",'Pilot offer'!$C$5+'Pilot offer'!$C$6,T640)</f>
        <v/>
      </c>
      <c r="Y640" s="15">
        <f>IF('Pilot offer'!$C$24="Yes",'Pilot offer'!$C$8,U640)</f>
        <v/>
      </c>
      <c r="Z640" s="43">
        <f>IF('Pilot offer'!$C$24="Yes",'Pilot offer'!$C$11,"")</f>
        <v/>
      </c>
      <c r="AA640" s="15">
        <f>IF(X640="","",W640&amp;" · "&amp;TEXT(X640,"ddd d mmm, hh:mm")&amp;" · "&amp;Y640&amp;IF(Z640&lt;&gt;""," · £"&amp;TEXT(Z640,"0.00")&amp;" per player"," · price TBC (cost £"&amp;TEXT(V640,"0.00")&amp;" pp)"))</f>
        <v/>
      </c>
      <c r="AD640" s="44" t="n"/>
    </row>
    <row r="641">
      <c r="A641" s="13" t="n">
        <v>639</v>
      </c>
      <c r="B641" s="13" t="inlineStr">
        <is>
          <t>3 · E1 Whitechapel</t>
        </is>
      </c>
      <c r="C641" s="13" t="inlineStr">
        <is>
          <t>Hospitality</t>
        </is>
      </c>
      <c r="D641" s="13" t="inlineStr">
        <is>
          <t>Local businesses</t>
        </is>
      </c>
      <c r="E641" s="13" t="inlineStr">
        <is>
          <t>1947 Restaurant &amp; Bar</t>
        </is>
      </c>
      <c r="F641" s="13" t="inlineStr">
        <is>
          <t>amenity: restaurant</t>
        </is>
      </c>
      <c r="G641" s="13" t="inlineStr">
        <is>
          <t>info@1947restaurant.co.uk</t>
        </is>
      </c>
      <c r="H641" s="13" t="inlineStr">
        <is>
          <t>openstreetmap_tag</t>
        </is>
      </c>
      <c r="I641" s="13" t="inlineStr">
        <is>
          <t>+44 20 3583 1908</t>
        </is>
      </c>
      <c r="J641" s="14" t="inlineStr">
        <is>
          <t>https://1947restaurant.co.uk/</t>
        </is>
      </c>
      <c r="K641" s="13" t="inlineStr">
        <is>
          <t>Middlesex Street 38, London</t>
        </is>
      </c>
      <c r="L641" s="13" t="inlineStr">
        <is>
          <t>E1 7EX</t>
        </is>
      </c>
      <c r="M641" s="13" t="inlineStr">
        <is>
          <t>Whitechapel</t>
        </is>
      </c>
      <c r="N641" s="13" t="n">
        <v>17</v>
      </c>
      <c r="O641" s="15">
        <f>IFERROR(INDEX(Venues!$C$2:$C$10,MATCH(M641,Venues!$A$2:$A$10,0)),"Not checked")</f>
        <v/>
      </c>
      <c r="P641" s="15">
        <f>IFERROR(INDEX(Venues!$D$2:$D$10,MATCH(M641,Venues!$A$2:$A$10,0)),0)</f>
        <v/>
      </c>
      <c r="Q641" s="42">
        <f>IFERROR(INDEX(Venues!$E$2:$E$10,MATCH(M641,Venues!$A$2:$A$10,0)),"")</f>
        <v/>
      </c>
      <c r="R641" s="15">
        <f>IF(P641&gt;0,"Yes","No")</f>
        <v/>
      </c>
      <c r="S641" s="13" t="inlineStr">
        <is>
          <t>COLA Shoreditch Park</t>
        </is>
      </c>
      <c r="T641" s="42">
        <f>IFERROR(INDEX(Venues!$E$2:$E$10,MATCH(S641,Venues!$A$2:$A$10,0)),"")</f>
        <v/>
      </c>
      <c r="U641" s="15">
        <f>IFERROR(INDEX(Venues!$F$2:$F$10,MATCH(S641,Venues!$A$2:$A$10,0)),"")</f>
        <v/>
      </c>
      <c r="V641" s="43">
        <f>IFERROR(INDEX(Venues!$H$2:$H$10,MATCH(S641,Venues!$A$2:$A$10,0)),"")</f>
        <v/>
      </c>
      <c r="W641" s="15">
        <f>IF('Pilot offer'!$C$24="Yes",'Pilot offer'!$C$3,S641)</f>
        <v/>
      </c>
      <c r="X641" s="42">
        <f>IF('Pilot offer'!$C$24="Yes",'Pilot offer'!$C$5+'Pilot offer'!$C$6,T641)</f>
        <v/>
      </c>
      <c r="Y641" s="15">
        <f>IF('Pilot offer'!$C$24="Yes",'Pilot offer'!$C$8,U641)</f>
        <v/>
      </c>
      <c r="Z641" s="43">
        <f>IF('Pilot offer'!$C$24="Yes",'Pilot offer'!$C$11,"")</f>
        <v/>
      </c>
      <c r="AA641" s="15">
        <f>IF(X641="","",W641&amp;" · "&amp;TEXT(X641,"ddd d mmm, hh:mm")&amp;" · "&amp;Y641&amp;IF(Z641&lt;&gt;""," · £"&amp;TEXT(Z641,"0.00")&amp;" per player"," · price TBC (cost £"&amp;TEXT(V641,"0.00")&amp;" pp)"))</f>
        <v/>
      </c>
      <c r="AD641" s="44" t="n"/>
    </row>
    <row r="642">
      <c r="A642" s="13" t="n">
        <v>640</v>
      </c>
      <c r="B642" s="13" t="inlineStr">
        <is>
          <t>3 · E1 Whitechapel</t>
        </is>
      </c>
      <c r="C642" s="13" t="inlineStr">
        <is>
          <t>Hospitality</t>
        </is>
      </c>
      <c r="D642" s="13" t="inlineStr">
        <is>
          <t>Local businesses</t>
        </is>
      </c>
      <c r="E642" s="13" t="inlineStr">
        <is>
          <t>BiFe</t>
        </is>
      </c>
      <c r="F642" s="13" t="inlineStr">
        <is>
          <t>amenity: restaurant</t>
        </is>
      </c>
      <c r="G642" s="13" t="inlineStr">
        <is>
          <t>info@bife.co.uk</t>
        </is>
      </c>
      <c r="H642" s="13" t="inlineStr">
        <is>
          <t>general</t>
        </is>
      </c>
      <c r="I642" s="13" t="inlineStr">
        <is>
          <t>+44 20 7650 7948</t>
        </is>
      </c>
      <c r="J642" s="14" t="inlineStr">
        <is>
          <t>https://bife.co.uk/</t>
        </is>
      </c>
      <c r="K642" s="13" t="inlineStr">
        <is>
          <t>Middlesex Street 40-42, London</t>
        </is>
      </c>
      <c r="L642" s="13" t="inlineStr">
        <is>
          <t>E1 7EX</t>
        </is>
      </c>
      <c r="M642" s="13" t="inlineStr">
        <is>
          <t>Whitechapel</t>
        </is>
      </c>
      <c r="N642" s="13" t="n">
        <v>18</v>
      </c>
      <c r="O642" s="15">
        <f>IFERROR(INDEX(Venues!$C$2:$C$10,MATCH(M642,Venues!$A$2:$A$10,0)),"Not checked")</f>
        <v/>
      </c>
      <c r="P642" s="15">
        <f>IFERROR(INDEX(Venues!$D$2:$D$10,MATCH(M642,Venues!$A$2:$A$10,0)),0)</f>
        <v/>
      </c>
      <c r="Q642" s="42">
        <f>IFERROR(INDEX(Venues!$E$2:$E$10,MATCH(M642,Venues!$A$2:$A$10,0)),"")</f>
        <v/>
      </c>
      <c r="R642" s="15">
        <f>IF(P642&gt;0,"Yes","No")</f>
        <v/>
      </c>
      <c r="S642" s="13" t="inlineStr">
        <is>
          <t>COLA Shoreditch Park</t>
        </is>
      </c>
      <c r="T642" s="42">
        <f>IFERROR(INDEX(Venues!$E$2:$E$10,MATCH(S642,Venues!$A$2:$A$10,0)),"")</f>
        <v/>
      </c>
      <c r="U642" s="15">
        <f>IFERROR(INDEX(Venues!$F$2:$F$10,MATCH(S642,Venues!$A$2:$A$10,0)),"")</f>
        <v/>
      </c>
      <c r="V642" s="43">
        <f>IFERROR(INDEX(Venues!$H$2:$H$10,MATCH(S642,Venues!$A$2:$A$10,0)),"")</f>
        <v/>
      </c>
      <c r="W642" s="15">
        <f>IF('Pilot offer'!$C$24="Yes",'Pilot offer'!$C$3,S642)</f>
        <v/>
      </c>
      <c r="X642" s="42">
        <f>IF('Pilot offer'!$C$24="Yes",'Pilot offer'!$C$5+'Pilot offer'!$C$6,T642)</f>
        <v/>
      </c>
      <c r="Y642" s="15">
        <f>IF('Pilot offer'!$C$24="Yes",'Pilot offer'!$C$8,U642)</f>
        <v/>
      </c>
      <c r="Z642" s="43">
        <f>IF('Pilot offer'!$C$24="Yes",'Pilot offer'!$C$11,"")</f>
        <v/>
      </c>
      <c r="AA642" s="15">
        <f>IF(X642="","",W642&amp;" · "&amp;TEXT(X642,"ddd d mmm, hh:mm")&amp;" · "&amp;Y642&amp;IF(Z642&lt;&gt;""," · £"&amp;TEXT(Z642,"0.00")&amp;" per player"," · price TBC (cost £"&amp;TEXT(V642,"0.00")&amp;" pp)"))</f>
        <v/>
      </c>
      <c r="AD642" s="44" t="n"/>
    </row>
    <row r="643">
      <c r="A643" s="13" t="n">
        <v>641</v>
      </c>
      <c r="B643" s="13" t="inlineStr">
        <is>
          <t>3 · E1 Whitechapel</t>
        </is>
      </c>
      <c r="C643" s="13" t="inlineStr">
        <is>
          <t>Retail</t>
        </is>
      </c>
      <c r="D643" s="13" t="inlineStr">
        <is>
          <t>Local businesses</t>
        </is>
      </c>
      <c r="E643" s="13" t="inlineStr">
        <is>
          <t>Rockerfella Barbers</t>
        </is>
      </c>
      <c r="F643" s="13" t="inlineStr">
        <is>
          <t>shop: hairdresser</t>
        </is>
      </c>
      <c r="G643" s="13" t="inlineStr">
        <is>
          <t>info@rockerfellabarbers.com</t>
        </is>
      </c>
      <c r="H643" s="13" t="inlineStr">
        <is>
          <t>general</t>
        </is>
      </c>
      <c r="I643" s="13" t="inlineStr">
        <is>
          <t>+44 20 7377 6076</t>
        </is>
      </c>
      <c r="J643" s="14" t="inlineStr">
        <is>
          <t>https://www.rockerfellabarbers.com/</t>
        </is>
      </c>
      <c r="K643" s="13" t="inlineStr">
        <is>
          <t>Middlesex Street 44, London</t>
        </is>
      </c>
      <c r="L643" s="13" t="inlineStr">
        <is>
          <t>E1 7EX</t>
        </is>
      </c>
      <c r="M643" s="13" t="inlineStr">
        <is>
          <t>Whitechapel</t>
        </is>
      </c>
      <c r="N643" s="13" t="n">
        <v>18</v>
      </c>
      <c r="O643" s="15">
        <f>IFERROR(INDEX(Venues!$C$2:$C$10,MATCH(M643,Venues!$A$2:$A$10,0)),"Not checked")</f>
        <v/>
      </c>
      <c r="P643" s="15">
        <f>IFERROR(INDEX(Venues!$D$2:$D$10,MATCH(M643,Venues!$A$2:$A$10,0)),0)</f>
        <v/>
      </c>
      <c r="Q643" s="42">
        <f>IFERROR(INDEX(Venues!$E$2:$E$10,MATCH(M643,Venues!$A$2:$A$10,0)),"")</f>
        <v/>
      </c>
      <c r="R643" s="15">
        <f>IF(P643&gt;0,"Yes","No")</f>
        <v/>
      </c>
      <c r="S643" s="13" t="inlineStr">
        <is>
          <t>COLA Shoreditch Park</t>
        </is>
      </c>
      <c r="T643" s="42">
        <f>IFERROR(INDEX(Venues!$E$2:$E$10,MATCH(S643,Venues!$A$2:$A$10,0)),"")</f>
        <v/>
      </c>
      <c r="U643" s="15">
        <f>IFERROR(INDEX(Venues!$F$2:$F$10,MATCH(S643,Venues!$A$2:$A$10,0)),"")</f>
        <v/>
      </c>
      <c r="V643" s="43">
        <f>IFERROR(INDEX(Venues!$H$2:$H$10,MATCH(S643,Venues!$A$2:$A$10,0)),"")</f>
        <v/>
      </c>
      <c r="W643" s="15">
        <f>IF('Pilot offer'!$C$24="Yes",'Pilot offer'!$C$3,S643)</f>
        <v/>
      </c>
      <c r="X643" s="42">
        <f>IF('Pilot offer'!$C$24="Yes",'Pilot offer'!$C$5+'Pilot offer'!$C$6,T643)</f>
        <v/>
      </c>
      <c r="Y643" s="15">
        <f>IF('Pilot offer'!$C$24="Yes",'Pilot offer'!$C$8,U643)</f>
        <v/>
      </c>
      <c r="Z643" s="43">
        <f>IF('Pilot offer'!$C$24="Yes",'Pilot offer'!$C$11,"")</f>
        <v/>
      </c>
      <c r="AA643" s="15">
        <f>IF(X643="","",W643&amp;" · "&amp;TEXT(X643,"ddd d mmm, hh:mm")&amp;" · "&amp;Y643&amp;IF(Z643&lt;&gt;""," · £"&amp;TEXT(Z643,"0.00")&amp;" per player"," · price TBC (cost £"&amp;TEXT(V643,"0.00")&amp;" pp)"))</f>
        <v/>
      </c>
      <c r="AD643" s="44" t="n"/>
    </row>
    <row r="644">
      <c r="A644" s="13" t="n">
        <v>642</v>
      </c>
      <c r="B644" s="13" t="inlineStr">
        <is>
          <t>3 · E1 Whitechapel</t>
        </is>
      </c>
      <c r="C644" s="13" t="inlineStr">
        <is>
          <t>Hospitality</t>
        </is>
      </c>
      <c r="D644" s="13" t="inlineStr">
        <is>
          <t>Local businesses</t>
        </is>
      </c>
      <c r="E644" s="13" t="inlineStr">
        <is>
          <t>The Bell</t>
        </is>
      </c>
      <c r="F644" s="13" t="inlineStr">
        <is>
          <t>amenity: pub</t>
        </is>
      </c>
      <c r="G644" s="13" t="inlineStr">
        <is>
          <t>info@thebellpub.co.uk</t>
        </is>
      </c>
      <c r="H644" s="13" t="inlineStr">
        <is>
          <t>openstreetmap_tag</t>
        </is>
      </c>
      <c r="I644" s="13" t="inlineStr">
        <is>
          <t>+44 20 7247 3459</t>
        </is>
      </c>
      <c r="J644" s="14" t="inlineStr">
        <is>
          <t>https://www.thebellpub.co.uk/</t>
        </is>
      </c>
      <c r="K644" s="13" t="inlineStr">
        <is>
          <t>Middlesex Street 50, London</t>
        </is>
      </c>
      <c r="L644" s="13" t="inlineStr">
        <is>
          <t>E1 7EX</t>
        </is>
      </c>
      <c r="M644" s="13" t="inlineStr">
        <is>
          <t>Whitechapel</t>
        </is>
      </c>
      <c r="N644" s="13" t="n">
        <v>18</v>
      </c>
      <c r="O644" s="15">
        <f>IFERROR(INDEX(Venues!$C$2:$C$10,MATCH(M644,Venues!$A$2:$A$10,0)),"Not checked")</f>
        <v/>
      </c>
      <c r="P644" s="15">
        <f>IFERROR(INDEX(Venues!$D$2:$D$10,MATCH(M644,Venues!$A$2:$A$10,0)),0)</f>
        <v/>
      </c>
      <c r="Q644" s="42">
        <f>IFERROR(INDEX(Venues!$E$2:$E$10,MATCH(M644,Venues!$A$2:$A$10,0)),"")</f>
        <v/>
      </c>
      <c r="R644" s="15">
        <f>IF(P644&gt;0,"Yes","No")</f>
        <v/>
      </c>
      <c r="S644" s="13" t="inlineStr">
        <is>
          <t>COLA Shoreditch Park</t>
        </is>
      </c>
      <c r="T644" s="42">
        <f>IFERROR(INDEX(Venues!$E$2:$E$10,MATCH(S644,Venues!$A$2:$A$10,0)),"")</f>
        <v/>
      </c>
      <c r="U644" s="15">
        <f>IFERROR(INDEX(Venues!$F$2:$F$10,MATCH(S644,Venues!$A$2:$A$10,0)),"")</f>
        <v/>
      </c>
      <c r="V644" s="43">
        <f>IFERROR(INDEX(Venues!$H$2:$H$10,MATCH(S644,Venues!$A$2:$A$10,0)),"")</f>
        <v/>
      </c>
      <c r="W644" s="15">
        <f>IF('Pilot offer'!$C$24="Yes",'Pilot offer'!$C$3,S644)</f>
        <v/>
      </c>
      <c r="X644" s="42">
        <f>IF('Pilot offer'!$C$24="Yes",'Pilot offer'!$C$5+'Pilot offer'!$C$6,T644)</f>
        <v/>
      </c>
      <c r="Y644" s="15">
        <f>IF('Pilot offer'!$C$24="Yes",'Pilot offer'!$C$8,U644)</f>
        <v/>
      </c>
      <c r="Z644" s="43">
        <f>IF('Pilot offer'!$C$24="Yes",'Pilot offer'!$C$11,"")</f>
        <v/>
      </c>
      <c r="AA644" s="15">
        <f>IF(X644="","",W644&amp;" · "&amp;TEXT(X644,"ddd d mmm, hh:mm")&amp;" · "&amp;Y644&amp;IF(Z644&lt;&gt;""," · £"&amp;TEXT(Z644,"0.00")&amp;" per player"," · price TBC (cost £"&amp;TEXT(V644,"0.00")&amp;" pp)"))</f>
        <v/>
      </c>
      <c r="AD644" s="44" t="n"/>
    </row>
    <row r="645">
      <c r="A645" s="13" t="n">
        <v>643</v>
      </c>
      <c r="B645" s="13" t="inlineStr">
        <is>
          <t>3 · E1 Whitechapel</t>
        </is>
      </c>
      <c r="C645" s="13" t="inlineStr">
        <is>
          <t>Hospitality</t>
        </is>
      </c>
      <c r="D645" s="13" t="inlineStr">
        <is>
          <t>Local businesses</t>
        </is>
      </c>
      <c r="E645" s="13" t="inlineStr">
        <is>
          <t>The Star by Liverpool Street</t>
        </is>
      </c>
      <c r="F645" s="13" t="inlineStr">
        <is>
          <t>amenity: pub</t>
        </is>
      </c>
      <c r="G645" s="13" t="inlineStr">
        <is>
          <t>info@starbyliverpoolstreet.co.uk</t>
        </is>
      </c>
      <c r="H645" s="13" t="inlineStr">
        <is>
          <t>general</t>
        </is>
      </c>
      <c r="I645" s="13" t="inlineStr">
        <is>
          <t>+44 20 8161 0890</t>
        </is>
      </c>
      <c r="J645" s="14" t="inlineStr">
        <is>
          <t>https://starbyliverpoolstreet.co.uk/</t>
        </is>
      </c>
      <c r="K645" s="13" t="inlineStr">
        <is>
          <t>Middlesex Street 94-98, London</t>
        </is>
      </c>
      <c r="L645" s="13" t="inlineStr">
        <is>
          <t>E1 7EZ</t>
        </is>
      </c>
      <c r="M645" s="13" t="inlineStr">
        <is>
          <t>Whitechapel</t>
        </is>
      </c>
      <c r="N645" s="13" t="n">
        <v>20</v>
      </c>
      <c r="O645" s="15">
        <f>IFERROR(INDEX(Venues!$C$2:$C$10,MATCH(M645,Venues!$A$2:$A$10,0)),"Not checked")</f>
        <v/>
      </c>
      <c r="P645" s="15">
        <f>IFERROR(INDEX(Venues!$D$2:$D$10,MATCH(M645,Venues!$A$2:$A$10,0)),0)</f>
        <v/>
      </c>
      <c r="Q645" s="42">
        <f>IFERROR(INDEX(Venues!$E$2:$E$10,MATCH(M645,Venues!$A$2:$A$10,0)),"")</f>
        <v/>
      </c>
      <c r="R645" s="15">
        <f>IF(P645&gt;0,"Yes","No")</f>
        <v/>
      </c>
      <c r="S645" s="13" t="inlineStr">
        <is>
          <t>COLA Shoreditch Park</t>
        </is>
      </c>
      <c r="T645" s="42">
        <f>IFERROR(INDEX(Venues!$E$2:$E$10,MATCH(S645,Venues!$A$2:$A$10,0)),"")</f>
        <v/>
      </c>
      <c r="U645" s="15">
        <f>IFERROR(INDEX(Venues!$F$2:$F$10,MATCH(S645,Venues!$A$2:$A$10,0)),"")</f>
        <v/>
      </c>
      <c r="V645" s="43">
        <f>IFERROR(INDEX(Venues!$H$2:$H$10,MATCH(S645,Venues!$A$2:$A$10,0)),"")</f>
        <v/>
      </c>
      <c r="W645" s="15">
        <f>IF('Pilot offer'!$C$24="Yes",'Pilot offer'!$C$3,S645)</f>
        <v/>
      </c>
      <c r="X645" s="42">
        <f>IF('Pilot offer'!$C$24="Yes",'Pilot offer'!$C$5+'Pilot offer'!$C$6,T645)</f>
        <v/>
      </c>
      <c r="Y645" s="15">
        <f>IF('Pilot offer'!$C$24="Yes",'Pilot offer'!$C$8,U645)</f>
        <v/>
      </c>
      <c r="Z645" s="43">
        <f>IF('Pilot offer'!$C$24="Yes",'Pilot offer'!$C$11,"")</f>
        <v/>
      </c>
      <c r="AA645" s="15">
        <f>IF(X645="","",W645&amp;" · "&amp;TEXT(X645,"ddd d mmm, hh:mm")&amp;" · "&amp;Y645&amp;IF(Z645&lt;&gt;""," · £"&amp;TEXT(Z645,"0.00")&amp;" per player"," · price TBC (cost £"&amp;TEXT(V645,"0.00")&amp;" pp)"))</f>
        <v/>
      </c>
      <c r="AD645" s="44" t="n"/>
    </row>
    <row r="646">
      <c r="A646" s="13" t="n">
        <v>644</v>
      </c>
      <c r="B646" s="13" t="inlineStr">
        <is>
          <t>3 · E1 Whitechapel</t>
        </is>
      </c>
      <c r="C646" s="13" t="inlineStr">
        <is>
          <t>Hospitality</t>
        </is>
      </c>
      <c r="D646" s="13" t="inlineStr">
        <is>
          <t>Local businesses</t>
        </is>
      </c>
      <c r="E646" s="13" t="inlineStr">
        <is>
          <t>Discount Suit Company</t>
        </is>
      </c>
      <c r="F646" s="13" t="inlineStr">
        <is>
          <t>amenity: bar</t>
        </is>
      </c>
      <c r="G646" s="13" t="inlineStr">
        <is>
          <t>contact@discountsuitcompany.co.uk</t>
        </is>
      </c>
      <c r="H646" s="13" t="inlineStr">
        <is>
          <t>general</t>
        </is>
      </c>
      <c r="I646" s="13" t="inlineStr">
        <is>
          <t>+44 20 7247 8755</t>
        </is>
      </c>
      <c r="J646" s="14" t="inlineStr">
        <is>
          <t>https://discountsuitcompany.co.uk/</t>
        </is>
      </c>
      <c r="K646" s="13" t="inlineStr">
        <is>
          <t>Bell Lane 1A, London</t>
        </is>
      </c>
      <c r="L646" s="13" t="inlineStr">
        <is>
          <t>E1 7LA</t>
        </is>
      </c>
      <c r="M646" s="13" t="inlineStr">
        <is>
          <t>Whitechapel</t>
        </is>
      </c>
      <c r="N646" s="13" t="n">
        <v>18</v>
      </c>
      <c r="O646" s="15">
        <f>IFERROR(INDEX(Venues!$C$2:$C$10,MATCH(M646,Venues!$A$2:$A$10,0)),"Not checked")</f>
        <v/>
      </c>
      <c r="P646" s="15">
        <f>IFERROR(INDEX(Venues!$D$2:$D$10,MATCH(M646,Venues!$A$2:$A$10,0)),0)</f>
        <v/>
      </c>
      <c r="Q646" s="42">
        <f>IFERROR(INDEX(Venues!$E$2:$E$10,MATCH(M646,Venues!$A$2:$A$10,0)),"")</f>
        <v/>
      </c>
      <c r="R646" s="15">
        <f>IF(P646&gt;0,"Yes","No")</f>
        <v/>
      </c>
      <c r="S646" s="13" t="inlineStr">
        <is>
          <t>COLA Shoreditch Park</t>
        </is>
      </c>
      <c r="T646" s="42">
        <f>IFERROR(INDEX(Venues!$E$2:$E$10,MATCH(S646,Venues!$A$2:$A$10,0)),"")</f>
        <v/>
      </c>
      <c r="U646" s="15">
        <f>IFERROR(INDEX(Venues!$F$2:$F$10,MATCH(S646,Venues!$A$2:$A$10,0)),"")</f>
        <v/>
      </c>
      <c r="V646" s="43">
        <f>IFERROR(INDEX(Venues!$H$2:$H$10,MATCH(S646,Venues!$A$2:$A$10,0)),"")</f>
        <v/>
      </c>
      <c r="W646" s="15">
        <f>IF('Pilot offer'!$C$24="Yes",'Pilot offer'!$C$3,S646)</f>
        <v/>
      </c>
      <c r="X646" s="42">
        <f>IF('Pilot offer'!$C$24="Yes",'Pilot offer'!$C$5+'Pilot offer'!$C$6,T646)</f>
        <v/>
      </c>
      <c r="Y646" s="15">
        <f>IF('Pilot offer'!$C$24="Yes",'Pilot offer'!$C$8,U646)</f>
        <v/>
      </c>
      <c r="Z646" s="43">
        <f>IF('Pilot offer'!$C$24="Yes",'Pilot offer'!$C$11,"")</f>
        <v/>
      </c>
      <c r="AA646" s="15">
        <f>IF(X646="","",W646&amp;" · "&amp;TEXT(X646,"ddd d mmm, hh:mm")&amp;" · "&amp;Y646&amp;IF(Z646&lt;&gt;""," · £"&amp;TEXT(Z646,"0.00")&amp;" per player"," · price TBC (cost £"&amp;TEXT(V646,"0.00")&amp;" pp)"))</f>
        <v/>
      </c>
      <c r="AD646" s="44" t="n"/>
    </row>
    <row r="647">
      <c r="A647" s="13" t="n">
        <v>645</v>
      </c>
      <c r="B647" s="13" t="inlineStr">
        <is>
          <t>3 · E1 Whitechapel</t>
        </is>
      </c>
      <c r="C647" s="13" t="inlineStr">
        <is>
          <t>Hospitality</t>
        </is>
      </c>
      <c r="D647" s="13" t="inlineStr">
        <is>
          <t>Local businesses</t>
        </is>
      </c>
      <c r="E647" s="13" t="inlineStr">
        <is>
          <t>Duke of Wellington</t>
        </is>
      </c>
      <c r="F647" s="13" t="inlineStr">
        <is>
          <t>amenity: pub</t>
        </is>
      </c>
      <c r="G647" s="13" t="inlineStr">
        <is>
          <t>hello@duke.london</t>
        </is>
      </c>
      <c r="H647" s="13" t="inlineStr">
        <is>
          <t>general</t>
        </is>
      </c>
      <c r="I647" s="13" t="n"/>
      <c r="J647" s="14" t="inlineStr">
        <is>
          <t>https://www.duke.london/</t>
        </is>
      </c>
      <c r="K647" s="13" t="inlineStr">
        <is>
          <t>Toynbee Street 12-14, London</t>
        </is>
      </c>
      <c r="L647" s="13" t="inlineStr">
        <is>
          <t>E1 7NE</t>
        </is>
      </c>
      <c r="M647" s="13" t="inlineStr">
        <is>
          <t>Whitechapel</t>
        </is>
      </c>
      <c r="N647" s="13" t="n">
        <v>18</v>
      </c>
      <c r="O647" s="15">
        <f>IFERROR(INDEX(Venues!$C$2:$C$10,MATCH(M647,Venues!$A$2:$A$10,0)),"Not checked")</f>
        <v/>
      </c>
      <c r="P647" s="15">
        <f>IFERROR(INDEX(Venues!$D$2:$D$10,MATCH(M647,Venues!$A$2:$A$10,0)),0)</f>
        <v/>
      </c>
      <c r="Q647" s="42">
        <f>IFERROR(INDEX(Venues!$E$2:$E$10,MATCH(M647,Venues!$A$2:$A$10,0)),"")</f>
        <v/>
      </c>
      <c r="R647" s="15">
        <f>IF(P647&gt;0,"Yes","No")</f>
        <v/>
      </c>
      <c r="S647" s="13" t="inlineStr">
        <is>
          <t>COLA Shoreditch Park</t>
        </is>
      </c>
      <c r="T647" s="42">
        <f>IFERROR(INDEX(Venues!$E$2:$E$10,MATCH(S647,Venues!$A$2:$A$10,0)),"")</f>
        <v/>
      </c>
      <c r="U647" s="15">
        <f>IFERROR(INDEX(Venues!$F$2:$F$10,MATCH(S647,Venues!$A$2:$A$10,0)),"")</f>
        <v/>
      </c>
      <c r="V647" s="43">
        <f>IFERROR(INDEX(Venues!$H$2:$H$10,MATCH(S647,Venues!$A$2:$A$10,0)),"")</f>
        <v/>
      </c>
      <c r="W647" s="15">
        <f>IF('Pilot offer'!$C$24="Yes",'Pilot offer'!$C$3,S647)</f>
        <v/>
      </c>
      <c r="X647" s="42">
        <f>IF('Pilot offer'!$C$24="Yes",'Pilot offer'!$C$5+'Pilot offer'!$C$6,T647)</f>
        <v/>
      </c>
      <c r="Y647" s="15">
        <f>IF('Pilot offer'!$C$24="Yes",'Pilot offer'!$C$8,U647)</f>
        <v/>
      </c>
      <c r="Z647" s="43">
        <f>IF('Pilot offer'!$C$24="Yes",'Pilot offer'!$C$11,"")</f>
        <v/>
      </c>
      <c r="AA647" s="15">
        <f>IF(X647="","",W647&amp;" · "&amp;TEXT(X647,"ddd d mmm, hh:mm")&amp;" · "&amp;Y647&amp;IF(Z647&lt;&gt;""," · £"&amp;TEXT(Z647,"0.00")&amp;" per player"," · price TBC (cost £"&amp;TEXT(V647,"0.00")&amp;" pp)"))</f>
        <v/>
      </c>
      <c r="AD647" s="44" t="n"/>
    </row>
    <row r="648">
      <c r="A648" s="13" t="n">
        <v>646</v>
      </c>
      <c r="B648" s="13" t="inlineStr">
        <is>
          <t>3 · E1 Whitechapel</t>
        </is>
      </c>
      <c r="C648" s="13" t="inlineStr">
        <is>
          <t>Hospitality</t>
        </is>
      </c>
      <c r="D648" s="13" t="inlineStr">
        <is>
          <t>Local businesses</t>
        </is>
      </c>
      <c r="E648" s="13" t="inlineStr">
        <is>
          <t>Potter &amp; Reid</t>
        </is>
      </c>
      <c r="F648" s="13" t="inlineStr">
        <is>
          <t>amenity: cafe</t>
        </is>
      </c>
      <c r="G648" s="13" t="inlineStr">
        <is>
          <t>hello@potterandreid.com</t>
        </is>
      </c>
      <c r="H648" s="13" t="inlineStr">
        <is>
          <t>general</t>
        </is>
      </c>
      <c r="I648" s="13" t="n"/>
      <c r="J648" s="14" t="inlineStr">
        <is>
          <t>https://www.potterandreid.com/</t>
        </is>
      </c>
      <c r="K648" s="13" t="inlineStr">
        <is>
          <t>Toynbee Street 20-22, London</t>
        </is>
      </c>
      <c r="L648" s="13" t="inlineStr">
        <is>
          <t>E1 7NE</t>
        </is>
      </c>
      <c r="M648" s="13" t="inlineStr">
        <is>
          <t>Whitechapel</t>
        </is>
      </c>
      <c r="N648" s="13" t="n">
        <v>18</v>
      </c>
      <c r="O648" s="15">
        <f>IFERROR(INDEX(Venues!$C$2:$C$10,MATCH(M648,Venues!$A$2:$A$10,0)),"Not checked")</f>
        <v/>
      </c>
      <c r="P648" s="15">
        <f>IFERROR(INDEX(Venues!$D$2:$D$10,MATCH(M648,Venues!$A$2:$A$10,0)),0)</f>
        <v/>
      </c>
      <c r="Q648" s="42">
        <f>IFERROR(INDEX(Venues!$E$2:$E$10,MATCH(M648,Venues!$A$2:$A$10,0)),"")</f>
        <v/>
      </c>
      <c r="R648" s="15">
        <f>IF(P648&gt;0,"Yes","No")</f>
        <v/>
      </c>
      <c r="S648" s="13" t="inlineStr">
        <is>
          <t>COLA Shoreditch Park</t>
        </is>
      </c>
      <c r="T648" s="42">
        <f>IFERROR(INDEX(Venues!$E$2:$E$10,MATCH(S648,Venues!$A$2:$A$10,0)),"")</f>
        <v/>
      </c>
      <c r="U648" s="15">
        <f>IFERROR(INDEX(Venues!$F$2:$F$10,MATCH(S648,Venues!$A$2:$A$10,0)),"")</f>
        <v/>
      </c>
      <c r="V648" s="43">
        <f>IFERROR(INDEX(Venues!$H$2:$H$10,MATCH(S648,Venues!$A$2:$A$10,0)),"")</f>
        <v/>
      </c>
      <c r="W648" s="15">
        <f>IF('Pilot offer'!$C$24="Yes",'Pilot offer'!$C$3,S648)</f>
        <v/>
      </c>
      <c r="X648" s="42">
        <f>IF('Pilot offer'!$C$24="Yes",'Pilot offer'!$C$5+'Pilot offer'!$C$6,T648)</f>
        <v/>
      </c>
      <c r="Y648" s="15">
        <f>IF('Pilot offer'!$C$24="Yes",'Pilot offer'!$C$8,U648)</f>
        <v/>
      </c>
      <c r="Z648" s="43">
        <f>IF('Pilot offer'!$C$24="Yes",'Pilot offer'!$C$11,"")</f>
        <v/>
      </c>
      <c r="AA648" s="15">
        <f>IF(X648="","",W648&amp;" · "&amp;TEXT(X648,"ddd d mmm, hh:mm")&amp;" · "&amp;Y648&amp;IF(Z648&lt;&gt;""," · £"&amp;TEXT(Z648,"0.00")&amp;" per player"," · price TBC (cost £"&amp;TEXT(V648,"0.00")&amp;" pp)"))</f>
        <v/>
      </c>
      <c r="AD648" s="44" t="n"/>
    </row>
    <row r="649">
      <c r="A649" s="13" t="n">
        <v>647</v>
      </c>
      <c r="B649" s="13" t="inlineStr">
        <is>
          <t>3 · E1 Whitechapel</t>
        </is>
      </c>
      <c r="C649" s="13" t="inlineStr">
        <is>
          <t>Hospitality</t>
        </is>
      </c>
      <c r="D649" s="13" t="inlineStr">
        <is>
          <t>Local businesses</t>
        </is>
      </c>
      <c r="E649" s="13" t="inlineStr">
        <is>
          <t>Gunpowder</t>
        </is>
      </c>
      <c r="F649" s="13" t="inlineStr">
        <is>
          <t>amenity: restaurant</t>
        </is>
      </c>
      <c r="G649" s="13" t="inlineStr">
        <is>
          <t>hello@gunpowderlondon.com</t>
        </is>
      </c>
      <c r="H649" s="13" t="inlineStr">
        <is>
          <t>openstreetmap_tag</t>
        </is>
      </c>
      <c r="I649" s="13" t="inlineStr">
        <is>
          <t>+44 20 7426 0542</t>
        </is>
      </c>
      <c r="J649" s="14" t="inlineStr">
        <is>
          <t>http://gunpowderlondon.com/</t>
        </is>
      </c>
      <c r="K649" s="13" t="inlineStr">
        <is>
          <t>White's Row 11, London</t>
        </is>
      </c>
      <c r="L649" s="13" t="inlineStr">
        <is>
          <t>E1 7NF</t>
        </is>
      </c>
      <c r="M649" s="13" t="inlineStr">
        <is>
          <t>Whitechapel</t>
        </is>
      </c>
      <c r="N649" s="13" t="n">
        <v>18</v>
      </c>
      <c r="O649" s="15">
        <f>IFERROR(INDEX(Venues!$C$2:$C$10,MATCH(M649,Venues!$A$2:$A$10,0)),"Not checked")</f>
        <v/>
      </c>
      <c r="P649" s="15">
        <f>IFERROR(INDEX(Venues!$D$2:$D$10,MATCH(M649,Venues!$A$2:$A$10,0)),0)</f>
        <v/>
      </c>
      <c r="Q649" s="42">
        <f>IFERROR(INDEX(Venues!$E$2:$E$10,MATCH(M649,Venues!$A$2:$A$10,0)),"")</f>
        <v/>
      </c>
      <c r="R649" s="15">
        <f>IF(P649&gt;0,"Yes","No")</f>
        <v/>
      </c>
      <c r="S649" s="13" t="inlineStr">
        <is>
          <t>COLA Shoreditch Park</t>
        </is>
      </c>
      <c r="T649" s="42">
        <f>IFERROR(INDEX(Venues!$E$2:$E$10,MATCH(S649,Venues!$A$2:$A$10,0)),"")</f>
        <v/>
      </c>
      <c r="U649" s="15">
        <f>IFERROR(INDEX(Venues!$F$2:$F$10,MATCH(S649,Venues!$A$2:$A$10,0)),"")</f>
        <v/>
      </c>
      <c r="V649" s="43">
        <f>IFERROR(INDEX(Venues!$H$2:$H$10,MATCH(S649,Venues!$A$2:$A$10,0)),"")</f>
        <v/>
      </c>
      <c r="W649" s="15">
        <f>IF('Pilot offer'!$C$24="Yes",'Pilot offer'!$C$3,S649)</f>
        <v/>
      </c>
      <c r="X649" s="42">
        <f>IF('Pilot offer'!$C$24="Yes",'Pilot offer'!$C$5+'Pilot offer'!$C$6,T649)</f>
        <v/>
      </c>
      <c r="Y649" s="15">
        <f>IF('Pilot offer'!$C$24="Yes",'Pilot offer'!$C$8,U649)</f>
        <v/>
      </c>
      <c r="Z649" s="43">
        <f>IF('Pilot offer'!$C$24="Yes",'Pilot offer'!$C$11,"")</f>
        <v/>
      </c>
      <c r="AA649" s="15">
        <f>IF(X649="","",W649&amp;" · "&amp;TEXT(X649,"ddd d mmm, hh:mm")&amp;" · "&amp;Y649&amp;IF(Z649&lt;&gt;""," · £"&amp;TEXT(Z649,"0.00")&amp;" per player"," · price TBC (cost £"&amp;TEXT(V649,"0.00")&amp;" pp)"))</f>
        <v/>
      </c>
      <c r="AD649" s="44" t="n"/>
    </row>
    <row r="650">
      <c r="A650" s="13" t="n">
        <v>648</v>
      </c>
      <c r="B650" s="13" t="inlineStr">
        <is>
          <t>3 · E1 Whitechapel</t>
        </is>
      </c>
      <c r="C650" s="13" t="inlineStr">
        <is>
          <t>Office &amp; professional</t>
        </is>
      </c>
      <c r="D650" s="13" t="inlineStr">
        <is>
          <t>Corporate</t>
        </is>
      </c>
      <c r="E650" s="13" t="inlineStr">
        <is>
          <t>WeCovr</t>
        </is>
      </c>
      <c r="F650" s="13" t="inlineStr">
        <is>
          <t>finance</t>
        </is>
      </c>
      <c r="G650" s="13" t="inlineStr">
        <is>
          <t>hello@wecovr.com</t>
        </is>
      </c>
      <c r="H650" s="13" t="inlineStr">
        <is>
          <t>general</t>
        </is>
      </c>
      <c r="I650" s="13" t="inlineStr">
        <is>
          <t>+44 20 7187 3077</t>
        </is>
      </c>
      <c r="J650" s="14" t="inlineStr">
        <is>
          <t>https://wecovr.com/</t>
        </is>
      </c>
      <c r="K650" s="13" t="inlineStr">
        <is>
          <t>45 Old Castle St, London E1 7NY, UK</t>
        </is>
      </c>
      <c r="L650" s="13" t="inlineStr">
        <is>
          <t>E1 7NY</t>
        </is>
      </c>
      <c r="M650" s="13" t="inlineStr">
        <is>
          <t>Whitechapel</t>
        </is>
      </c>
      <c r="N650" s="13" t="n">
        <v>17</v>
      </c>
      <c r="O650" s="15">
        <f>IFERROR(INDEX(Venues!$C$2:$C$10,MATCH(M650,Venues!$A$2:$A$10,0)),"Not checked")</f>
        <v/>
      </c>
      <c r="P650" s="15">
        <f>IFERROR(INDEX(Venues!$D$2:$D$10,MATCH(M650,Venues!$A$2:$A$10,0)),0)</f>
        <v/>
      </c>
      <c r="Q650" s="42">
        <f>IFERROR(INDEX(Venues!$E$2:$E$10,MATCH(M650,Venues!$A$2:$A$10,0)),"")</f>
        <v/>
      </c>
      <c r="R650" s="15">
        <f>IF(P650&gt;0,"Yes","No")</f>
        <v/>
      </c>
      <c r="S650" s="13" t="inlineStr">
        <is>
          <t>COLA Shoreditch Park</t>
        </is>
      </c>
      <c r="T650" s="42">
        <f>IFERROR(INDEX(Venues!$E$2:$E$10,MATCH(S650,Venues!$A$2:$A$10,0)),"")</f>
        <v/>
      </c>
      <c r="U650" s="15">
        <f>IFERROR(INDEX(Venues!$F$2:$F$10,MATCH(S650,Venues!$A$2:$A$10,0)),"")</f>
        <v/>
      </c>
      <c r="V650" s="43">
        <f>IFERROR(INDEX(Venues!$H$2:$H$10,MATCH(S650,Venues!$A$2:$A$10,0)),"")</f>
        <v/>
      </c>
      <c r="W650" s="15">
        <f>IF('Pilot offer'!$C$24="Yes",'Pilot offer'!$C$3,S650)</f>
        <v/>
      </c>
      <c r="X650" s="42">
        <f>IF('Pilot offer'!$C$24="Yes",'Pilot offer'!$C$5+'Pilot offer'!$C$6,T650)</f>
        <v/>
      </c>
      <c r="Y650" s="15">
        <f>IF('Pilot offer'!$C$24="Yes",'Pilot offer'!$C$8,U650)</f>
        <v/>
      </c>
      <c r="Z650" s="43">
        <f>IF('Pilot offer'!$C$24="Yes",'Pilot offer'!$C$11,"")</f>
        <v/>
      </c>
      <c r="AA650" s="15">
        <f>IF(X650="","",W650&amp;" · "&amp;TEXT(X650,"ddd d mmm, hh:mm")&amp;" · "&amp;Y650&amp;IF(Z650&lt;&gt;""," · £"&amp;TEXT(Z650,"0.00")&amp;" per player"," · price TBC (cost £"&amp;TEXT(V650,"0.00")&amp;" pp)"))</f>
        <v/>
      </c>
      <c r="AD650" s="44" t="n"/>
    </row>
    <row r="651">
      <c r="A651" s="13" t="n">
        <v>649</v>
      </c>
      <c r="B651" s="13" t="inlineStr">
        <is>
          <t>3 · E1 Whitechapel</t>
        </is>
      </c>
      <c r="C651" s="13" t="inlineStr">
        <is>
          <t>Hospitality</t>
        </is>
      </c>
      <c r="D651" s="13" t="inlineStr">
        <is>
          <t>Local businesses</t>
        </is>
      </c>
      <c r="E651" s="13" t="inlineStr">
        <is>
          <t>Department of Coffee and Social Affairs</t>
        </is>
      </c>
      <c r="F651" s="13" t="inlineStr">
        <is>
          <t>amenity: cafe</t>
        </is>
      </c>
      <c r="G651" s="13" t="inlineStr">
        <is>
          <t>shop@departmentofcoffee.com</t>
        </is>
      </c>
      <c r="H651" s="13" t="inlineStr">
        <is>
          <t>person_or_other</t>
        </is>
      </c>
      <c r="I651" s="13" t="n"/>
      <c r="J651" s="14" t="inlineStr">
        <is>
          <t>https://departmentofcoffee.com</t>
        </is>
      </c>
      <c r="K651" s="13" t="inlineStr">
        <is>
          <t>Whitechapel High Street 133, London</t>
        </is>
      </c>
      <c r="L651" s="13" t="inlineStr">
        <is>
          <t>E1 7QA</t>
        </is>
      </c>
      <c r="M651" s="13" t="inlineStr">
        <is>
          <t>Whitechapel</t>
        </is>
      </c>
      <c r="N651" s="13" t="n">
        <v>15</v>
      </c>
      <c r="O651" s="15">
        <f>IFERROR(INDEX(Venues!$C$2:$C$10,MATCH(M651,Venues!$A$2:$A$10,0)),"Not checked")</f>
        <v/>
      </c>
      <c r="P651" s="15">
        <f>IFERROR(INDEX(Venues!$D$2:$D$10,MATCH(M651,Venues!$A$2:$A$10,0)),0)</f>
        <v/>
      </c>
      <c r="Q651" s="42">
        <f>IFERROR(INDEX(Venues!$E$2:$E$10,MATCH(M651,Venues!$A$2:$A$10,0)),"")</f>
        <v/>
      </c>
      <c r="R651" s="15">
        <f>IF(P651&gt;0,"Yes","No")</f>
        <v/>
      </c>
      <c r="S651" s="13" t="inlineStr">
        <is>
          <t>COLA Shoreditch Park</t>
        </is>
      </c>
      <c r="T651" s="42">
        <f>IFERROR(INDEX(Venues!$E$2:$E$10,MATCH(S651,Venues!$A$2:$A$10,0)),"")</f>
        <v/>
      </c>
      <c r="U651" s="15">
        <f>IFERROR(INDEX(Venues!$F$2:$F$10,MATCH(S651,Venues!$A$2:$A$10,0)),"")</f>
        <v/>
      </c>
      <c r="V651" s="43">
        <f>IFERROR(INDEX(Venues!$H$2:$H$10,MATCH(S651,Venues!$A$2:$A$10,0)),"")</f>
        <v/>
      </c>
      <c r="W651" s="15">
        <f>IF('Pilot offer'!$C$24="Yes",'Pilot offer'!$C$3,S651)</f>
        <v/>
      </c>
      <c r="X651" s="42">
        <f>IF('Pilot offer'!$C$24="Yes",'Pilot offer'!$C$5+'Pilot offer'!$C$6,T651)</f>
        <v/>
      </c>
      <c r="Y651" s="15">
        <f>IF('Pilot offer'!$C$24="Yes",'Pilot offer'!$C$8,U651)</f>
        <v/>
      </c>
      <c r="Z651" s="43">
        <f>IF('Pilot offer'!$C$24="Yes",'Pilot offer'!$C$11,"")</f>
        <v/>
      </c>
      <c r="AA651" s="15">
        <f>IF(X651="","",W651&amp;" · "&amp;TEXT(X651,"ddd d mmm, hh:mm")&amp;" · "&amp;Y651&amp;IF(Z651&lt;&gt;""," · £"&amp;TEXT(Z651,"0.00")&amp;" per player"," · price TBC (cost £"&amp;TEXT(V651,"0.00")&amp;" pp)"))</f>
        <v/>
      </c>
      <c r="AD651" s="44" t="n"/>
    </row>
    <row r="652">
      <c r="A652" s="13" t="n">
        <v>650</v>
      </c>
      <c r="B652" s="13" t="inlineStr">
        <is>
          <t>3 · E1 Whitechapel</t>
        </is>
      </c>
      <c r="C652" s="13" t="inlineStr">
        <is>
          <t>Office &amp; professional</t>
        </is>
      </c>
      <c r="D652" s="13" t="inlineStr">
        <is>
          <t>Corporate</t>
        </is>
      </c>
      <c r="E652" s="13" t="inlineStr">
        <is>
          <t>Rare: Consulting</t>
        </is>
      </c>
      <c r="F652" s="13" t="inlineStr">
        <is>
          <t>service</t>
        </is>
      </c>
      <c r="G652" s="13" t="inlineStr">
        <is>
          <t>hello@rare.consulting</t>
        </is>
      </c>
      <c r="H652" s="13" t="inlineStr">
        <is>
          <t>general</t>
        </is>
      </c>
      <c r="I652" s="13" t="inlineStr">
        <is>
          <t>+44 20 7859 4627</t>
        </is>
      </c>
      <c r="J652" s="14" t="inlineStr">
        <is>
          <t>http://www.rare.consulting/</t>
        </is>
      </c>
      <c r="K652" s="13" t="inlineStr">
        <is>
          <t>TOG, 133 Whitechapel High St, London E1 7QA, UK</t>
        </is>
      </c>
      <c r="L652" s="13" t="inlineStr">
        <is>
          <t>E1 7QA</t>
        </is>
      </c>
      <c r="M652" s="13" t="inlineStr">
        <is>
          <t>Whitechapel</t>
        </is>
      </c>
      <c r="N652" s="13" t="n">
        <v>15</v>
      </c>
      <c r="O652" s="15">
        <f>IFERROR(INDEX(Venues!$C$2:$C$10,MATCH(M652,Venues!$A$2:$A$10,0)),"Not checked")</f>
        <v/>
      </c>
      <c r="P652" s="15">
        <f>IFERROR(INDEX(Venues!$D$2:$D$10,MATCH(M652,Venues!$A$2:$A$10,0)),0)</f>
        <v/>
      </c>
      <c r="Q652" s="42">
        <f>IFERROR(INDEX(Venues!$E$2:$E$10,MATCH(M652,Venues!$A$2:$A$10,0)),"")</f>
        <v/>
      </c>
      <c r="R652" s="15">
        <f>IF(P652&gt;0,"Yes","No")</f>
        <v/>
      </c>
      <c r="S652" s="13" t="inlineStr">
        <is>
          <t>COLA Shoreditch Park</t>
        </is>
      </c>
      <c r="T652" s="42">
        <f>IFERROR(INDEX(Venues!$E$2:$E$10,MATCH(S652,Venues!$A$2:$A$10,0)),"")</f>
        <v/>
      </c>
      <c r="U652" s="15">
        <f>IFERROR(INDEX(Venues!$F$2:$F$10,MATCH(S652,Venues!$A$2:$A$10,0)),"")</f>
        <v/>
      </c>
      <c r="V652" s="43">
        <f>IFERROR(INDEX(Venues!$H$2:$H$10,MATCH(S652,Venues!$A$2:$A$10,0)),"")</f>
        <v/>
      </c>
      <c r="W652" s="15">
        <f>IF('Pilot offer'!$C$24="Yes",'Pilot offer'!$C$3,S652)</f>
        <v/>
      </c>
      <c r="X652" s="42">
        <f>IF('Pilot offer'!$C$24="Yes",'Pilot offer'!$C$5+'Pilot offer'!$C$6,T652)</f>
        <v/>
      </c>
      <c r="Y652" s="15">
        <f>IF('Pilot offer'!$C$24="Yes",'Pilot offer'!$C$8,U652)</f>
        <v/>
      </c>
      <c r="Z652" s="43">
        <f>IF('Pilot offer'!$C$24="Yes",'Pilot offer'!$C$11,"")</f>
        <v/>
      </c>
      <c r="AA652" s="15">
        <f>IF(X652="","",W652&amp;" · "&amp;TEXT(X652,"ddd d mmm, hh:mm")&amp;" · "&amp;Y652&amp;IF(Z652&lt;&gt;""," · £"&amp;TEXT(Z652,"0.00")&amp;" per player"," · price TBC (cost £"&amp;TEXT(V652,"0.00")&amp;" pp)"))</f>
        <v/>
      </c>
      <c r="AD652" s="44" t="n"/>
    </row>
    <row r="653">
      <c r="A653" s="13" t="n">
        <v>651</v>
      </c>
      <c r="B653" s="13" t="inlineStr">
        <is>
          <t>3 · E1 Whitechapel</t>
        </is>
      </c>
      <c r="C653" s="13" t="inlineStr">
        <is>
          <t>Hospitality</t>
        </is>
      </c>
      <c r="D653" s="13" t="inlineStr">
        <is>
          <t>Local businesses</t>
        </is>
      </c>
      <c r="E653" s="13" t="inlineStr">
        <is>
          <t>SUSHINOEN</t>
        </is>
      </c>
      <c r="F653" s="13" t="inlineStr">
        <is>
          <t>amenity: restaurant</t>
        </is>
      </c>
      <c r="G653" s="13" t="inlineStr">
        <is>
          <t>info@sushinoen.com</t>
        </is>
      </c>
      <c r="H653" s="13" t="inlineStr">
        <is>
          <t>openstreetmap_tag</t>
        </is>
      </c>
      <c r="I653" s="13" t="inlineStr">
        <is>
          <t>+44 20 3645 6734</t>
        </is>
      </c>
      <c r="J653" s="14" t="inlineStr">
        <is>
          <t>https://www.sushinoen.com/</t>
        </is>
      </c>
      <c r="K653" s="13" t="inlineStr">
        <is>
          <t>White Church Lane 2, London</t>
        </is>
      </c>
      <c r="L653" s="13" t="inlineStr">
        <is>
          <t>E1 7QR</t>
        </is>
      </c>
      <c r="M653" s="13" t="inlineStr">
        <is>
          <t>Whitechapel</t>
        </is>
      </c>
      <c r="N653" s="13" t="n">
        <v>11</v>
      </c>
      <c r="O653" s="15">
        <f>IFERROR(INDEX(Venues!$C$2:$C$10,MATCH(M653,Venues!$A$2:$A$10,0)),"Not checked")</f>
        <v/>
      </c>
      <c r="P653" s="15">
        <f>IFERROR(INDEX(Venues!$D$2:$D$10,MATCH(M653,Venues!$A$2:$A$10,0)),0)</f>
        <v/>
      </c>
      <c r="Q653" s="42">
        <f>IFERROR(INDEX(Venues!$E$2:$E$10,MATCH(M653,Venues!$A$2:$A$10,0)),"")</f>
        <v/>
      </c>
      <c r="R653" s="15">
        <f>IF(P653&gt;0,"Yes","No")</f>
        <v/>
      </c>
      <c r="S653" s="13" t="inlineStr">
        <is>
          <t>COLA Shoreditch Park</t>
        </is>
      </c>
      <c r="T653" s="42">
        <f>IFERROR(INDEX(Venues!$E$2:$E$10,MATCH(S653,Venues!$A$2:$A$10,0)),"")</f>
        <v/>
      </c>
      <c r="U653" s="15">
        <f>IFERROR(INDEX(Venues!$F$2:$F$10,MATCH(S653,Venues!$A$2:$A$10,0)),"")</f>
        <v/>
      </c>
      <c r="V653" s="43">
        <f>IFERROR(INDEX(Venues!$H$2:$H$10,MATCH(S653,Venues!$A$2:$A$10,0)),"")</f>
        <v/>
      </c>
      <c r="W653" s="15">
        <f>IF('Pilot offer'!$C$24="Yes",'Pilot offer'!$C$3,S653)</f>
        <v/>
      </c>
      <c r="X653" s="42">
        <f>IF('Pilot offer'!$C$24="Yes",'Pilot offer'!$C$5+'Pilot offer'!$C$6,T653)</f>
        <v/>
      </c>
      <c r="Y653" s="15">
        <f>IF('Pilot offer'!$C$24="Yes",'Pilot offer'!$C$8,U653)</f>
        <v/>
      </c>
      <c r="Z653" s="43">
        <f>IF('Pilot offer'!$C$24="Yes",'Pilot offer'!$C$11,"")</f>
        <v/>
      </c>
      <c r="AA653" s="15">
        <f>IF(X653="","",W653&amp;" · "&amp;TEXT(X653,"ddd d mmm, hh:mm")&amp;" · "&amp;Y653&amp;IF(Z653&lt;&gt;""," · £"&amp;TEXT(Z653,"0.00")&amp;" per player"," · price TBC (cost £"&amp;TEXT(V653,"0.00")&amp;" pp)"))</f>
        <v/>
      </c>
      <c r="AD653" s="44" t="n"/>
    </row>
    <row r="654">
      <c r="A654" s="13" t="n">
        <v>652</v>
      </c>
      <c r="B654" s="13" t="inlineStr">
        <is>
          <t>3 · E1 Whitechapel</t>
        </is>
      </c>
      <c r="C654" s="13" t="inlineStr">
        <is>
          <t>Hospitality</t>
        </is>
      </c>
      <c r="D654" s="13" t="inlineStr">
        <is>
          <t>Local businesses</t>
        </is>
      </c>
      <c r="E654" s="13" t="inlineStr">
        <is>
          <t>The Gate</t>
        </is>
      </c>
      <c r="F654" s="13" t="inlineStr">
        <is>
          <t>tourism: apartment</t>
        </is>
      </c>
      <c r="G654" s="13" t="inlineStr">
        <is>
          <t>hello@thegate-london.com</t>
        </is>
      </c>
      <c r="H654" s="13" t="inlineStr">
        <is>
          <t>openstreetmap_tag</t>
        </is>
      </c>
      <c r="I654" s="13" t="inlineStr">
        <is>
          <t>+44 20 8619 1178</t>
        </is>
      </c>
      <c r="J654" s="14" t="inlineStr">
        <is>
          <t>https://www.thegate-london.com/</t>
        </is>
      </c>
      <c r="K654" s="13" t="inlineStr">
        <is>
          <t>White Church Lane 41, London</t>
        </is>
      </c>
      <c r="L654" s="13" t="inlineStr">
        <is>
          <t>E1 7QR</t>
        </is>
      </c>
      <c r="M654" s="13" t="inlineStr">
        <is>
          <t>Whitechapel</t>
        </is>
      </c>
      <c r="N654" s="13" t="n">
        <v>11</v>
      </c>
      <c r="O654" s="15">
        <f>IFERROR(INDEX(Venues!$C$2:$C$10,MATCH(M654,Venues!$A$2:$A$10,0)),"Not checked")</f>
        <v/>
      </c>
      <c r="P654" s="15">
        <f>IFERROR(INDEX(Venues!$D$2:$D$10,MATCH(M654,Venues!$A$2:$A$10,0)),0)</f>
        <v/>
      </c>
      <c r="Q654" s="42">
        <f>IFERROR(INDEX(Venues!$E$2:$E$10,MATCH(M654,Venues!$A$2:$A$10,0)),"")</f>
        <v/>
      </c>
      <c r="R654" s="15">
        <f>IF(P654&gt;0,"Yes","No")</f>
        <v/>
      </c>
      <c r="S654" s="13" t="inlineStr">
        <is>
          <t>COLA Shoreditch Park</t>
        </is>
      </c>
      <c r="T654" s="42">
        <f>IFERROR(INDEX(Venues!$E$2:$E$10,MATCH(S654,Venues!$A$2:$A$10,0)),"")</f>
        <v/>
      </c>
      <c r="U654" s="15">
        <f>IFERROR(INDEX(Venues!$F$2:$F$10,MATCH(S654,Venues!$A$2:$A$10,0)),"")</f>
        <v/>
      </c>
      <c r="V654" s="43">
        <f>IFERROR(INDEX(Venues!$H$2:$H$10,MATCH(S654,Venues!$A$2:$A$10,0)),"")</f>
        <v/>
      </c>
      <c r="W654" s="15">
        <f>IF('Pilot offer'!$C$24="Yes",'Pilot offer'!$C$3,S654)</f>
        <v/>
      </c>
      <c r="X654" s="42">
        <f>IF('Pilot offer'!$C$24="Yes",'Pilot offer'!$C$5+'Pilot offer'!$C$6,T654)</f>
        <v/>
      </c>
      <c r="Y654" s="15">
        <f>IF('Pilot offer'!$C$24="Yes",'Pilot offer'!$C$8,U654)</f>
        <v/>
      </c>
      <c r="Z654" s="43">
        <f>IF('Pilot offer'!$C$24="Yes",'Pilot offer'!$C$11,"")</f>
        <v/>
      </c>
      <c r="AA654" s="15">
        <f>IF(X654="","",W654&amp;" · "&amp;TEXT(X654,"ddd d mmm, hh:mm")&amp;" · "&amp;Y654&amp;IF(Z654&lt;&gt;""," · £"&amp;TEXT(Z654,"0.00")&amp;" per player"," · price TBC (cost £"&amp;TEXT(V654,"0.00")&amp;" pp)"))</f>
        <v/>
      </c>
      <c r="AD654" s="44" t="n"/>
    </row>
    <row r="655">
      <c r="A655" s="13" t="n">
        <v>653</v>
      </c>
      <c r="B655" s="13" t="inlineStr">
        <is>
          <t>3 · E1 Whitechapel</t>
        </is>
      </c>
      <c r="C655" s="13" t="inlineStr">
        <is>
          <t>Hospitality</t>
        </is>
      </c>
      <c r="D655" s="13" t="inlineStr">
        <is>
          <t>Local businesses</t>
        </is>
      </c>
      <c r="E655" s="13" t="inlineStr">
        <is>
          <t>Dulce</t>
        </is>
      </c>
      <c r="F655" s="13" t="inlineStr">
        <is>
          <t>amenity: cafe</t>
        </is>
      </c>
      <c r="G655" s="13" t="inlineStr">
        <is>
          <t>info@dulcecoffeeandkitchen.com</t>
        </is>
      </c>
      <c r="H655" s="13" t="inlineStr">
        <is>
          <t>openstreetmap_tag</t>
        </is>
      </c>
      <c r="I655" s="13" t="inlineStr">
        <is>
          <t>+44 20 7375 1636</t>
        </is>
      </c>
      <c r="J655" s="14" t="inlineStr">
        <is>
          <t>https://www.dulcecoffeeandkitchen.com/</t>
        </is>
      </c>
      <c r="K655" s="13" t="inlineStr">
        <is>
          <t>Whitechapel High Street 86, London</t>
        </is>
      </c>
      <c r="L655" s="13" t="inlineStr">
        <is>
          <t>E1 7QX</t>
        </is>
      </c>
      <c r="M655" s="13" t="inlineStr">
        <is>
          <t>Whitechapel</t>
        </is>
      </c>
      <c r="N655" s="13" t="n">
        <v>13</v>
      </c>
      <c r="O655" s="15">
        <f>IFERROR(INDEX(Venues!$C$2:$C$10,MATCH(M655,Venues!$A$2:$A$10,0)),"Not checked")</f>
        <v/>
      </c>
      <c r="P655" s="15">
        <f>IFERROR(INDEX(Venues!$D$2:$D$10,MATCH(M655,Venues!$A$2:$A$10,0)),0)</f>
        <v/>
      </c>
      <c r="Q655" s="42">
        <f>IFERROR(INDEX(Venues!$E$2:$E$10,MATCH(M655,Venues!$A$2:$A$10,0)),"")</f>
        <v/>
      </c>
      <c r="R655" s="15">
        <f>IF(P655&gt;0,"Yes","No")</f>
        <v/>
      </c>
      <c r="S655" s="13" t="inlineStr">
        <is>
          <t>COLA Shoreditch Park</t>
        </is>
      </c>
      <c r="T655" s="42">
        <f>IFERROR(INDEX(Venues!$E$2:$E$10,MATCH(S655,Venues!$A$2:$A$10,0)),"")</f>
        <v/>
      </c>
      <c r="U655" s="15">
        <f>IFERROR(INDEX(Venues!$F$2:$F$10,MATCH(S655,Venues!$A$2:$A$10,0)),"")</f>
        <v/>
      </c>
      <c r="V655" s="43">
        <f>IFERROR(INDEX(Venues!$H$2:$H$10,MATCH(S655,Venues!$A$2:$A$10,0)),"")</f>
        <v/>
      </c>
      <c r="W655" s="15">
        <f>IF('Pilot offer'!$C$24="Yes",'Pilot offer'!$C$3,S655)</f>
        <v/>
      </c>
      <c r="X655" s="42">
        <f>IF('Pilot offer'!$C$24="Yes",'Pilot offer'!$C$5+'Pilot offer'!$C$6,T655)</f>
        <v/>
      </c>
      <c r="Y655" s="15">
        <f>IF('Pilot offer'!$C$24="Yes",'Pilot offer'!$C$8,U655)</f>
        <v/>
      </c>
      <c r="Z655" s="43">
        <f>IF('Pilot offer'!$C$24="Yes",'Pilot offer'!$C$11,"")</f>
        <v/>
      </c>
      <c r="AA655" s="15">
        <f>IF(X655="","",W655&amp;" · "&amp;TEXT(X655,"ddd d mmm, hh:mm")&amp;" · "&amp;Y655&amp;IF(Z655&lt;&gt;""," · £"&amp;TEXT(Z655,"0.00")&amp;" per player"," · price TBC (cost £"&amp;TEXT(V655,"0.00")&amp;" pp)"))</f>
        <v/>
      </c>
      <c r="AD655" s="44" t="n"/>
    </row>
    <row r="656">
      <c r="A656" s="13" t="n">
        <v>654</v>
      </c>
      <c r="B656" s="13" t="inlineStr">
        <is>
          <t>3 · E1 Whitechapel</t>
        </is>
      </c>
      <c r="C656" s="13" t="inlineStr">
        <is>
          <t>Retail</t>
        </is>
      </c>
      <c r="D656" s="13" t="inlineStr">
        <is>
          <t>Local businesses</t>
        </is>
      </c>
      <c r="E656" s="13" t="inlineStr">
        <is>
          <t>Freedom Bookshop</t>
        </is>
      </c>
      <c r="F656" s="13" t="inlineStr">
        <is>
          <t>shop: books</t>
        </is>
      </c>
      <c r="G656" s="13" t="inlineStr">
        <is>
          <t>shop@freedompress.org.uk</t>
        </is>
      </c>
      <c r="H656" s="13" t="inlineStr">
        <is>
          <t>openstreetmap_tag</t>
        </is>
      </c>
      <c r="I656" s="13" t="n"/>
      <c r="J656" s="14" t="inlineStr">
        <is>
          <t>http://www.freedompress.org.uk/</t>
        </is>
      </c>
      <c r="K656" s="13" t="inlineStr">
        <is>
          <t>Whitechapel High Street 85a, London</t>
        </is>
      </c>
      <c r="L656" s="13" t="inlineStr">
        <is>
          <t>E1 7QX</t>
        </is>
      </c>
      <c r="M656" s="13" t="inlineStr">
        <is>
          <t>Whitechapel</t>
        </is>
      </c>
      <c r="N656" s="13" t="n">
        <v>13</v>
      </c>
      <c r="O656" s="15">
        <f>IFERROR(INDEX(Venues!$C$2:$C$10,MATCH(M656,Venues!$A$2:$A$10,0)),"Not checked")</f>
        <v/>
      </c>
      <c r="P656" s="15">
        <f>IFERROR(INDEX(Venues!$D$2:$D$10,MATCH(M656,Venues!$A$2:$A$10,0)),0)</f>
        <v/>
      </c>
      <c r="Q656" s="42">
        <f>IFERROR(INDEX(Venues!$E$2:$E$10,MATCH(M656,Venues!$A$2:$A$10,0)),"")</f>
        <v/>
      </c>
      <c r="R656" s="15">
        <f>IF(P656&gt;0,"Yes","No")</f>
        <v/>
      </c>
      <c r="S656" s="13" t="inlineStr">
        <is>
          <t>COLA Shoreditch Park</t>
        </is>
      </c>
      <c r="T656" s="42">
        <f>IFERROR(INDEX(Venues!$E$2:$E$10,MATCH(S656,Venues!$A$2:$A$10,0)),"")</f>
        <v/>
      </c>
      <c r="U656" s="15">
        <f>IFERROR(INDEX(Venues!$F$2:$F$10,MATCH(S656,Venues!$A$2:$A$10,0)),"")</f>
        <v/>
      </c>
      <c r="V656" s="43">
        <f>IFERROR(INDEX(Venues!$H$2:$H$10,MATCH(S656,Venues!$A$2:$A$10,0)),"")</f>
        <v/>
      </c>
      <c r="W656" s="15">
        <f>IF('Pilot offer'!$C$24="Yes",'Pilot offer'!$C$3,S656)</f>
        <v/>
      </c>
      <c r="X656" s="42">
        <f>IF('Pilot offer'!$C$24="Yes",'Pilot offer'!$C$5+'Pilot offer'!$C$6,T656)</f>
        <v/>
      </c>
      <c r="Y656" s="15">
        <f>IF('Pilot offer'!$C$24="Yes",'Pilot offer'!$C$8,U656)</f>
        <v/>
      </c>
      <c r="Z656" s="43">
        <f>IF('Pilot offer'!$C$24="Yes",'Pilot offer'!$C$11,"")</f>
        <v/>
      </c>
      <c r="AA656" s="15">
        <f>IF(X656="","",W656&amp;" · "&amp;TEXT(X656,"ddd d mmm, hh:mm")&amp;" · "&amp;Y656&amp;IF(Z656&lt;&gt;""," · £"&amp;TEXT(Z656,"0.00")&amp;" per player"," · price TBC (cost £"&amp;TEXT(V656,"0.00")&amp;" pp)"))</f>
        <v/>
      </c>
      <c r="AD656" s="44" t="n"/>
    </row>
    <row r="657">
      <c r="A657" s="13" t="n">
        <v>655</v>
      </c>
      <c r="B657" s="13" t="inlineStr">
        <is>
          <t>3 · E1 Whitechapel</t>
        </is>
      </c>
      <c r="C657" s="13" t="inlineStr">
        <is>
          <t>Leisure &amp; culture</t>
        </is>
      </c>
      <c r="D657" s="13" t="inlineStr">
        <is>
          <t>Local businesses</t>
        </is>
      </c>
      <c r="E657" s="13" t="inlineStr">
        <is>
          <t>Whitechapel Gallery</t>
        </is>
      </c>
      <c r="F657" s="13" t="inlineStr">
        <is>
          <t>tourism: gallery</t>
        </is>
      </c>
      <c r="G657" s="13" t="inlineStr">
        <is>
          <t>info@whitechapelgallery.org</t>
        </is>
      </c>
      <c r="H657" s="13" t="inlineStr">
        <is>
          <t>openstreetmap_tag</t>
        </is>
      </c>
      <c r="I657" s="13" t="inlineStr">
        <is>
          <t>+44 20 7522 7888</t>
        </is>
      </c>
      <c r="J657" s="14" t="inlineStr">
        <is>
          <t>https://www.whitechapelgallery.org/</t>
        </is>
      </c>
      <c r="K657" s="13" t="inlineStr">
        <is>
          <t>Whitechapel High Street 77-82, London</t>
        </is>
      </c>
      <c r="L657" s="13" t="inlineStr">
        <is>
          <t>E1 7QX</t>
        </is>
      </c>
      <c r="M657" s="13" t="inlineStr">
        <is>
          <t>Whitechapel</t>
        </is>
      </c>
      <c r="N657" s="13" t="n">
        <v>12</v>
      </c>
      <c r="O657" s="15">
        <f>IFERROR(INDEX(Venues!$C$2:$C$10,MATCH(M657,Venues!$A$2:$A$10,0)),"Not checked")</f>
        <v/>
      </c>
      <c r="P657" s="15">
        <f>IFERROR(INDEX(Venues!$D$2:$D$10,MATCH(M657,Venues!$A$2:$A$10,0)),0)</f>
        <v/>
      </c>
      <c r="Q657" s="42">
        <f>IFERROR(INDEX(Venues!$E$2:$E$10,MATCH(M657,Venues!$A$2:$A$10,0)),"")</f>
        <v/>
      </c>
      <c r="R657" s="15">
        <f>IF(P657&gt;0,"Yes","No")</f>
        <v/>
      </c>
      <c r="S657" s="13" t="inlineStr">
        <is>
          <t>COLA Shoreditch Park</t>
        </is>
      </c>
      <c r="T657" s="42">
        <f>IFERROR(INDEX(Venues!$E$2:$E$10,MATCH(S657,Venues!$A$2:$A$10,0)),"")</f>
        <v/>
      </c>
      <c r="U657" s="15">
        <f>IFERROR(INDEX(Venues!$F$2:$F$10,MATCH(S657,Venues!$A$2:$A$10,0)),"")</f>
        <v/>
      </c>
      <c r="V657" s="43">
        <f>IFERROR(INDEX(Venues!$H$2:$H$10,MATCH(S657,Venues!$A$2:$A$10,0)),"")</f>
        <v/>
      </c>
      <c r="W657" s="15">
        <f>IF('Pilot offer'!$C$24="Yes",'Pilot offer'!$C$3,S657)</f>
        <v/>
      </c>
      <c r="X657" s="42">
        <f>IF('Pilot offer'!$C$24="Yes",'Pilot offer'!$C$5+'Pilot offer'!$C$6,T657)</f>
        <v/>
      </c>
      <c r="Y657" s="15">
        <f>IF('Pilot offer'!$C$24="Yes",'Pilot offer'!$C$8,U657)</f>
        <v/>
      </c>
      <c r="Z657" s="43">
        <f>IF('Pilot offer'!$C$24="Yes",'Pilot offer'!$C$11,"")</f>
        <v/>
      </c>
      <c r="AA657" s="15">
        <f>IF(X657="","",W657&amp;" · "&amp;TEXT(X657,"ddd d mmm, hh:mm")&amp;" · "&amp;Y657&amp;IF(Z657&lt;&gt;""," · £"&amp;TEXT(Z657,"0.00")&amp;" per player"," · price TBC (cost £"&amp;TEXT(V657,"0.00")&amp;" pp)"))</f>
        <v/>
      </c>
      <c r="AD657" s="44" t="n"/>
    </row>
    <row r="658">
      <c r="A658" s="13" t="n">
        <v>656</v>
      </c>
      <c r="B658" s="13" t="inlineStr">
        <is>
          <t>3 · E1 Whitechapel</t>
        </is>
      </c>
      <c r="C658" s="13" t="inlineStr">
        <is>
          <t>Hospitality</t>
        </is>
      </c>
      <c r="D658" s="13" t="inlineStr">
        <is>
          <t>Local businesses</t>
        </is>
      </c>
      <c r="E658" s="13" t="inlineStr">
        <is>
          <t>Whitechapel Gallery Cafe</t>
        </is>
      </c>
      <c r="F658" s="13" t="inlineStr">
        <is>
          <t>amenity: cafe</t>
        </is>
      </c>
      <c r="G658" s="13" t="inlineStr">
        <is>
          <t>refectory@whitechapelgallery.org</t>
        </is>
      </c>
      <c r="H658" s="13" t="inlineStr">
        <is>
          <t>openstreetmap_tag</t>
        </is>
      </c>
      <c r="I658" s="13" t="inlineStr">
        <is>
          <t>+44 20 7522 7896</t>
        </is>
      </c>
      <c r="J658" s="14" t="inlineStr">
        <is>
          <t>https://www.whitechapelgallery.org/eat-and-drink-the-whitechapel-refectory/</t>
        </is>
      </c>
      <c r="K658" s="13" t="inlineStr">
        <is>
          <t>Whitechapel High Street 77-82, London</t>
        </is>
      </c>
      <c r="L658" s="13" t="inlineStr">
        <is>
          <t>E1 7QX</t>
        </is>
      </c>
      <c r="M658" s="13" t="inlineStr">
        <is>
          <t>Whitechapel</t>
        </is>
      </c>
      <c r="N658" s="13" t="n">
        <v>12</v>
      </c>
      <c r="O658" s="15">
        <f>IFERROR(INDEX(Venues!$C$2:$C$10,MATCH(M658,Venues!$A$2:$A$10,0)),"Not checked")</f>
        <v/>
      </c>
      <c r="P658" s="15">
        <f>IFERROR(INDEX(Venues!$D$2:$D$10,MATCH(M658,Venues!$A$2:$A$10,0)),0)</f>
        <v/>
      </c>
      <c r="Q658" s="42">
        <f>IFERROR(INDEX(Venues!$E$2:$E$10,MATCH(M658,Venues!$A$2:$A$10,0)),"")</f>
        <v/>
      </c>
      <c r="R658" s="15">
        <f>IF(P658&gt;0,"Yes","No")</f>
        <v/>
      </c>
      <c r="S658" s="13" t="inlineStr">
        <is>
          <t>COLA Shoreditch Park</t>
        </is>
      </c>
      <c r="T658" s="42">
        <f>IFERROR(INDEX(Venues!$E$2:$E$10,MATCH(S658,Venues!$A$2:$A$10,0)),"")</f>
        <v/>
      </c>
      <c r="U658" s="15">
        <f>IFERROR(INDEX(Venues!$F$2:$F$10,MATCH(S658,Venues!$A$2:$A$10,0)),"")</f>
        <v/>
      </c>
      <c r="V658" s="43">
        <f>IFERROR(INDEX(Venues!$H$2:$H$10,MATCH(S658,Venues!$A$2:$A$10,0)),"")</f>
        <v/>
      </c>
      <c r="W658" s="15">
        <f>IF('Pilot offer'!$C$24="Yes",'Pilot offer'!$C$3,S658)</f>
        <v/>
      </c>
      <c r="X658" s="42">
        <f>IF('Pilot offer'!$C$24="Yes",'Pilot offer'!$C$5+'Pilot offer'!$C$6,T658)</f>
        <v/>
      </c>
      <c r="Y658" s="15">
        <f>IF('Pilot offer'!$C$24="Yes",'Pilot offer'!$C$8,U658)</f>
        <v/>
      </c>
      <c r="Z658" s="43">
        <f>IF('Pilot offer'!$C$24="Yes",'Pilot offer'!$C$11,"")</f>
        <v/>
      </c>
      <c r="AA658" s="15">
        <f>IF(X658="","",W658&amp;" · "&amp;TEXT(X658,"ddd d mmm, hh:mm")&amp;" · "&amp;Y658&amp;IF(Z658&lt;&gt;""," · £"&amp;TEXT(Z658,"0.00")&amp;" per player"," · price TBC (cost £"&amp;TEXT(V658,"0.00")&amp;" pp)"))</f>
        <v/>
      </c>
      <c r="AD658" s="44" t="n"/>
    </row>
    <row r="659">
      <c r="A659" s="13" t="n">
        <v>657</v>
      </c>
      <c r="B659" s="13" t="inlineStr">
        <is>
          <t>3 · E1 Whitechapel</t>
        </is>
      </c>
      <c r="C659" s="13" t="inlineStr">
        <is>
          <t>Education</t>
        </is>
      </c>
      <c r="D659" s="13" t="inlineStr">
        <is>
          <t>Local businesses</t>
        </is>
      </c>
      <c r="E659" s="13" t="inlineStr">
        <is>
          <t>London College of Marketing and Technology</t>
        </is>
      </c>
      <c r="F659" s="13" t="inlineStr">
        <is>
          <t>amenity: college</t>
        </is>
      </c>
      <c r="G659" s="13" t="inlineStr">
        <is>
          <t>info@lcmt.co.uk</t>
        </is>
      </c>
      <c r="H659" s="13" t="inlineStr">
        <is>
          <t>general</t>
        </is>
      </c>
      <c r="I659" s="13" t="n"/>
      <c r="J659" s="14" t="inlineStr">
        <is>
          <t>https://lcmt.co.uk/about-us</t>
        </is>
      </c>
      <c r="K659" s="13" t="inlineStr">
        <is>
          <t>Whitechapel High Street 102-105, London</t>
        </is>
      </c>
      <c r="L659" s="13" t="inlineStr">
        <is>
          <t>E1 7RA</t>
        </is>
      </c>
      <c r="M659" s="13" t="inlineStr">
        <is>
          <t>Whitechapel</t>
        </is>
      </c>
      <c r="N659" s="13" t="n">
        <v>14</v>
      </c>
      <c r="O659" s="15">
        <f>IFERROR(INDEX(Venues!$C$2:$C$10,MATCH(M659,Venues!$A$2:$A$10,0)),"Not checked")</f>
        <v/>
      </c>
      <c r="P659" s="15">
        <f>IFERROR(INDEX(Venues!$D$2:$D$10,MATCH(M659,Venues!$A$2:$A$10,0)),0)</f>
        <v/>
      </c>
      <c r="Q659" s="42">
        <f>IFERROR(INDEX(Venues!$E$2:$E$10,MATCH(M659,Venues!$A$2:$A$10,0)),"")</f>
        <v/>
      </c>
      <c r="R659" s="15">
        <f>IF(P659&gt;0,"Yes","No")</f>
        <v/>
      </c>
      <c r="S659" s="13" t="inlineStr">
        <is>
          <t>COLA Shoreditch Park</t>
        </is>
      </c>
      <c r="T659" s="42">
        <f>IFERROR(INDEX(Venues!$E$2:$E$10,MATCH(S659,Venues!$A$2:$A$10,0)),"")</f>
        <v/>
      </c>
      <c r="U659" s="15">
        <f>IFERROR(INDEX(Venues!$F$2:$F$10,MATCH(S659,Venues!$A$2:$A$10,0)),"")</f>
        <v/>
      </c>
      <c r="V659" s="43">
        <f>IFERROR(INDEX(Venues!$H$2:$H$10,MATCH(S659,Venues!$A$2:$A$10,0)),"")</f>
        <v/>
      </c>
      <c r="W659" s="15">
        <f>IF('Pilot offer'!$C$24="Yes",'Pilot offer'!$C$3,S659)</f>
        <v/>
      </c>
      <c r="X659" s="42">
        <f>IF('Pilot offer'!$C$24="Yes",'Pilot offer'!$C$5+'Pilot offer'!$C$6,T659)</f>
        <v/>
      </c>
      <c r="Y659" s="15">
        <f>IF('Pilot offer'!$C$24="Yes",'Pilot offer'!$C$8,U659)</f>
        <v/>
      </c>
      <c r="Z659" s="43">
        <f>IF('Pilot offer'!$C$24="Yes",'Pilot offer'!$C$11,"")</f>
        <v/>
      </c>
      <c r="AA659" s="15">
        <f>IF(X659="","",W659&amp;" · "&amp;TEXT(X659,"ddd d mmm, hh:mm")&amp;" · "&amp;Y659&amp;IF(Z659&lt;&gt;""," · £"&amp;TEXT(Z659,"0.00")&amp;" per player"," · price TBC (cost £"&amp;TEXT(V659,"0.00")&amp;" pp)"))</f>
        <v/>
      </c>
      <c r="AD659" s="44" t="n"/>
    </row>
    <row r="660">
      <c r="A660" s="13" t="n">
        <v>658</v>
      </c>
      <c r="B660" s="13" t="inlineStr">
        <is>
          <t>3 · E1 Whitechapel</t>
        </is>
      </c>
      <c r="C660" s="13" t="inlineStr">
        <is>
          <t>Hospitality</t>
        </is>
      </c>
      <c r="D660" s="13" t="inlineStr">
        <is>
          <t>Local businesses</t>
        </is>
      </c>
      <c r="E660" s="13" t="inlineStr">
        <is>
          <t>Roastery Club</t>
        </is>
      </c>
      <c r="F660" s="13" t="inlineStr">
        <is>
          <t>amenity: cafe</t>
        </is>
      </c>
      <c r="G660" s="13" t="inlineStr">
        <is>
          <t>contact@roasteryclub.co.uk</t>
        </is>
      </c>
      <c r="H660" s="13" t="inlineStr">
        <is>
          <t>openstreetmap_tag</t>
        </is>
      </c>
      <c r="I660" s="13" t="inlineStr">
        <is>
          <t>+44 20 3302 3710</t>
        </is>
      </c>
      <c r="J660" s="14" t="inlineStr">
        <is>
          <t>https://roasteryclub.co.uk/</t>
        </is>
      </c>
      <c r="K660" s="13" t="inlineStr">
        <is>
          <t>New Drum Street 2, London</t>
        </is>
      </c>
      <c r="L660" s="13" t="inlineStr">
        <is>
          <t>E1 7RA</t>
        </is>
      </c>
      <c r="M660" s="13" t="inlineStr">
        <is>
          <t>Whitechapel</t>
        </is>
      </c>
      <c r="N660" s="13" t="n">
        <v>13</v>
      </c>
      <c r="O660" s="15">
        <f>IFERROR(INDEX(Venues!$C$2:$C$10,MATCH(M660,Venues!$A$2:$A$10,0)),"Not checked")</f>
        <v/>
      </c>
      <c r="P660" s="15">
        <f>IFERROR(INDEX(Venues!$D$2:$D$10,MATCH(M660,Venues!$A$2:$A$10,0)),0)</f>
        <v/>
      </c>
      <c r="Q660" s="42">
        <f>IFERROR(INDEX(Venues!$E$2:$E$10,MATCH(M660,Venues!$A$2:$A$10,0)),"")</f>
        <v/>
      </c>
      <c r="R660" s="15">
        <f>IF(P660&gt;0,"Yes","No")</f>
        <v/>
      </c>
      <c r="S660" s="13" t="inlineStr">
        <is>
          <t>COLA Shoreditch Park</t>
        </is>
      </c>
      <c r="T660" s="42">
        <f>IFERROR(INDEX(Venues!$E$2:$E$10,MATCH(S660,Venues!$A$2:$A$10,0)),"")</f>
        <v/>
      </c>
      <c r="U660" s="15">
        <f>IFERROR(INDEX(Venues!$F$2:$F$10,MATCH(S660,Venues!$A$2:$A$10,0)),"")</f>
        <v/>
      </c>
      <c r="V660" s="43">
        <f>IFERROR(INDEX(Venues!$H$2:$H$10,MATCH(S660,Venues!$A$2:$A$10,0)),"")</f>
        <v/>
      </c>
      <c r="W660" s="15">
        <f>IF('Pilot offer'!$C$24="Yes",'Pilot offer'!$C$3,S660)</f>
        <v/>
      </c>
      <c r="X660" s="42">
        <f>IF('Pilot offer'!$C$24="Yes",'Pilot offer'!$C$5+'Pilot offer'!$C$6,T660)</f>
        <v/>
      </c>
      <c r="Y660" s="15">
        <f>IF('Pilot offer'!$C$24="Yes",'Pilot offer'!$C$8,U660)</f>
        <v/>
      </c>
      <c r="Z660" s="43">
        <f>IF('Pilot offer'!$C$24="Yes",'Pilot offer'!$C$11,"")</f>
        <v/>
      </c>
      <c r="AA660" s="15">
        <f>IF(X660="","",W660&amp;" · "&amp;TEXT(X660,"ddd d mmm, hh:mm")&amp;" · "&amp;Y660&amp;IF(Z660&lt;&gt;""," · £"&amp;TEXT(Z660,"0.00")&amp;" per player"," · price TBC (cost £"&amp;TEXT(V660,"0.00")&amp;" pp)"))</f>
        <v/>
      </c>
      <c r="AD660" s="44" t="n"/>
    </row>
    <row r="661">
      <c r="A661" s="13" t="n">
        <v>659</v>
      </c>
      <c r="B661" s="13" t="inlineStr">
        <is>
          <t>3 · E1 Whitechapel</t>
        </is>
      </c>
      <c r="C661" s="13" t="inlineStr">
        <is>
          <t>Education</t>
        </is>
      </c>
      <c r="D661" s="13" t="inlineStr">
        <is>
          <t>Local businesses</t>
        </is>
      </c>
      <c r="E661" s="13" t="inlineStr">
        <is>
          <t>Mulberry Canon Barnett Primary Academy</t>
        </is>
      </c>
      <c r="F661" s="13" t="inlineStr">
        <is>
          <t>amenity: school</t>
        </is>
      </c>
      <c r="G661" s="13" t="inlineStr">
        <is>
          <t>admin@mulberrycanonbarnett.org</t>
        </is>
      </c>
      <c r="H661" s="13" t="inlineStr">
        <is>
          <t>general</t>
        </is>
      </c>
      <c r="I661" s="13" t="inlineStr">
        <is>
          <t>+44 20 7247 9023</t>
        </is>
      </c>
      <c r="J661" s="14" t="inlineStr">
        <is>
          <t>https://www.mulberrycanonbarnett.org/</t>
        </is>
      </c>
      <c r="K661" s="13" t="inlineStr">
        <is>
          <t>Gunthorpe Street, London</t>
        </is>
      </c>
      <c r="L661" s="13" t="inlineStr">
        <is>
          <t>E1 7RQ</t>
        </is>
      </c>
      <c r="M661" s="13" t="inlineStr">
        <is>
          <t>Whitechapel</t>
        </is>
      </c>
      <c r="N661" s="13" t="n">
        <v>14</v>
      </c>
      <c r="O661" s="15">
        <f>IFERROR(INDEX(Venues!$C$2:$C$10,MATCH(M661,Venues!$A$2:$A$10,0)),"Not checked")</f>
        <v/>
      </c>
      <c r="P661" s="15">
        <f>IFERROR(INDEX(Venues!$D$2:$D$10,MATCH(M661,Venues!$A$2:$A$10,0)),0)</f>
        <v/>
      </c>
      <c r="Q661" s="42">
        <f>IFERROR(INDEX(Venues!$E$2:$E$10,MATCH(M661,Venues!$A$2:$A$10,0)),"")</f>
        <v/>
      </c>
      <c r="R661" s="15">
        <f>IF(P661&gt;0,"Yes","No")</f>
        <v/>
      </c>
      <c r="S661" s="13" t="inlineStr">
        <is>
          <t>COLA Shoreditch Park</t>
        </is>
      </c>
      <c r="T661" s="42">
        <f>IFERROR(INDEX(Venues!$E$2:$E$10,MATCH(S661,Venues!$A$2:$A$10,0)),"")</f>
        <v/>
      </c>
      <c r="U661" s="15">
        <f>IFERROR(INDEX(Venues!$F$2:$F$10,MATCH(S661,Venues!$A$2:$A$10,0)),"")</f>
        <v/>
      </c>
      <c r="V661" s="43">
        <f>IFERROR(INDEX(Venues!$H$2:$H$10,MATCH(S661,Venues!$A$2:$A$10,0)),"")</f>
        <v/>
      </c>
      <c r="W661" s="15">
        <f>IF('Pilot offer'!$C$24="Yes",'Pilot offer'!$C$3,S661)</f>
        <v/>
      </c>
      <c r="X661" s="42">
        <f>IF('Pilot offer'!$C$24="Yes",'Pilot offer'!$C$5+'Pilot offer'!$C$6,T661)</f>
        <v/>
      </c>
      <c r="Y661" s="15">
        <f>IF('Pilot offer'!$C$24="Yes",'Pilot offer'!$C$8,U661)</f>
        <v/>
      </c>
      <c r="Z661" s="43">
        <f>IF('Pilot offer'!$C$24="Yes",'Pilot offer'!$C$11,"")</f>
        <v/>
      </c>
      <c r="AA661" s="15">
        <f>IF(X661="","",W661&amp;" · "&amp;TEXT(X661,"ddd d mmm, hh:mm")&amp;" · "&amp;Y661&amp;IF(Z661&lt;&gt;""," · £"&amp;TEXT(Z661,"0.00")&amp;" per player"," · price TBC (cost £"&amp;TEXT(V661,"0.00")&amp;" pp)"))</f>
        <v/>
      </c>
      <c r="AD661" s="44" t="n"/>
    </row>
    <row r="662">
      <c r="A662" s="13" t="n">
        <v>660</v>
      </c>
      <c r="B662" s="13" t="inlineStr">
        <is>
          <t>3 · E1 Whitechapel</t>
        </is>
      </c>
      <c r="C662" s="13" t="inlineStr">
        <is>
          <t>Hospitality</t>
        </is>
      </c>
      <c r="D662" s="13" t="inlineStr">
        <is>
          <t>Local businesses</t>
        </is>
      </c>
      <c r="E662" s="13" t="inlineStr">
        <is>
          <t>Dauns Cafe</t>
        </is>
      </c>
      <c r="F662" s="13" t="inlineStr">
        <is>
          <t>amenity: cafe</t>
        </is>
      </c>
      <c r="G662" s="13" t="inlineStr">
        <is>
          <t>info@dauns.co.uk</t>
        </is>
      </c>
      <c r="H662" s="13" t="inlineStr">
        <is>
          <t>general</t>
        </is>
      </c>
      <c r="I662" s="13" t="inlineStr">
        <is>
          <t>+44 7481 535768</t>
        </is>
      </c>
      <c r="J662" s="14" t="inlineStr">
        <is>
          <t>https://dauns.co.uk/</t>
        </is>
      </c>
      <c r="K662" s="13" t="inlineStr">
        <is>
          <t>Wentworth Street 77, London</t>
        </is>
      </c>
      <c r="L662" s="13" t="inlineStr">
        <is>
          <t>E1 7TD</t>
        </is>
      </c>
      <c r="M662" s="13" t="inlineStr">
        <is>
          <t>Whitechapel</t>
        </is>
      </c>
      <c r="N662" s="13" t="n">
        <v>16</v>
      </c>
      <c r="O662" s="15">
        <f>IFERROR(INDEX(Venues!$C$2:$C$10,MATCH(M662,Venues!$A$2:$A$10,0)),"Not checked")</f>
        <v/>
      </c>
      <c r="P662" s="15">
        <f>IFERROR(INDEX(Venues!$D$2:$D$10,MATCH(M662,Venues!$A$2:$A$10,0)),0)</f>
        <v/>
      </c>
      <c r="Q662" s="42">
        <f>IFERROR(INDEX(Venues!$E$2:$E$10,MATCH(M662,Venues!$A$2:$A$10,0)),"")</f>
        <v/>
      </c>
      <c r="R662" s="15">
        <f>IF(P662&gt;0,"Yes","No")</f>
        <v/>
      </c>
      <c r="S662" s="13" t="inlineStr">
        <is>
          <t>COLA Shoreditch Park</t>
        </is>
      </c>
      <c r="T662" s="42">
        <f>IFERROR(INDEX(Venues!$E$2:$E$10,MATCH(S662,Venues!$A$2:$A$10,0)),"")</f>
        <v/>
      </c>
      <c r="U662" s="15">
        <f>IFERROR(INDEX(Venues!$F$2:$F$10,MATCH(S662,Venues!$A$2:$A$10,0)),"")</f>
        <v/>
      </c>
      <c r="V662" s="43">
        <f>IFERROR(INDEX(Venues!$H$2:$H$10,MATCH(S662,Venues!$A$2:$A$10,0)),"")</f>
        <v/>
      </c>
      <c r="W662" s="15">
        <f>IF('Pilot offer'!$C$24="Yes",'Pilot offer'!$C$3,S662)</f>
        <v/>
      </c>
      <c r="X662" s="42">
        <f>IF('Pilot offer'!$C$24="Yes",'Pilot offer'!$C$5+'Pilot offer'!$C$6,T662)</f>
        <v/>
      </c>
      <c r="Y662" s="15">
        <f>IF('Pilot offer'!$C$24="Yes",'Pilot offer'!$C$8,U662)</f>
        <v/>
      </c>
      <c r="Z662" s="43">
        <f>IF('Pilot offer'!$C$24="Yes",'Pilot offer'!$C$11,"")</f>
        <v/>
      </c>
      <c r="AA662" s="15">
        <f>IF(X662="","",W662&amp;" · "&amp;TEXT(X662,"ddd d mmm, hh:mm")&amp;" · "&amp;Y662&amp;IF(Z662&lt;&gt;""," · £"&amp;TEXT(Z662,"0.00")&amp;" per player"," · price TBC (cost £"&amp;TEXT(V662,"0.00")&amp;" pp)"))</f>
        <v/>
      </c>
      <c r="AD662" s="44" t="n"/>
    </row>
    <row r="663">
      <c r="A663" s="13" t="n">
        <v>661</v>
      </c>
      <c r="B663" s="13" t="inlineStr">
        <is>
          <t>3 · E1 Whitechapel</t>
        </is>
      </c>
      <c r="C663" s="13" t="inlineStr">
        <is>
          <t>Hospitality</t>
        </is>
      </c>
      <c r="D663" s="13" t="inlineStr">
        <is>
          <t>Local businesses</t>
        </is>
      </c>
      <c r="E663" s="13" t="inlineStr">
        <is>
          <t>Happy Days</t>
        </is>
      </c>
      <c r="F663" s="13" t="inlineStr">
        <is>
          <t>amenity: fast food</t>
        </is>
      </c>
      <c r="G663" s="13" t="inlineStr">
        <is>
          <t>happydaysfishandchips@gmail.com</t>
        </is>
      </c>
      <c r="H663" s="13" t="inlineStr">
        <is>
          <t>freemail</t>
        </is>
      </c>
      <c r="I663" s="13" t="inlineStr">
        <is>
          <t>+44 20 7377 9815</t>
        </is>
      </c>
      <c r="J663" s="14" t="inlineStr">
        <is>
          <t>https://happydays-restaurant.co.uk/</t>
        </is>
      </c>
      <c r="K663" s="13" t="inlineStr">
        <is>
          <t>Goulston Street 44/46, London</t>
        </is>
      </c>
      <c r="L663" s="13" t="inlineStr">
        <is>
          <t>E1 7TP</t>
        </is>
      </c>
      <c r="M663" s="13" t="inlineStr">
        <is>
          <t>Whitechapel</t>
        </is>
      </c>
      <c r="N663" s="13" t="n">
        <v>17</v>
      </c>
      <c r="O663" s="15">
        <f>IFERROR(INDEX(Venues!$C$2:$C$10,MATCH(M663,Venues!$A$2:$A$10,0)),"Not checked")</f>
        <v/>
      </c>
      <c r="P663" s="15">
        <f>IFERROR(INDEX(Venues!$D$2:$D$10,MATCH(M663,Venues!$A$2:$A$10,0)),0)</f>
        <v/>
      </c>
      <c r="Q663" s="42">
        <f>IFERROR(INDEX(Venues!$E$2:$E$10,MATCH(M663,Venues!$A$2:$A$10,0)),"")</f>
        <v/>
      </c>
      <c r="R663" s="15">
        <f>IF(P663&gt;0,"Yes","No")</f>
        <v/>
      </c>
      <c r="S663" s="13" t="inlineStr">
        <is>
          <t>COLA Shoreditch Park</t>
        </is>
      </c>
      <c r="T663" s="42">
        <f>IFERROR(INDEX(Venues!$E$2:$E$10,MATCH(S663,Venues!$A$2:$A$10,0)),"")</f>
        <v/>
      </c>
      <c r="U663" s="15">
        <f>IFERROR(INDEX(Venues!$F$2:$F$10,MATCH(S663,Venues!$A$2:$A$10,0)),"")</f>
        <v/>
      </c>
      <c r="V663" s="43">
        <f>IFERROR(INDEX(Venues!$H$2:$H$10,MATCH(S663,Venues!$A$2:$A$10,0)),"")</f>
        <v/>
      </c>
      <c r="W663" s="15">
        <f>IF('Pilot offer'!$C$24="Yes",'Pilot offer'!$C$3,S663)</f>
        <v/>
      </c>
      <c r="X663" s="42">
        <f>IF('Pilot offer'!$C$24="Yes",'Pilot offer'!$C$5+'Pilot offer'!$C$6,T663)</f>
        <v/>
      </c>
      <c r="Y663" s="15">
        <f>IF('Pilot offer'!$C$24="Yes",'Pilot offer'!$C$8,U663)</f>
        <v/>
      </c>
      <c r="Z663" s="43">
        <f>IF('Pilot offer'!$C$24="Yes",'Pilot offer'!$C$11,"")</f>
        <v/>
      </c>
      <c r="AA663" s="15">
        <f>IF(X663="","",W663&amp;" · "&amp;TEXT(X663,"ddd d mmm, hh:mm")&amp;" · "&amp;Y663&amp;IF(Z663&lt;&gt;""," · £"&amp;TEXT(Z663,"0.00")&amp;" per player"," · price TBC (cost £"&amp;TEXT(V663,"0.00")&amp;" pp)"))</f>
        <v/>
      </c>
      <c r="AD663" s="44" t="n"/>
    </row>
    <row r="664">
      <c r="A664" s="13" t="n">
        <v>662</v>
      </c>
      <c r="B664" s="13" t="inlineStr">
        <is>
          <t>3 · E1 Whitechapel</t>
        </is>
      </c>
      <c r="C664" s="13" t="inlineStr">
        <is>
          <t>Leisure &amp; culture</t>
        </is>
      </c>
      <c r="D664" s="13" t="inlineStr">
        <is>
          <t>Local businesses</t>
        </is>
      </c>
      <c r="E664" s="13" t="inlineStr">
        <is>
          <t>Portsoken Community Centre</t>
        </is>
      </c>
      <c r="F664" s="13" t="inlineStr">
        <is>
          <t>amenity: community centre</t>
        </is>
      </c>
      <c r="G664" s="13" t="inlineStr">
        <is>
          <t>portsokencommunitycentre@cityoflondon.gov.uk</t>
        </is>
      </c>
      <c r="H664" s="13" t="inlineStr">
        <is>
          <t>openstreetmap_tag</t>
        </is>
      </c>
      <c r="I664" s="13" t="inlineStr">
        <is>
          <t>+44 7955 311966</t>
        </is>
      </c>
      <c r="J664" s="14" t="inlineStr">
        <is>
          <t>https://www.cityoflondon.gov.uk/services/housing/resident-involvement/portsoken-community-centre-4</t>
        </is>
      </c>
      <c r="K664" s="13" t="inlineStr">
        <is>
          <t>Little Somerset Street 20, London</t>
        </is>
      </c>
      <c r="L664" s="13" t="inlineStr">
        <is>
          <t>E1 8AH</t>
        </is>
      </c>
      <c r="M664" s="13" t="inlineStr">
        <is>
          <t>Whitechapel</t>
        </is>
      </c>
      <c r="N664" s="13" t="n">
        <v>17</v>
      </c>
      <c r="O664" s="15">
        <f>IFERROR(INDEX(Venues!$C$2:$C$10,MATCH(M664,Venues!$A$2:$A$10,0)),"Not checked")</f>
        <v/>
      </c>
      <c r="P664" s="15">
        <f>IFERROR(INDEX(Venues!$D$2:$D$10,MATCH(M664,Venues!$A$2:$A$10,0)),0)</f>
        <v/>
      </c>
      <c r="Q664" s="42">
        <f>IFERROR(INDEX(Venues!$E$2:$E$10,MATCH(M664,Venues!$A$2:$A$10,0)),"")</f>
        <v/>
      </c>
      <c r="R664" s="15">
        <f>IF(P664&gt;0,"Yes","No")</f>
        <v/>
      </c>
      <c r="S664" s="13" t="inlineStr">
        <is>
          <t>COLA Shoreditch Park</t>
        </is>
      </c>
      <c r="T664" s="42">
        <f>IFERROR(INDEX(Venues!$E$2:$E$10,MATCH(S664,Venues!$A$2:$A$10,0)),"")</f>
        <v/>
      </c>
      <c r="U664" s="15">
        <f>IFERROR(INDEX(Venues!$F$2:$F$10,MATCH(S664,Venues!$A$2:$A$10,0)),"")</f>
        <v/>
      </c>
      <c r="V664" s="43">
        <f>IFERROR(INDEX(Venues!$H$2:$H$10,MATCH(S664,Venues!$A$2:$A$10,0)),"")</f>
        <v/>
      </c>
      <c r="W664" s="15">
        <f>IF('Pilot offer'!$C$24="Yes",'Pilot offer'!$C$3,S664)</f>
        <v/>
      </c>
      <c r="X664" s="42">
        <f>IF('Pilot offer'!$C$24="Yes",'Pilot offer'!$C$5+'Pilot offer'!$C$6,T664)</f>
        <v/>
      </c>
      <c r="Y664" s="15">
        <f>IF('Pilot offer'!$C$24="Yes",'Pilot offer'!$C$8,U664)</f>
        <v/>
      </c>
      <c r="Z664" s="43">
        <f>IF('Pilot offer'!$C$24="Yes",'Pilot offer'!$C$11,"")</f>
        <v/>
      </c>
      <c r="AA664" s="15">
        <f>IF(X664="","",W664&amp;" · "&amp;TEXT(X664,"ddd d mmm, hh:mm")&amp;" · "&amp;Y664&amp;IF(Z664&lt;&gt;""," · £"&amp;TEXT(Z664,"0.00")&amp;" per player"," · price TBC (cost £"&amp;TEXT(V664,"0.00")&amp;" pp)"))</f>
        <v/>
      </c>
      <c r="AD664" s="44" t="n"/>
    </row>
    <row r="665">
      <c r="A665" s="13" t="n">
        <v>663</v>
      </c>
      <c r="B665" s="13" t="inlineStr">
        <is>
          <t>3 · E1 Whitechapel</t>
        </is>
      </c>
      <c r="C665" s="13" t="inlineStr">
        <is>
          <t>Office &amp; professional</t>
        </is>
      </c>
      <c r="D665" s="13" t="inlineStr">
        <is>
          <t>Corporate</t>
        </is>
      </c>
      <c r="E665" s="13" t="inlineStr">
        <is>
          <t>Ackroyd Legal</t>
        </is>
      </c>
      <c r="F665" s="13" t="inlineStr">
        <is>
          <t>lawyer</t>
        </is>
      </c>
      <c r="G665" s="13" t="inlineStr">
        <is>
          <t>info.sa@ackroydlegal.com</t>
        </is>
      </c>
      <c r="H665" s="13" t="inlineStr">
        <is>
          <t>person_or_other</t>
        </is>
      </c>
      <c r="I665" s="13" t="inlineStr">
        <is>
          <t>+44 20 3058 3365</t>
        </is>
      </c>
      <c r="J665" s="14" t="inlineStr">
        <is>
          <t>http://www.ackroydlegal.com/</t>
        </is>
      </c>
      <c r="K665" s="13" t="inlineStr">
        <is>
          <t>16 Prescot St, London E1 8AZ, UK</t>
        </is>
      </c>
      <c r="L665" s="13" t="inlineStr">
        <is>
          <t>E1 8AZ</t>
        </is>
      </c>
      <c r="M665" s="13" t="inlineStr">
        <is>
          <t>Whitechapel</t>
        </is>
      </c>
      <c r="N665" s="13" t="n">
        <v>13</v>
      </c>
      <c r="O665" s="15">
        <f>IFERROR(INDEX(Venues!$C$2:$C$10,MATCH(M665,Venues!$A$2:$A$10,0)),"Not checked")</f>
        <v/>
      </c>
      <c r="P665" s="15">
        <f>IFERROR(INDEX(Venues!$D$2:$D$10,MATCH(M665,Venues!$A$2:$A$10,0)),0)</f>
        <v/>
      </c>
      <c r="Q665" s="42">
        <f>IFERROR(INDEX(Venues!$E$2:$E$10,MATCH(M665,Venues!$A$2:$A$10,0)),"")</f>
        <v/>
      </c>
      <c r="R665" s="15">
        <f>IF(P665&gt;0,"Yes","No")</f>
        <v/>
      </c>
      <c r="S665" s="13" t="inlineStr">
        <is>
          <t>COLA Shoreditch Park</t>
        </is>
      </c>
      <c r="T665" s="42">
        <f>IFERROR(INDEX(Venues!$E$2:$E$10,MATCH(S665,Venues!$A$2:$A$10,0)),"")</f>
        <v/>
      </c>
      <c r="U665" s="15">
        <f>IFERROR(INDEX(Venues!$F$2:$F$10,MATCH(S665,Venues!$A$2:$A$10,0)),"")</f>
        <v/>
      </c>
      <c r="V665" s="43">
        <f>IFERROR(INDEX(Venues!$H$2:$H$10,MATCH(S665,Venues!$A$2:$A$10,0)),"")</f>
        <v/>
      </c>
      <c r="W665" s="15">
        <f>IF('Pilot offer'!$C$24="Yes",'Pilot offer'!$C$3,S665)</f>
        <v/>
      </c>
      <c r="X665" s="42">
        <f>IF('Pilot offer'!$C$24="Yes",'Pilot offer'!$C$5+'Pilot offer'!$C$6,T665)</f>
        <v/>
      </c>
      <c r="Y665" s="15">
        <f>IF('Pilot offer'!$C$24="Yes",'Pilot offer'!$C$8,U665)</f>
        <v/>
      </c>
      <c r="Z665" s="43">
        <f>IF('Pilot offer'!$C$24="Yes",'Pilot offer'!$C$11,"")</f>
        <v/>
      </c>
      <c r="AA665" s="15">
        <f>IF(X665="","",W665&amp;" · "&amp;TEXT(X665,"ddd d mmm, hh:mm")&amp;" · "&amp;Y665&amp;IF(Z665&lt;&gt;""," · £"&amp;TEXT(Z665,"0.00")&amp;" per player"," · price TBC (cost £"&amp;TEXT(V665,"0.00")&amp;" pp)"))</f>
        <v/>
      </c>
      <c r="AD665" s="44" t="n"/>
    </row>
    <row r="666">
      <c r="A666" s="13" t="n">
        <v>664</v>
      </c>
      <c r="B666" s="13" t="inlineStr">
        <is>
          <t>3 · E1 Whitechapel</t>
        </is>
      </c>
      <c r="C666" s="13" t="inlineStr">
        <is>
          <t>Office &amp; professional</t>
        </is>
      </c>
      <c r="D666" s="13" t="inlineStr">
        <is>
          <t>Corporate</t>
        </is>
      </c>
      <c r="E666" s="13" t="inlineStr">
        <is>
          <t>Hutchins Law</t>
        </is>
      </c>
      <c r="F666" s="13" t="inlineStr">
        <is>
          <t>lawyer</t>
        </is>
      </c>
      <c r="G666" s="13" t="inlineStr">
        <is>
          <t>info@hutchinslaw.co.uk</t>
        </is>
      </c>
      <c r="H666" s="13" t="inlineStr">
        <is>
          <t>general</t>
        </is>
      </c>
      <c r="I666" s="13" t="inlineStr">
        <is>
          <t>+44 20 8986 3911</t>
        </is>
      </c>
      <c r="J666" s="14" t="inlineStr">
        <is>
          <t>http://hutchinslaw.co.uk/</t>
        </is>
      </c>
      <c r="K666" s="13" t="inlineStr">
        <is>
          <t>16 Prescot St, London E1 8AZ, UK</t>
        </is>
      </c>
      <c r="L666" s="13" t="inlineStr">
        <is>
          <t>E1 8AZ</t>
        </is>
      </c>
      <c r="M666" s="13" t="inlineStr">
        <is>
          <t>Whitechapel</t>
        </is>
      </c>
      <c r="N666" s="13" t="n">
        <v>13</v>
      </c>
      <c r="O666" s="15">
        <f>IFERROR(INDEX(Venues!$C$2:$C$10,MATCH(M666,Venues!$A$2:$A$10,0)),"Not checked")</f>
        <v/>
      </c>
      <c r="P666" s="15">
        <f>IFERROR(INDEX(Venues!$D$2:$D$10,MATCH(M666,Venues!$A$2:$A$10,0)),0)</f>
        <v/>
      </c>
      <c r="Q666" s="42">
        <f>IFERROR(INDEX(Venues!$E$2:$E$10,MATCH(M666,Venues!$A$2:$A$10,0)),"")</f>
        <v/>
      </c>
      <c r="R666" s="15">
        <f>IF(P666&gt;0,"Yes","No")</f>
        <v/>
      </c>
      <c r="S666" s="13" t="inlineStr">
        <is>
          <t>COLA Shoreditch Park</t>
        </is>
      </c>
      <c r="T666" s="42">
        <f>IFERROR(INDEX(Venues!$E$2:$E$10,MATCH(S666,Venues!$A$2:$A$10,0)),"")</f>
        <v/>
      </c>
      <c r="U666" s="15">
        <f>IFERROR(INDEX(Venues!$F$2:$F$10,MATCH(S666,Venues!$A$2:$A$10,0)),"")</f>
        <v/>
      </c>
      <c r="V666" s="43">
        <f>IFERROR(INDEX(Venues!$H$2:$H$10,MATCH(S666,Venues!$A$2:$A$10,0)),"")</f>
        <v/>
      </c>
      <c r="W666" s="15">
        <f>IF('Pilot offer'!$C$24="Yes",'Pilot offer'!$C$3,S666)</f>
        <v/>
      </c>
      <c r="X666" s="42">
        <f>IF('Pilot offer'!$C$24="Yes",'Pilot offer'!$C$5+'Pilot offer'!$C$6,T666)</f>
        <v/>
      </c>
      <c r="Y666" s="15">
        <f>IF('Pilot offer'!$C$24="Yes",'Pilot offer'!$C$8,U666)</f>
        <v/>
      </c>
      <c r="Z666" s="43">
        <f>IF('Pilot offer'!$C$24="Yes",'Pilot offer'!$C$11,"")</f>
        <v/>
      </c>
      <c r="AA666" s="15">
        <f>IF(X666="","",W666&amp;" · "&amp;TEXT(X666,"ddd d mmm, hh:mm")&amp;" · "&amp;Y666&amp;IF(Z666&lt;&gt;""," · £"&amp;TEXT(Z666,"0.00")&amp;" per player"," · price TBC (cost £"&amp;TEXT(V666,"0.00")&amp;" pp)"))</f>
        <v/>
      </c>
      <c r="AD666" s="44" t="n"/>
    </row>
    <row r="667">
      <c r="A667" s="13" t="n">
        <v>665</v>
      </c>
      <c r="B667" s="13" t="inlineStr">
        <is>
          <t>3 · E1 Whitechapel</t>
        </is>
      </c>
      <c r="C667" s="13" t="inlineStr">
        <is>
          <t>Office &amp; professional</t>
        </is>
      </c>
      <c r="D667" s="13" t="inlineStr">
        <is>
          <t>Corporate</t>
        </is>
      </c>
      <c r="E667" s="13" t="inlineStr">
        <is>
          <t>Brandsmiths</t>
        </is>
      </c>
      <c r="F667" s="13" t="inlineStr">
        <is>
          <t>consultant</t>
        </is>
      </c>
      <c r="G667" s="13" t="inlineStr">
        <is>
          <t>info@brandsmiths.co.uk</t>
        </is>
      </c>
      <c r="H667" s="13" t="inlineStr">
        <is>
          <t>general</t>
        </is>
      </c>
      <c r="I667" s="13" t="inlineStr">
        <is>
          <t>+44 20 3709 8957</t>
        </is>
      </c>
      <c r="J667" s="14" t="inlineStr">
        <is>
          <t>https://brandsmiths.co.uk/</t>
        </is>
      </c>
      <c r="K667" s="13" t="inlineStr">
        <is>
          <t>Old Pump House, 19 Hooper St, London E1 8BU, UK</t>
        </is>
      </c>
      <c r="L667" s="13" t="inlineStr">
        <is>
          <t>E1 8BU</t>
        </is>
      </c>
      <c r="M667" s="13" t="inlineStr">
        <is>
          <t>Whitechapel</t>
        </is>
      </c>
      <c r="N667" s="13" t="n">
        <v>11</v>
      </c>
      <c r="O667" s="15">
        <f>IFERROR(INDEX(Venues!$C$2:$C$10,MATCH(M667,Venues!$A$2:$A$10,0)),"Not checked")</f>
        <v/>
      </c>
      <c r="P667" s="15">
        <f>IFERROR(INDEX(Venues!$D$2:$D$10,MATCH(M667,Venues!$A$2:$A$10,0)),0)</f>
        <v/>
      </c>
      <c r="Q667" s="42">
        <f>IFERROR(INDEX(Venues!$E$2:$E$10,MATCH(M667,Venues!$A$2:$A$10,0)),"")</f>
        <v/>
      </c>
      <c r="R667" s="15">
        <f>IF(P667&gt;0,"Yes","No")</f>
        <v/>
      </c>
      <c r="S667" s="13" t="inlineStr">
        <is>
          <t>COLA Shoreditch Park</t>
        </is>
      </c>
      <c r="T667" s="42">
        <f>IFERROR(INDEX(Venues!$E$2:$E$10,MATCH(S667,Venues!$A$2:$A$10,0)),"")</f>
        <v/>
      </c>
      <c r="U667" s="15">
        <f>IFERROR(INDEX(Venues!$F$2:$F$10,MATCH(S667,Venues!$A$2:$A$10,0)),"")</f>
        <v/>
      </c>
      <c r="V667" s="43">
        <f>IFERROR(INDEX(Venues!$H$2:$H$10,MATCH(S667,Venues!$A$2:$A$10,0)),"")</f>
        <v/>
      </c>
      <c r="W667" s="15">
        <f>IF('Pilot offer'!$C$24="Yes",'Pilot offer'!$C$3,S667)</f>
        <v/>
      </c>
      <c r="X667" s="42">
        <f>IF('Pilot offer'!$C$24="Yes",'Pilot offer'!$C$5+'Pilot offer'!$C$6,T667)</f>
        <v/>
      </c>
      <c r="Y667" s="15">
        <f>IF('Pilot offer'!$C$24="Yes",'Pilot offer'!$C$8,U667)</f>
        <v/>
      </c>
      <c r="Z667" s="43">
        <f>IF('Pilot offer'!$C$24="Yes",'Pilot offer'!$C$11,"")</f>
        <v/>
      </c>
      <c r="AA667" s="15">
        <f>IF(X667="","",W667&amp;" · "&amp;TEXT(X667,"ddd d mmm, hh:mm")&amp;" · "&amp;Y667&amp;IF(Z667&lt;&gt;""," · £"&amp;TEXT(Z667,"0.00")&amp;" per player"," · price TBC (cost £"&amp;TEXT(V667,"0.00")&amp;" pp)"))</f>
        <v/>
      </c>
      <c r="AD667" s="44" t="n"/>
    </row>
    <row r="668">
      <c r="A668" s="13" t="n">
        <v>666</v>
      </c>
      <c r="B668" s="13" t="inlineStr">
        <is>
          <t>3 · E1 Whitechapel</t>
        </is>
      </c>
      <c r="C668" s="13" t="inlineStr">
        <is>
          <t>Office &amp; professional</t>
        </is>
      </c>
      <c r="D668" s="13" t="inlineStr">
        <is>
          <t>Corporate</t>
        </is>
      </c>
      <c r="E668" s="13" t="inlineStr">
        <is>
          <t>Samsara Networks Limited</t>
        </is>
      </c>
      <c r="F668" s="13" t="inlineStr">
        <is>
          <t>service</t>
        </is>
      </c>
      <c r="G668" s="13" t="inlineStr">
        <is>
          <t>sales@samsara.com</t>
        </is>
      </c>
      <c r="H668" s="13" t="inlineStr">
        <is>
          <t>commercial</t>
        </is>
      </c>
      <c r="I668" s="13" t="inlineStr">
        <is>
          <t>+44 20 3965 2700</t>
        </is>
      </c>
      <c r="J668" s="14" t="inlineStr">
        <is>
          <t>https://www.samsara.com/uk</t>
        </is>
      </c>
      <c r="K668" s="13" t="inlineStr">
        <is>
          <t>1 Alie St, London E1 8DE, UK</t>
        </is>
      </c>
      <c r="L668" s="13" t="inlineStr">
        <is>
          <t>E1 8DE</t>
        </is>
      </c>
      <c r="M668" s="13" t="inlineStr">
        <is>
          <t>Whitechapel</t>
        </is>
      </c>
      <c r="N668" s="13" t="n">
        <v>15</v>
      </c>
      <c r="O668" s="15">
        <f>IFERROR(INDEX(Venues!$C$2:$C$10,MATCH(M668,Venues!$A$2:$A$10,0)),"Not checked")</f>
        <v/>
      </c>
      <c r="P668" s="15">
        <f>IFERROR(INDEX(Venues!$D$2:$D$10,MATCH(M668,Venues!$A$2:$A$10,0)),0)</f>
        <v/>
      </c>
      <c r="Q668" s="42">
        <f>IFERROR(INDEX(Venues!$E$2:$E$10,MATCH(M668,Venues!$A$2:$A$10,0)),"")</f>
        <v/>
      </c>
      <c r="R668" s="15">
        <f>IF(P668&gt;0,"Yes","No")</f>
        <v/>
      </c>
      <c r="S668" s="13" t="inlineStr">
        <is>
          <t>COLA Shoreditch Park</t>
        </is>
      </c>
      <c r="T668" s="42">
        <f>IFERROR(INDEX(Venues!$E$2:$E$10,MATCH(S668,Venues!$A$2:$A$10,0)),"")</f>
        <v/>
      </c>
      <c r="U668" s="15">
        <f>IFERROR(INDEX(Venues!$F$2:$F$10,MATCH(S668,Venues!$A$2:$A$10,0)),"")</f>
        <v/>
      </c>
      <c r="V668" s="43">
        <f>IFERROR(INDEX(Venues!$H$2:$H$10,MATCH(S668,Venues!$A$2:$A$10,0)),"")</f>
        <v/>
      </c>
      <c r="W668" s="15">
        <f>IF('Pilot offer'!$C$24="Yes",'Pilot offer'!$C$3,S668)</f>
        <v/>
      </c>
      <c r="X668" s="42">
        <f>IF('Pilot offer'!$C$24="Yes",'Pilot offer'!$C$5+'Pilot offer'!$C$6,T668)</f>
        <v/>
      </c>
      <c r="Y668" s="15">
        <f>IF('Pilot offer'!$C$24="Yes",'Pilot offer'!$C$8,U668)</f>
        <v/>
      </c>
      <c r="Z668" s="43">
        <f>IF('Pilot offer'!$C$24="Yes",'Pilot offer'!$C$11,"")</f>
        <v/>
      </c>
      <c r="AA668" s="15">
        <f>IF(X668="","",W668&amp;" · "&amp;TEXT(X668,"ddd d mmm, hh:mm")&amp;" · "&amp;Y668&amp;IF(Z668&lt;&gt;""," · £"&amp;TEXT(Z668,"0.00")&amp;" per player"," · price TBC (cost £"&amp;TEXT(V668,"0.00")&amp;" pp)"))</f>
        <v/>
      </c>
      <c r="AD668" s="44" t="n"/>
    </row>
    <row r="669">
      <c r="A669" s="13" t="n">
        <v>667</v>
      </c>
      <c r="B669" s="13" t="inlineStr">
        <is>
          <t>3 · E1 Whitechapel</t>
        </is>
      </c>
      <c r="C669" s="13" t="inlineStr">
        <is>
          <t>Office &amp; professional</t>
        </is>
      </c>
      <c r="D669" s="13" t="inlineStr">
        <is>
          <t>Corporate</t>
        </is>
      </c>
      <c r="E669" s="13" t="inlineStr">
        <is>
          <t>Invoka Consulting Limited</t>
        </is>
      </c>
      <c r="F669" s="13" t="inlineStr">
        <is>
          <t>service</t>
        </is>
      </c>
      <c r="G669" s="13" t="inlineStr">
        <is>
          <t>contactus@invokaconsulting.com</t>
        </is>
      </c>
      <c r="H669" s="13" t="inlineStr">
        <is>
          <t>general</t>
        </is>
      </c>
      <c r="I669" s="13" t="inlineStr">
        <is>
          <t>+44 20 4634 7105</t>
        </is>
      </c>
      <c r="J669" s="14" t="inlineStr">
        <is>
          <t>http://invokaconsulting.com/</t>
        </is>
      </c>
      <c r="K669" s="13" t="inlineStr">
        <is>
          <t>Albion Mills, 18 E Tenter St, London E1 8DN, UK</t>
        </is>
      </c>
      <c r="L669" s="13" t="inlineStr">
        <is>
          <t>E1 8DN</t>
        </is>
      </c>
      <c r="M669" s="13" t="inlineStr">
        <is>
          <t>Whitechapel</t>
        </is>
      </c>
      <c r="N669" s="13" t="n">
        <v>13</v>
      </c>
      <c r="O669" s="15">
        <f>IFERROR(INDEX(Venues!$C$2:$C$10,MATCH(M669,Venues!$A$2:$A$10,0)),"Not checked")</f>
        <v/>
      </c>
      <c r="P669" s="15">
        <f>IFERROR(INDEX(Venues!$D$2:$D$10,MATCH(M669,Venues!$A$2:$A$10,0)),0)</f>
        <v/>
      </c>
      <c r="Q669" s="42">
        <f>IFERROR(INDEX(Venues!$E$2:$E$10,MATCH(M669,Venues!$A$2:$A$10,0)),"")</f>
        <v/>
      </c>
      <c r="R669" s="15">
        <f>IF(P669&gt;0,"Yes","No")</f>
        <v/>
      </c>
      <c r="S669" s="13" t="inlineStr">
        <is>
          <t>COLA Shoreditch Park</t>
        </is>
      </c>
      <c r="T669" s="42">
        <f>IFERROR(INDEX(Venues!$E$2:$E$10,MATCH(S669,Venues!$A$2:$A$10,0)),"")</f>
        <v/>
      </c>
      <c r="U669" s="15">
        <f>IFERROR(INDEX(Venues!$F$2:$F$10,MATCH(S669,Venues!$A$2:$A$10,0)),"")</f>
        <v/>
      </c>
      <c r="V669" s="43">
        <f>IFERROR(INDEX(Venues!$H$2:$H$10,MATCH(S669,Venues!$A$2:$A$10,0)),"")</f>
        <v/>
      </c>
      <c r="W669" s="15">
        <f>IF('Pilot offer'!$C$24="Yes",'Pilot offer'!$C$3,S669)</f>
        <v/>
      </c>
      <c r="X669" s="42">
        <f>IF('Pilot offer'!$C$24="Yes",'Pilot offer'!$C$5+'Pilot offer'!$C$6,T669)</f>
        <v/>
      </c>
      <c r="Y669" s="15">
        <f>IF('Pilot offer'!$C$24="Yes",'Pilot offer'!$C$8,U669)</f>
        <v/>
      </c>
      <c r="Z669" s="43">
        <f>IF('Pilot offer'!$C$24="Yes",'Pilot offer'!$C$11,"")</f>
        <v/>
      </c>
      <c r="AA669" s="15">
        <f>IF(X669="","",W669&amp;" · "&amp;TEXT(X669,"ddd d mmm, hh:mm")&amp;" · "&amp;Y669&amp;IF(Z669&lt;&gt;""," · £"&amp;TEXT(Z669,"0.00")&amp;" per player"," · price TBC (cost £"&amp;TEXT(V669,"0.00")&amp;" pp)"))</f>
        <v/>
      </c>
      <c r="AD669" s="44" t="n"/>
    </row>
    <row r="670">
      <c r="A670" s="13" t="n">
        <v>668</v>
      </c>
      <c r="B670" s="13" t="inlineStr">
        <is>
          <t>3 · E1 Whitechapel</t>
        </is>
      </c>
      <c r="C670" s="13" t="inlineStr">
        <is>
          <t>Office &amp; professional</t>
        </is>
      </c>
      <c r="D670" s="13" t="inlineStr">
        <is>
          <t>Corporate</t>
        </is>
      </c>
      <c r="E670" s="13" t="inlineStr">
        <is>
          <t>Laka Bicycle Insurance</t>
        </is>
      </c>
      <c r="F670" s="13" t="inlineStr">
        <is>
          <t>company</t>
        </is>
      </c>
      <c r="G670" s="13" t="inlineStr">
        <is>
          <t>hello@laka.co</t>
        </is>
      </c>
      <c r="H670" s="13" t="inlineStr">
        <is>
          <t>general</t>
        </is>
      </c>
      <c r="I670" s="13" t="n"/>
      <c r="J670" s="14" t="inlineStr">
        <is>
          <t>https://laka.co/</t>
        </is>
      </c>
      <c r="K670" s="13" t="inlineStr">
        <is>
          <t>7 East Tenter Street, London</t>
        </is>
      </c>
      <c r="L670" s="13" t="inlineStr">
        <is>
          <t>E1 8DN</t>
        </is>
      </c>
      <c r="M670" s="13" t="inlineStr">
        <is>
          <t>Whitechapel</t>
        </is>
      </c>
      <c r="N670" s="13" t="n">
        <v>13</v>
      </c>
      <c r="O670" s="15">
        <f>IFERROR(INDEX(Venues!$C$2:$C$10,MATCH(M670,Venues!$A$2:$A$10,0)),"Not checked")</f>
        <v/>
      </c>
      <c r="P670" s="15">
        <f>IFERROR(INDEX(Venues!$D$2:$D$10,MATCH(M670,Venues!$A$2:$A$10,0)),0)</f>
        <v/>
      </c>
      <c r="Q670" s="42">
        <f>IFERROR(INDEX(Venues!$E$2:$E$10,MATCH(M670,Venues!$A$2:$A$10,0)),"")</f>
        <v/>
      </c>
      <c r="R670" s="15">
        <f>IF(P670&gt;0,"Yes","No")</f>
        <v/>
      </c>
      <c r="S670" s="13" t="inlineStr">
        <is>
          <t>COLA Shoreditch Park</t>
        </is>
      </c>
      <c r="T670" s="42">
        <f>IFERROR(INDEX(Venues!$E$2:$E$10,MATCH(S670,Venues!$A$2:$A$10,0)),"")</f>
        <v/>
      </c>
      <c r="U670" s="15">
        <f>IFERROR(INDEX(Venues!$F$2:$F$10,MATCH(S670,Venues!$A$2:$A$10,0)),"")</f>
        <v/>
      </c>
      <c r="V670" s="43">
        <f>IFERROR(INDEX(Venues!$H$2:$H$10,MATCH(S670,Venues!$A$2:$A$10,0)),"")</f>
        <v/>
      </c>
      <c r="W670" s="15">
        <f>IF('Pilot offer'!$C$24="Yes",'Pilot offer'!$C$3,S670)</f>
        <v/>
      </c>
      <c r="X670" s="42">
        <f>IF('Pilot offer'!$C$24="Yes",'Pilot offer'!$C$5+'Pilot offer'!$C$6,T670)</f>
        <v/>
      </c>
      <c r="Y670" s="15">
        <f>IF('Pilot offer'!$C$24="Yes",'Pilot offer'!$C$8,U670)</f>
        <v/>
      </c>
      <c r="Z670" s="43">
        <f>IF('Pilot offer'!$C$24="Yes",'Pilot offer'!$C$11,"")</f>
        <v/>
      </c>
      <c r="AA670" s="15">
        <f>IF(X670="","",W670&amp;" · "&amp;TEXT(X670,"ddd d mmm, hh:mm")&amp;" · "&amp;Y670&amp;IF(Z670&lt;&gt;""," · £"&amp;TEXT(Z670,"0.00")&amp;" per player"," · price TBC (cost £"&amp;TEXT(V670,"0.00")&amp;" pp)"))</f>
        <v/>
      </c>
      <c r="AD670" s="44" t="n"/>
    </row>
    <row r="671">
      <c r="A671" s="13" t="n">
        <v>669</v>
      </c>
      <c r="B671" s="13" t="inlineStr">
        <is>
          <t>3 · E1 Whitechapel</t>
        </is>
      </c>
      <c r="C671" s="13" t="inlineStr">
        <is>
          <t>Office &amp; professional</t>
        </is>
      </c>
      <c r="D671" s="13" t="inlineStr">
        <is>
          <t>Corporate</t>
        </is>
      </c>
      <c r="E671" s="13" t="inlineStr">
        <is>
          <t>Hurford Salvi Carr</t>
        </is>
      </c>
      <c r="F671" s="13" t="inlineStr">
        <is>
          <t>estate_agent</t>
        </is>
      </c>
      <c r="G671" s="13" t="inlineStr">
        <is>
          <t>aldgate@h-s-c.co.uk</t>
        </is>
      </c>
      <c r="H671" s="13" t="inlineStr">
        <is>
          <t>openstreetmap_tag</t>
        </is>
      </c>
      <c r="I671" s="13" t="inlineStr">
        <is>
          <t>+44 20 7680 1888</t>
        </is>
      </c>
      <c r="J671" s="14" t="inlineStr">
        <is>
          <t>https://www.hurford-salvi-carr.co.uk/</t>
        </is>
      </c>
      <c r="K671" s="13" t="inlineStr">
        <is>
          <t>61 Alie Street, London</t>
        </is>
      </c>
      <c r="L671" s="13" t="inlineStr">
        <is>
          <t>E1 8EB</t>
        </is>
      </c>
      <c r="M671" s="13" t="inlineStr">
        <is>
          <t>Whitechapel</t>
        </is>
      </c>
      <c r="N671" s="13" t="n">
        <v>12</v>
      </c>
      <c r="O671" s="15">
        <f>IFERROR(INDEX(Venues!$C$2:$C$10,MATCH(M671,Venues!$A$2:$A$10,0)),"Not checked")</f>
        <v/>
      </c>
      <c r="P671" s="15">
        <f>IFERROR(INDEX(Venues!$D$2:$D$10,MATCH(M671,Venues!$A$2:$A$10,0)),0)</f>
        <v/>
      </c>
      <c r="Q671" s="42">
        <f>IFERROR(INDEX(Venues!$E$2:$E$10,MATCH(M671,Venues!$A$2:$A$10,0)),"")</f>
        <v/>
      </c>
      <c r="R671" s="15">
        <f>IF(P671&gt;0,"Yes","No")</f>
        <v/>
      </c>
      <c r="S671" s="13" t="inlineStr">
        <is>
          <t>COLA Shoreditch Park</t>
        </is>
      </c>
      <c r="T671" s="42">
        <f>IFERROR(INDEX(Venues!$E$2:$E$10,MATCH(S671,Venues!$A$2:$A$10,0)),"")</f>
        <v/>
      </c>
      <c r="U671" s="15">
        <f>IFERROR(INDEX(Venues!$F$2:$F$10,MATCH(S671,Venues!$A$2:$A$10,0)),"")</f>
        <v/>
      </c>
      <c r="V671" s="43">
        <f>IFERROR(INDEX(Venues!$H$2:$H$10,MATCH(S671,Venues!$A$2:$A$10,0)),"")</f>
        <v/>
      </c>
      <c r="W671" s="15">
        <f>IF('Pilot offer'!$C$24="Yes",'Pilot offer'!$C$3,S671)</f>
        <v/>
      </c>
      <c r="X671" s="42">
        <f>IF('Pilot offer'!$C$24="Yes",'Pilot offer'!$C$5+'Pilot offer'!$C$6,T671)</f>
        <v/>
      </c>
      <c r="Y671" s="15">
        <f>IF('Pilot offer'!$C$24="Yes",'Pilot offer'!$C$8,U671)</f>
        <v/>
      </c>
      <c r="Z671" s="43">
        <f>IF('Pilot offer'!$C$24="Yes",'Pilot offer'!$C$11,"")</f>
        <v/>
      </c>
      <c r="AA671" s="15">
        <f>IF(X671="","",W671&amp;" · "&amp;TEXT(X671,"ddd d mmm, hh:mm")&amp;" · "&amp;Y671&amp;IF(Z671&lt;&gt;""," · £"&amp;TEXT(Z671,"0.00")&amp;" per player"," · price TBC (cost £"&amp;TEXT(V671,"0.00")&amp;" pp)"))</f>
        <v/>
      </c>
      <c r="AD671" s="44" t="n"/>
    </row>
    <row r="672">
      <c r="A672" s="13" t="n">
        <v>670</v>
      </c>
      <c r="B672" s="13" t="inlineStr">
        <is>
          <t>3 · E1 Whitechapel</t>
        </is>
      </c>
      <c r="C672" s="13" t="inlineStr">
        <is>
          <t>Hospitality</t>
        </is>
      </c>
      <c r="D672" s="13" t="inlineStr">
        <is>
          <t>Local businesses</t>
        </is>
      </c>
      <c r="E672" s="13" t="inlineStr">
        <is>
          <t>Hotto Potto</t>
        </is>
      </c>
      <c r="F672" s="13" t="inlineStr">
        <is>
          <t>amenity: restaurant</t>
        </is>
      </c>
      <c r="G672" s="13" t="inlineStr">
        <is>
          <t>info@hottopotto.co.uk</t>
        </is>
      </c>
      <c r="H672" s="13" t="inlineStr">
        <is>
          <t>general</t>
        </is>
      </c>
      <c r="I672" s="13" t="inlineStr">
        <is>
          <t>+44 20 7553 0188</t>
        </is>
      </c>
      <c r="J672" s="14" t="inlineStr">
        <is>
          <t>https://hottopotto.co.uk/</t>
        </is>
      </c>
      <c r="K672" s="13" t="inlineStr">
        <is>
          <t>Leman Street 17, London</t>
        </is>
      </c>
      <c r="L672" s="13" t="inlineStr">
        <is>
          <t>E1 8EJ</t>
        </is>
      </c>
      <c r="M672" s="13" t="inlineStr">
        <is>
          <t>Whitechapel</t>
        </is>
      </c>
      <c r="N672" s="13" t="n">
        <v>13</v>
      </c>
      <c r="O672" s="15">
        <f>IFERROR(INDEX(Venues!$C$2:$C$10,MATCH(M672,Venues!$A$2:$A$10,0)),"Not checked")</f>
        <v/>
      </c>
      <c r="P672" s="15">
        <f>IFERROR(INDEX(Venues!$D$2:$D$10,MATCH(M672,Venues!$A$2:$A$10,0)),0)</f>
        <v/>
      </c>
      <c r="Q672" s="42">
        <f>IFERROR(INDEX(Venues!$E$2:$E$10,MATCH(M672,Venues!$A$2:$A$10,0)),"")</f>
        <v/>
      </c>
      <c r="R672" s="15">
        <f>IF(P672&gt;0,"Yes","No")</f>
        <v/>
      </c>
      <c r="S672" s="13" t="inlineStr">
        <is>
          <t>COLA Shoreditch Park</t>
        </is>
      </c>
      <c r="T672" s="42">
        <f>IFERROR(INDEX(Venues!$E$2:$E$10,MATCH(S672,Venues!$A$2:$A$10,0)),"")</f>
        <v/>
      </c>
      <c r="U672" s="15">
        <f>IFERROR(INDEX(Venues!$F$2:$F$10,MATCH(S672,Venues!$A$2:$A$10,0)),"")</f>
        <v/>
      </c>
      <c r="V672" s="43">
        <f>IFERROR(INDEX(Venues!$H$2:$H$10,MATCH(S672,Venues!$A$2:$A$10,0)),"")</f>
        <v/>
      </c>
      <c r="W672" s="15">
        <f>IF('Pilot offer'!$C$24="Yes",'Pilot offer'!$C$3,S672)</f>
        <v/>
      </c>
      <c r="X672" s="42">
        <f>IF('Pilot offer'!$C$24="Yes",'Pilot offer'!$C$5+'Pilot offer'!$C$6,T672)</f>
        <v/>
      </c>
      <c r="Y672" s="15">
        <f>IF('Pilot offer'!$C$24="Yes",'Pilot offer'!$C$8,U672)</f>
        <v/>
      </c>
      <c r="Z672" s="43">
        <f>IF('Pilot offer'!$C$24="Yes",'Pilot offer'!$C$11,"")</f>
        <v/>
      </c>
      <c r="AA672" s="15">
        <f>IF(X672="","",W672&amp;" · "&amp;TEXT(X672,"ddd d mmm, hh:mm")&amp;" · "&amp;Y672&amp;IF(Z672&lt;&gt;""," · £"&amp;TEXT(Z672,"0.00")&amp;" per player"," · price TBC (cost £"&amp;TEXT(V672,"0.00")&amp;" pp)"))</f>
        <v/>
      </c>
      <c r="AD672" s="44" t="n"/>
    </row>
    <row r="673">
      <c r="A673" s="13" t="n">
        <v>671</v>
      </c>
      <c r="B673" s="13" t="inlineStr">
        <is>
          <t>3 · E1 Whitechapel</t>
        </is>
      </c>
      <c r="C673" s="13" t="inlineStr">
        <is>
          <t>Hospitality</t>
        </is>
      </c>
      <c r="D673" s="13" t="inlineStr">
        <is>
          <t>Local businesses</t>
        </is>
      </c>
      <c r="E673" s="13" t="inlineStr">
        <is>
          <t>Frequency Coffee Aldgate</t>
        </is>
      </c>
      <c r="F673" s="13" t="inlineStr">
        <is>
          <t>amenity: cafe</t>
        </is>
      </c>
      <c r="G673" s="13" t="inlineStr">
        <is>
          <t>info@frequencycoffee.com</t>
        </is>
      </c>
      <c r="H673" s="13" t="inlineStr">
        <is>
          <t>general</t>
        </is>
      </c>
      <c r="I673" s="13" t="n"/>
      <c r="J673" s="14" t="inlineStr">
        <is>
          <t>https://frequencycoffee.com/</t>
        </is>
      </c>
      <c r="K673" s="13" t="inlineStr">
        <is>
          <t>Leman Street 15, London</t>
        </is>
      </c>
      <c r="L673" s="13" t="inlineStr">
        <is>
          <t>E1 8EN</t>
        </is>
      </c>
      <c r="M673" s="13" t="inlineStr">
        <is>
          <t>Whitechapel</t>
        </is>
      </c>
      <c r="N673" s="13" t="n">
        <v>13</v>
      </c>
      <c r="O673" s="15">
        <f>IFERROR(INDEX(Venues!$C$2:$C$10,MATCH(M673,Venues!$A$2:$A$10,0)),"Not checked")</f>
        <v/>
      </c>
      <c r="P673" s="15">
        <f>IFERROR(INDEX(Venues!$D$2:$D$10,MATCH(M673,Venues!$A$2:$A$10,0)),0)</f>
        <v/>
      </c>
      <c r="Q673" s="42">
        <f>IFERROR(INDEX(Venues!$E$2:$E$10,MATCH(M673,Venues!$A$2:$A$10,0)),"")</f>
        <v/>
      </c>
      <c r="R673" s="15">
        <f>IF(P673&gt;0,"Yes","No")</f>
        <v/>
      </c>
      <c r="S673" s="13" t="inlineStr">
        <is>
          <t>COLA Shoreditch Park</t>
        </is>
      </c>
      <c r="T673" s="42">
        <f>IFERROR(INDEX(Venues!$E$2:$E$10,MATCH(S673,Venues!$A$2:$A$10,0)),"")</f>
        <v/>
      </c>
      <c r="U673" s="15">
        <f>IFERROR(INDEX(Venues!$F$2:$F$10,MATCH(S673,Venues!$A$2:$A$10,0)),"")</f>
        <v/>
      </c>
      <c r="V673" s="43">
        <f>IFERROR(INDEX(Venues!$H$2:$H$10,MATCH(S673,Venues!$A$2:$A$10,0)),"")</f>
        <v/>
      </c>
      <c r="W673" s="15">
        <f>IF('Pilot offer'!$C$24="Yes",'Pilot offer'!$C$3,S673)</f>
        <v/>
      </c>
      <c r="X673" s="42">
        <f>IF('Pilot offer'!$C$24="Yes",'Pilot offer'!$C$5+'Pilot offer'!$C$6,T673)</f>
        <v/>
      </c>
      <c r="Y673" s="15">
        <f>IF('Pilot offer'!$C$24="Yes",'Pilot offer'!$C$8,U673)</f>
        <v/>
      </c>
      <c r="Z673" s="43">
        <f>IF('Pilot offer'!$C$24="Yes",'Pilot offer'!$C$11,"")</f>
        <v/>
      </c>
      <c r="AA673" s="15">
        <f>IF(X673="","",W673&amp;" · "&amp;TEXT(X673,"ddd d mmm, hh:mm")&amp;" · "&amp;Y673&amp;IF(Z673&lt;&gt;""," · £"&amp;TEXT(Z673,"0.00")&amp;" per player"," · price TBC (cost £"&amp;TEXT(V673,"0.00")&amp;" pp)"))</f>
        <v/>
      </c>
      <c r="AD673" s="44" t="n"/>
    </row>
    <row r="674">
      <c r="A674" s="13" t="n">
        <v>672</v>
      </c>
      <c r="B674" s="13" t="inlineStr">
        <is>
          <t>3 · E1 Whitechapel</t>
        </is>
      </c>
      <c r="C674" s="13" t="inlineStr">
        <is>
          <t>Hospitality</t>
        </is>
      </c>
      <c r="D674" s="13" t="inlineStr">
        <is>
          <t>Local businesses</t>
        </is>
      </c>
      <c r="E674" s="13" t="inlineStr">
        <is>
          <t>Leman Locke</t>
        </is>
      </c>
      <c r="F674" s="13" t="inlineStr">
        <is>
          <t>tourism: hotel</t>
        </is>
      </c>
      <c r="G674" s="13" t="inlineStr">
        <is>
          <t>lemanbookings@lockeliving.com</t>
        </is>
      </c>
      <c r="H674" s="13" t="inlineStr">
        <is>
          <t>openstreetmap_tag</t>
        </is>
      </c>
      <c r="I674" s="13" t="inlineStr">
        <is>
          <t>+44 20 3327 7140</t>
        </is>
      </c>
      <c r="J674" s="14" t="inlineStr">
        <is>
          <t>https://www.lockeliving.com/leman-locke/</t>
        </is>
      </c>
      <c r="K674" s="13" t="inlineStr">
        <is>
          <t>Leman Street 15, London</t>
        </is>
      </c>
      <c r="L674" s="13" t="inlineStr">
        <is>
          <t>E1 8EN</t>
        </is>
      </c>
      <c r="M674" s="13" t="inlineStr">
        <is>
          <t>Whitechapel</t>
        </is>
      </c>
      <c r="N674" s="13" t="n">
        <v>13</v>
      </c>
      <c r="O674" s="15">
        <f>IFERROR(INDEX(Venues!$C$2:$C$10,MATCH(M674,Venues!$A$2:$A$10,0)),"Not checked")</f>
        <v/>
      </c>
      <c r="P674" s="15">
        <f>IFERROR(INDEX(Venues!$D$2:$D$10,MATCH(M674,Venues!$A$2:$A$10,0)),0)</f>
        <v/>
      </c>
      <c r="Q674" s="42">
        <f>IFERROR(INDEX(Venues!$E$2:$E$10,MATCH(M674,Venues!$A$2:$A$10,0)),"")</f>
        <v/>
      </c>
      <c r="R674" s="15">
        <f>IF(P674&gt;0,"Yes","No")</f>
        <v/>
      </c>
      <c r="S674" s="13" t="inlineStr">
        <is>
          <t>COLA Shoreditch Park</t>
        </is>
      </c>
      <c r="T674" s="42">
        <f>IFERROR(INDEX(Venues!$E$2:$E$10,MATCH(S674,Venues!$A$2:$A$10,0)),"")</f>
        <v/>
      </c>
      <c r="U674" s="15">
        <f>IFERROR(INDEX(Venues!$F$2:$F$10,MATCH(S674,Venues!$A$2:$A$10,0)),"")</f>
        <v/>
      </c>
      <c r="V674" s="43">
        <f>IFERROR(INDEX(Venues!$H$2:$H$10,MATCH(S674,Venues!$A$2:$A$10,0)),"")</f>
        <v/>
      </c>
      <c r="W674" s="15">
        <f>IF('Pilot offer'!$C$24="Yes",'Pilot offer'!$C$3,S674)</f>
        <v/>
      </c>
      <c r="X674" s="42">
        <f>IF('Pilot offer'!$C$24="Yes",'Pilot offer'!$C$5+'Pilot offer'!$C$6,T674)</f>
        <v/>
      </c>
      <c r="Y674" s="15">
        <f>IF('Pilot offer'!$C$24="Yes",'Pilot offer'!$C$8,U674)</f>
        <v/>
      </c>
      <c r="Z674" s="43">
        <f>IF('Pilot offer'!$C$24="Yes",'Pilot offer'!$C$11,"")</f>
        <v/>
      </c>
      <c r="AA674" s="15">
        <f>IF(X674="","",W674&amp;" · "&amp;TEXT(X674,"ddd d mmm, hh:mm")&amp;" · "&amp;Y674&amp;IF(Z674&lt;&gt;""," · £"&amp;TEXT(Z674,"0.00")&amp;" per player"," · price TBC (cost £"&amp;TEXT(V674,"0.00")&amp;" pp)"))</f>
        <v/>
      </c>
      <c r="AD674" s="44" t="n"/>
    </row>
    <row r="675">
      <c r="A675" s="13" t="n">
        <v>673</v>
      </c>
      <c r="B675" s="13" t="inlineStr">
        <is>
          <t>3 · E1 Whitechapel</t>
        </is>
      </c>
      <c r="C675" s="13" t="inlineStr">
        <is>
          <t>Hospitality</t>
        </is>
      </c>
      <c r="D675" s="13" t="inlineStr">
        <is>
          <t>Local businesses</t>
        </is>
      </c>
      <c r="E675" s="13" t="inlineStr">
        <is>
          <t>The Dispensary</t>
        </is>
      </c>
      <c r="F675" s="13" t="inlineStr">
        <is>
          <t>amenity: pub</t>
        </is>
      </c>
      <c r="G675" s="13" t="inlineStr">
        <is>
          <t>chris@closeupchris.co.uk</t>
        </is>
      </c>
      <c r="H675" s="13" t="inlineStr">
        <is>
          <t>person_or_other</t>
        </is>
      </c>
      <c r="I675" s="13" t="inlineStr">
        <is>
          <t>+44 7966 509301</t>
        </is>
      </c>
      <c r="J675" s="14" t="inlineStr">
        <is>
          <t>https://www.thedispensarylondon.co.uk/</t>
        </is>
      </c>
      <c r="K675" s="13" t="inlineStr">
        <is>
          <t>Leman Street 19a, London</t>
        </is>
      </c>
      <c r="L675" s="13" t="inlineStr">
        <is>
          <t>E1 8EN</t>
        </is>
      </c>
      <c r="M675" s="13" t="inlineStr">
        <is>
          <t>Whitechapel</t>
        </is>
      </c>
      <c r="N675" s="13" t="n">
        <v>12</v>
      </c>
      <c r="O675" s="15">
        <f>IFERROR(INDEX(Venues!$C$2:$C$10,MATCH(M675,Venues!$A$2:$A$10,0)),"Not checked")</f>
        <v/>
      </c>
      <c r="P675" s="15">
        <f>IFERROR(INDEX(Venues!$D$2:$D$10,MATCH(M675,Venues!$A$2:$A$10,0)),0)</f>
        <v/>
      </c>
      <c r="Q675" s="42">
        <f>IFERROR(INDEX(Venues!$E$2:$E$10,MATCH(M675,Venues!$A$2:$A$10,0)),"")</f>
        <v/>
      </c>
      <c r="R675" s="15">
        <f>IF(P675&gt;0,"Yes","No")</f>
        <v/>
      </c>
      <c r="S675" s="13" t="inlineStr">
        <is>
          <t>COLA Shoreditch Park</t>
        </is>
      </c>
      <c r="T675" s="42">
        <f>IFERROR(INDEX(Venues!$E$2:$E$10,MATCH(S675,Venues!$A$2:$A$10,0)),"")</f>
        <v/>
      </c>
      <c r="U675" s="15">
        <f>IFERROR(INDEX(Venues!$F$2:$F$10,MATCH(S675,Venues!$A$2:$A$10,0)),"")</f>
        <v/>
      </c>
      <c r="V675" s="43">
        <f>IFERROR(INDEX(Venues!$H$2:$H$10,MATCH(S675,Venues!$A$2:$A$10,0)),"")</f>
        <v/>
      </c>
      <c r="W675" s="15">
        <f>IF('Pilot offer'!$C$24="Yes",'Pilot offer'!$C$3,S675)</f>
        <v/>
      </c>
      <c r="X675" s="42">
        <f>IF('Pilot offer'!$C$24="Yes",'Pilot offer'!$C$5+'Pilot offer'!$C$6,T675)</f>
        <v/>
      </c>
      <c r="Y675" s="15">
        <f>IF('Pilot offer'!$C$24="Yes",'Pilot offer'!$C$8,U675)</f>
        <v/>
      </c>
      <c r="Z675" s="43">
        <f>IF('Pilot offer'!$C$24="Yes",'Pilot offer'!$C$11,"")</f>
        <v/>
      </c>
      <c r="AA675" s="15">
        <f>IF(X675="","",W675&amp;" · "&amp;TEXT(X675,"ddd d mmm, hh:mm")&amp;" · "&amp;Y675&amp;IF(Z675&lt;&gt;""," · £"&amp;TEXT(Z675,"0.00")&amp;" per player"," · price TBC (cost £"&amp;TEXT(V675,"0.00")&amp;" pp)"))</f>
        <v/>
      </c>
      <c r="AD675" s="44" t="n"/>
    </row>
    <row r="676">
      <c r="A676" s="13" t="n">
        <v>674</v>
      </c>
      <c r="B676" s="13" t="inlineStr">
        <is>
          <t>3 · E1 Whitechapel</t>
        </is>
      </c>
      <c r="C676" s="13" t="inlineStr">
        <is>
          <t>Office &amp; professional</t>
        </is>
      </c>
      <c r="D676" s="13" t="inlineStr">
        <is>
          <t>Corporate</t>
        </is>
      </c>
      <c r="E676" s="13" t="inlineStr">
        <is>
          <t>Howlader &amp; Co Chartered Accountants</t>
        </is>
      </c>
      <c r="F676" s="13" t="inlineStr">
        <is>
          <t>finance</t>
        </is>
      </c>
      <c r="G676" s="13" t="inlineStr">
        <is>
          <t>info@howladerandco.com</t>
        </is>
      </c>
      <c r="H676" s="13" t="inlineStr">
        <is>
          <t>general</t>
        </is>
      </c>
      <c r="I676" s="13" t="inlineStr">
        <is>
          <t>+44 20 7488 3614</t>
        </is>
      </c>
      <c r="J676" s="14" t="inlineStr">
        <is>
          <t>https://howladerandco.com/</t>
        </is>
      </c>
      <c r="K676" s="13" t="inlineStr">
        <is>
          <t>Ste 1, 56 Leman St, London E1 8EU, UK</t>
        </is>
      </c>
      <c r="L676" s="13" t="inlineStr">
        <is>
          <t>E1 8EU</t>
        </is>
      </c>
      <c r="M676" s="13" t="inlineStr">
        <is>
          <t>Whitechapel</t>
        </is>
      </c>
      <c r="N676" s="13" t="n">
        <v>12</v>
      </c>
      <c r="O676" s="15">
        <f>IFERROR(INDEX(Venues!$C$2:$C$10,MATCH(M676,Venues!$A$2:$A$10,0)),"Not checked")</f>
        <v/>
      </c>
      <c r="P676" s="15">
        <f>IFERROR(INDEX(Venues!$D$2:$D$10,MATCH(M676,Venues!$A$2:$A$10,0)),0)</f>
        <v/>
      </c>
      <c r="Q676" s="42">
        <f>IFERROR(INDEX(Venues!$E$2:$E$10,MATCH(M676,Venues!$A$2:$A$10,0)),"")</f>
        <v/>
      </c>
      <c r="R676" s="15">
        <f>IF(P676&gt;0,"Yes","No")</f>
        <v/>
      </c>
      <c r="S676" s="13" t="inlineStr">
        <is>
          <t>COLA Shoreditch Park</t>
        </is>
      </c>
      <c r="T676" s="42">
        <f>IFERROR(INDEX(Venues!$E$2:$E$10,MATCH(S676,Venues!$A$2:$A$10,0)),"")</f>
        <v/>
      </c>
      <c r="U676" s="15">
        <f>IFERROR(INDEX(Venues!$F$2:$F$10,MATCH(S676,Venues!$A$2:$A$10,0)),"")</f>
        <v/>
      </c>
      <c r="V676" s="43">
        <f>IFERROR(INDEX(Venues!$H$2:$H$10,MATCH(S676,Venues!$A$2:$A$10,0)),"")</f>
        <v/>
      </c>
      <c r="W676" s="15">
        <f>IF('Pilot offer'!$C$24="Yes",'Pilot offer'!$C$3,S676)</f>
        <v/>
      </c>
      <c r="X676" s="42">
        <f>IF('Pilot offer'!$C$24="Yes",'Pilot offer'!$C$5+'Pilot offer'!$C$6,T676)</f>
        <v/>
      </c>
      <c r="Y676" s="15">
        <f>IF('Pilot offer'!$C$24="Yes",'Pilot offer'!$C$8,U676)</f>
        <v/>
      </c>
      <c r="Z676" s="43">
        <f>IF('Pilot offer'!$C$24="Yes",'Pilot offer'!$C$11,"")</f>
        <v/>
      </c>
      <c r="AA676" s="15">
        <f>IF(X676="","",W676&amp;" · "&amp;TEXT(X676,"ddd d mmm, hh:mm")&amp;" · "&amp;Y676&amp;IF(Z676&lt;&gt;""," · £"&amp;TEXT(Z676,"0.00")&amp;" per player"," · price TBC (cost £"&amp;TEXT(V676,"0.00")&amp;" pp)"))</f>
        <v/>
      </c>
      <c r="AD676" s="44" t="n"/>
    </row>
    <row r="677">
      <c r="A677" s="13" t="n">
        <v>675</v>
      </c>
      <c r="B677" s="13" t="inlineStr">
        <is>
          <t>3 · E1 Whitechapel</t>
        </is>
      </c>
      <c r="C677" s="13" t="inlineStr">
        <is>
          <t>Office &amp; professional</t>
        </is>
      </c>
      <c r="D677" s="13" t="inlineStr">
        <is>
          <t>Corporate</t>
        </is>
      </c>
      <c r="E677" s="13" t="inlineStr">
        <is>
          <t>Square Mile Insurance Services Ltd</t>
        </is>
      </c>
      <c r="F677" s="13" t="inlineStr">
        <is>
          <t>insurance_agency</t>
        </is>
      </c>
      <c r="G677" s="13" t="inlineStr">
        <is>
          <t>info@squaremileinsurance.com</t>
        </is>
      </c>
      <c r="H677" s="13" t="inlineStr">
        <is>
          <t>general</t>
        </is>
      </c>
      <c r="I677" s="13" t="inlineStr">
        <is>
          <t>+44 20 7481 4321</t>
        </is>
      </c>
      <c r="J677" s="14" t="inlineStr">
        <is>
          <t>https://squaremileinsurance.com/</t>
        </is>
      </c>
      <c r="K677" s="13" t="inlineStr">
        <is>
          <t>68 Leman St, London E1 8EU, UK</t>
        </is>
      </c>
      <c r="L677" s="13" t="inlineStr">
        <is>
          <t>E1 8EU</t>
        </is>
      </c>
      <c r="M677" s="13" t="inlineStr">
        <is>
          <t>Whitechapel</t>
        </is>
      </c>
      <c r="N677" s="13" t="n">
        <v>12</v>
      </c>
      <c r="O677" s="15">
        <f>IFERROR(INDEX(Venues!$C$2:$C$10,MATCH(M677,Venues!$A$2:$A$10,0)),"Not checked")</f>
        <v/>
      </c>
      <c r="P677" s="15">
        <f>IFERROR(INDEX(Venues!$D$2:$D$10,MATCH(M677,Venues!$A$2:$A$10,0)),0)</f>
        <v/>
      </c>
      <c r="Q677" s="42">
        <f>IFERROR(INDEX(Venues!$E$2:$E$10,MATCH(M677,Venues!$A$2:$A$10,0)),"")</f>
        <v/>
      </c>
      <c r="R677" s="15">
        <f>IF(P677&gt;0,"Yes","No")</f>
        <v/>
      </c>
      <c r="S677" s="13" t="inlineStr">
        <is>
          <t>COLA Shoreditch Park</t>
        </is>
      </c>
      <c r="T677" s="42">
        <f>IFERROR(INDEX(Venues!$E$2:$E$10,MATCH(S677,Venues!$A$2:$A$10,0)),"")</f>
        <v/>
      </c>
      <c r="U677" s="15">
        <f>IFERROR(INDEX(Venues!$F$2:$F$10,MATCH(S677,Venues!$A$2:$A$10,0)),"")</f>
        <v/>
      </c>
      <c r="V677" s="43">
        <f>IFERROR(INDEX(Venues!$H$2:$H$10,MATCH(S677,Venues!$A$2:$A$10,0)),"")</f>
        <v/>
      </c>
      <c r="W677" s="15">
        <f>IF('Pilot offer'!$C$24="Yes",'Pilot offer'!$C$3,S677)</f>
        <v/>
      </c>
      <c r="X677" s="42">
        <f>IF('Pilot offer'!$C$24="Yes",'Pilot offer'!$C$5+'Pilot offer'!$C$6,T677)</f>
        <v/>
      </c>
      <c r="Y677" s="15">
        <f>IF('Pilot offer'!$C$24="Yes",'Pilot offer'!$C$8,U677)</f>
        <v/>
      </c>
      <c r="Z677" s="43">
        <f>IF('Pilot offer'!$C$24="Yes",'Pilot offer'!$C$11,"")</f>
        <v/>
      </c>
      <c r="AA677" s="15">
        <f>IF(X677="","",W677&amp;" · "&amp;TEXT(X677,"ddd d mmm, hh:mm")&amp;" · "&amp;Y677&amp;IF(Z677&lt;&gt;""," · £"&amp;TEXT(Z677,"0.00")&amp;" per player"," · price TBC (cost £"&amp;TEXT(V677,"0.00")&amp;" pp)"))</f>
        <v/>
      </c>
      <c r="AD677" s="44" t="n"/>
    </row>
    <row r="678">
      <c r="A678" s="13" t="n">
        <v>676</v>
      </c>
      <c r="B678" s="13" t="inlineStr">
        <is>
          <t>3 · E1 Whitechapel</t>
        </is>
      </c>
      <c r="C678" s="13" t="inlineStr">
        <is>
          <t>Office &amp; professional</t>
        </is>
      </c>
      <c r="D678" s="13" t="inlineStr">
        <is>
          <t>Local businesses</t>
        </is>
      </c>
      <c r="E678" s="13" t="inlineStr">
        <is>
          <t>AECOM</t>
        </is>
      </c>
      <c r="F678" s="13" t="inlineStr">
        <is>
          <t>office: company</t>
        </is>
      </c>
      <c r="G678" s="13" t="inlineStr">
        <is>
          <t>media@aecom.com</t>
        </is>
      </c>
      <c r="H678" s="13" t="inlineStr">
        <is>
          <t>people_team</t>
        </is>
      </c>
      <c r="I678" s="13" t="n"/>
      <c r="J678" s="14" t="inlineStr">
        <is>
          <t>https://www.aecom.com/projects/aldgate-tower/</t>
        </is>
      </c>
      <c r="K678" s="13" t="inlineStr">
        <is>
          <t>Leman Street 2, London</t>
        </is>
      </c>
      <c r="L678" s="13" t="inlineStr">
        <is>
          <t>E1 8FA</t>
        </is>
      </c>
      <c r="M678" s="13" t="inlineStr">
        <is>
          <t>Whitechapel</t>
        </is>
      </c>
      <c r="N678" s="13" t="n">
        <v>14</v>
      </c>
      <c r="O678" s="15">
        <f>IFERROR(INDEX(Venues!$C$2:$C$10,MATCH(M678,Venues!$A$2:$A$10,0)),"Not checked")</f>
        <v/>
      </c>
      <c r="P678" s="15">
        <f>IFERROR(INDEX(Venues!$D$2:$D$10,MATCH(M678,Venues!$A$2:$A$10,0)),0)</f>
        <v/>
      </c>
      <c r="Q678" s="42">
        <f>IFERROR(INDEX(Venues!$E$2:$E$10,MATCH(M678,Venues!$A$2:$A$10,0)),"")</f>
        <v/>
      </c>
      <c r="R678" s="15">
        <f>IF(P678&gt;0,"Yes","No")</f>
        <v/>
      </c>
      <c r="S678" s="13" t="inlineStr">
        <is>
          <t>COLA Shoreditch Park</t>
        </is>
      </c>
      <c r="T678" s="42">
        <f>IFERROR(INDEX(Venues!$E$2:$E$10,MATCH(S678,Venues!$A$2:$A$10,0)),"")</f>
        <v/>
      </c>
      <c r="U678" s="15">
        <f>IFERROR(INDEX(Venues!$F$2:$F$10,MATCH(S678,Venues!$A$2:$A$10,0)),"")</f>
        <v/>
      </c>
      <c r="V678" s="43">
        <f>IFERROR(INDEX(Venues!$H$2:$H$10,MATCH(S678,Venues!$A$2:$A$10,0)),"")</f>
        <v/>
      </c>
      <c r="W678" s="15">
        <f>IF('Pilot offer'!$C$24="Yes",'Pilot offer'!$C$3,S678)</f>
        <v/>
      </c>
      <c r="X678" s="42">
        <f>IF('Pilot offer'!$C$24="Yes",'Pilot offer'!$C$5+'Pilot offer'!$C$6,T678)</f>
        <v/>
      </c>
      <c r="Y678" s="15">
        <f>IF('Pilot offer'!$C$24="Yes",'Pilot offer'!$C$8,U678)</f>
        <v/>
      </c>
      <c r="Z678" s="43">
        <f>IF('Pilot offer'!$C$24="Yes",'Pilot offer'!$C$11,"")</f>
        <v/>
      </c>
      <c r="AA678" s="15">
        <f>IF(X678="","",W678&amp;" · "&amp;TEXT(X678,"ddd d mmm, hh:mm")&amp;" · "&amp;Y678&amp;IF(Z678&lt;&gt;""," · £"&amp;TEXT(Z678,"0.00")&amp;" per player"," · price TBC (cost £"&amp;TEXT(V678,"0.00")&amp;" pp)"))</f>
        <v/>
      </c>
      <c r="AD678" s="44" t="n"/>
    </row>
    <row r="679">
      <c r="A679" s="13" t="n">
        <v>677</v>
      </c>
      <c r="B679" s="13" t="inlineStr">
        <is>
          <t>3 · E1 Whitechapel</t>
        </is>
      </c>
      <c r="C679" s="13" t="inlineStr">
        <is>
          <t>Office &amp; professional</t>
        </is>
      </c>
      <c r="D679" s="13" t="inlineStr">
        <is>
          <t>Corporate</t>
        </is>
      </c>
      <c r="E679" s="13" t="inlineStr">
        <is>
          <t>AETHOS Consulting Group</t>
        </is>
      </c>
      <c r="F679" s="13" t="inlineStr">
        <is>
          <t>service</t>
        </is>
      </c>
      <c r="G679" s="13" t="inlineStr">
        <is>
          <t>ahazelton@aethoscg.com</t>
        </is>
      </c>
      <c r="H679" s="13" t="inlineStr">
        <is>
          <t>person_or_other</t>
        </is>
      </c>
      <c r="I679" s="13" t="inlineStr">
        <is>
          <t>+44 7411 210650</t>
        </is>
      </c>
      <c r="J679" s="14" t="inlineStr">
        <is>
          <t>http://www.aethoscg.com/</t>
        </is>
      </c>
      <c r="K679" s="13" t="inlineStr">
        <is>
          <t>c/o WeWork, Aldgate Tower, 2 Leman St, London E1 8FA, UK</t>
        </is>
      </c>
      <c r="L679" s="13" t="inlineStr">
        <is>
          <t>E1 8FA</t>
        </is>
      </c>
      <c r="M679" s="13" t="inlineStr">
        <is>
          <t>Whitechapel</t>
        </is>
      </c>
      <c r="N679" s="13" t="n">
        <v>14</v>
      </c>
      <c r="O679" s="15">
        <f>IFERROR(INDEX(Venues!$C$2:$C$10,MATCH(M679,Venues!$A$2:$A$10,0)),"Not checked")</f>
        <v/>
      </c>
      <c r="P679" s="15">
        <f>IFERROR(INDEX(Venues!$D$2:$D$10,MATCH(M679,Venues!$A$2:$A$10,0)),0)</f>
        <v/>
      </c>
      <c r="Q679" s="42">
        <f>IFERROR(INDEX(Venues!$E$2:$E$10,MATCH(M679,Venues!$A$2:$A$10,0)),"")</f>
        <v/>
      </c>
      <c r="R679" s="15">
        <f>IF(P679&gt;0,"Yes","No")</f>
        <v/>
      </c>
      <c r="S679" s="13" t="inlineStr">
        <is>
          <t>COLA Shoreditch Park</t>
        </is>
      </c>
      <c r="T679" s="42">
        <f>IFERROR(INDEX(Venues!$E$2:$E$10,MATCH(S679,Venues!$A$2:$A$10,0)),"")</f>
        <v/>
      </c>
      <c r="U679" s="15">
        <f>IFERROR(INDEX(Venues!$F$2:$F$10,MATCH(S679,Venues!$A$2:$A$10,0)),"")</f>
        <v/>
      </c>
      <c r="V679" s="43">
        <f>IFERROR(INDEX(Venues!$H$2:$H$10,MATCH(S679,Venues!$A$2:$A$10,0)),"")</f>
        <v/>
      </c>
      <c r="W679" s="15">
        <f>IF('Pilot offer'!$C$24="Yes",'Pilot offer'!$C$3,S679)</f>
        <v/>
      </c>
      <c r="X679" s="42">
        <f>IF('Pilot offer'!$C$24="Yes",'Pilot offer'!$C$5+'Pilot offer'!$C$6,T679)</f>
        <v/>
      </c>
      <c r="Y679" s="15">
        <f>IF('Pilot offer'!$C$24="Yes",'Pilot offer'!$C$8,U679)</f>
        <v/>
      </c>
      <c r="Z679" s="43">
        <f>IF('Pilot offer'!$C$24="Yes",'Pilot offer'!$C$11,"")</f>
        <v/>
      </c>
      <c r="AA679" s="15">
        <f>IF(X679="","",W679&amp;" · "&amp;TEXT(X679,"ddd d mmm, hh:mm")&amp;" · "&amp;Y679&amp;IF(Z679&lt;&gt;""," · £"&amp;TEXT(Z679,"0.00")&amp;" per player"," · price TBC (cost £"&amp;TEXT(V679,"0.00")&amp;" pp)"))</f>
        <v/>
      </c>
      <c r="AD679" s="44" t="n"/>
    </row>
    <row r="680">
      <c r="A680" s="13" t="n">
        <v>678</v>
      </c>
      <c r="B680" s="13" t="inlineStr">
        <is>
          <t>3 · E1 Whitechapel</t>
        </is>
      </c>
      <c r="C680" s="13" t="inlineStr">
        <is>
          <t>Hospitality</t>
        </is>
      </c>
      <c r="D680" s="13" t="inlineStr">
        <is>
          <t>Local businesses</t>
        </is>
      </c>
      <c r="E680" s="13" t="inlineStr">
        <is>
          <t>The Running Horse</t>
        </is>
      </c>
      <c r="F680" s="13" t="inlineStr">
        <is>
          <t>amenity: pub</t>
        </is>
      </c>
      <c r="G680" s="13" t="inlineStr">
        <is>
          <t>hello@therunninghorsealdgate.co.uk</t>
        </is>
      </c>
      <c r="H680" s="13" t="inlineStr">
        <is>
          <t>openstreetmap_tag</t>
        </is>
      </c>
      <c r="I680" s="13" t="inlineStr">
        <is>
          <t>+44 20 3883 8286</t>
        </is>
      </c>
      <c r="J680" s="14" t="inlineStr">
        <is>
          <t>https://therunninghorsealdgate.co.uk/</t>
        </is>
      </c>
      <c r="K680" s="13" t="inlineStr">
        <is>
          <t>Piazza Walk 7, London</t>
        </is>
      </c>
      <c r="L680" s="13" t="inlineStr">
        <is>
          <t>E1 8FU</t>
        </is>
      </c>
      <c r="M680" s="13" t="inlineStr">
        <is>
          <t>Whitechapel</t>
        </is>
      </c>
      <c r="N680" s="13" t="n">
        <v>12</v>
      </c>
      <c r="O680" s="15">
        <f>IFERROR(INDEX(Venues!$C$2:$C$10,MATCH(M680,Venues!$A$2:$A$10,0)),"Not checked")</f>
        <v/>
      </c>
      <c r="P680" s="15">
        <f>IFERROR(INDEX(Venues!$D$2:$D$10,MATCH(M680,Venues!$A$2:$A$10,0)),0)</f>
        <v/>
      </c>
      <c r="Q680" s="42">
        <f>IFERROR(INDEX(Venues!$E$2:$E$10,MATCH(M680,Venues!$A$2:$A$10,0)),"")</f>
        <v/>
      </c>
      <c r="R680" s="15">
        <f>IF(P680&gt;0,"Yes","No")</f>
        <v/>
      </c>
      <c r="S680" s="13" t="inlineStr">
        <is>
          <t>COLA Shoreditch Park</t>
        </is>
      </c>
      <c r="T680" s="42">
        <f>IFERROR(INDEX(Venues!$E$2:$E$10,MATCH(S680,Venues!$A$2:$A$10,0)),"")</f>
        <v/>
      </c>
      <c r="U680" s="15">
        <f>IFERROR(INDEX(Venues!$F$2:$F$10,MATCH(S680,Venues!$A$2:$A$10,0)),"")</f>
        <v/>
      </c>
      <c r="V680" s="43">
        <f>IFERROR(INDEX(Venues!$H$2:$H$10,MATCH(S680,Venues!$A$2:$A$10,0)),"")</f>
        <v/>
      </c>
      <c r="W680" s="15">
        <f>IF('Pilot offer'!$C$24="Yes",'Pilot offer'!$C$3,S680)</f>
        <v/>
      </c>
      <c r="X680" s="42">
        <f>IF('Pilot offer'!$C$24="Yes",'Pilot offer'!$C$5+'Pilot offer'!$C$6,T680)</f>
        <v/>
      </c>
      <c r="Y680" s="15">
        <f>IF('Pilot offer'!$C$24="Yes",'Pilot offer'!$C$8,U680)</f>
        <v/>
      </c>
      <c r="Z680" s="43">
        <f>IF('Pilot offer'!$C$24="Yes",'Pilot offer'!$C$11,"")</f>
        <v/>
      </c>
      <c r="AA680" s="15">
        <f>IF(X680="","",W680&amp;" · "&amp;TEXT(X680,"ddd d mmm, hh:mm")&amp;" · "&amp;Y680&amp;IF(Z680&lt;&gt;""," · £"&amp;TEXT(Z680,"0.00")&amp;" per player"," · price TBC (cost £"&amp;TEXT(V680,"0.00")&amp;" pp)"))</f>
        <v/>
      </c>
      <c r="AD680" s="44" t="n"/>
    </row>
    <row r="681">
      <c r="A681" s="13" t="n">
        <v>679</v>
      </c>
      <c r="B681" s="13" t="inlineStr">
        <is>
          <t>3 · E1 Whitechapel</t>
        </is>
      </c>
      <c r="C681" s="13" t="inlineStr">
        <is>
          <t>Hospitality</t>
        </is>
      </c>
      <c r="D681" s="13" t="inlineStr">
        <is>
          <t>Local businesses</t>
        </is>
      </c>
      <c r="E681" s="13" t="inlineStr">
        <is>
          <t>Leonardo Royal Hotel London Tower Bridge</t>
        </is>
      </c>
      <c r="F681" s="13" t="inlineStr">
        <is>
          <t>tourism: hotel</t>
        </is>
      </c>
      <c r="G681" s="13" t="inlineStr">
        <is>
          <t>towerbridge@leonardohotels.co.uk</t>
        </is>
      </c>
      <c r="H681" s="13" t="inlineStr">
        <is>
          <t>openstreetmap_tag</t>
        </is>
      </c>
      <c r="I681" s="13" t="inlineStr">
        <is>
          <t>+44 20 7959 5000</t>
        </is>
      </c>
      <c r="J681" s="14" t="inlineStr">
        <is>
          <t>https://www.leonardohotels.co.uk/hotels/london/leonardo-royal-hotel-london-tower-bridge</t>
        </is>
      </c>
      <c r="K681" s="13" t="inlineStr">
        <is>
          <t>Prescot Street 45, London</t>
        </is>
      </c>
      <c r="L681" s="13" t="inlineStr">
        <is>
          <t>E1 8GP</t>
        </is>
      </c>
      <c r="M681" s="13" t="inlineStr">
        <is>
          <t>Whitechapel</t>
        </is>
      </c>
      <c r="N681" s="13" t="n">
        <v>14</v>
      </c>
      <c r="O681" s="15">
        <f>IFERROR(INDEX(Venues!$C$2:$C$10,MATCH(M681,Venues!$A$2:$A$10,0)),"Not checked")</f>
        <v/>
      </c>
      <c r="P681" s="15">
        <f>IFERROR(INDEX(Venues!$D$2:$D$10,MATCH(M681,Venues!$A$2:$A$10,0)),0)</f>
        <v/>
      </c>
      <c r="Q681" s="42">
        <f>IFERROR(INDEX(Venues!$E$2:$E$10,MATCH(M681,Venues!$A$2:$A$10,0)),"")</f>
        <v/>
      </c>
      <c r="R681" s="15">
        <f>IF(P681&gt;0,"Yes","No")</f>
        <v/>
      </c>
      <c r="S681" s="13" t="inlineStr">
        <is>
          <t>COLA Shoreditch Park</t>
        </is>
      </c>
      <c r="T681" s="42">
        <f>IFERROR(INDEX(Venues!$E$2:$E$10,MATCH(S681,Venues!$A$2:$A$10,0)),"")</f>
        <v/>
      </c>
      <c r="U681" s="15">
        <f>IFERROR(INDEX(Venues!$F$2:$F$10,MATCH(S681,Venues!$A$2:$A$10,0)),"")</f>
        <v/>
      </c>
      <c r="V681" s="43">
        <f>IFERROR(INDEX(Venues!$H$2:$H$10,MATCH(S681,Venues!$A$2:$A$10,0)),"")</f>
        <v/>
      </c>
      <c r="W681" s="15">
        <f>IF('Pilot offer'!$C$24="Yes",'Pilot offer'!$C$3,S681)</f>
        <v/>
      </c>
      <c r="X681" s="42">
        <f>IF('Pilot offer'!$C$24="Yes",'Pilot offer'!$C$5+'Pilot offer'!$C$6,T681)</f>
        <v/>
      </c>
      <c r="Y681" s="15">
        <f>IF('Pilot offer'!$C$24="Yes",'Pilot offer'!$C$8,U681)</f>
        <v/>
      </c>
      <c r="Z681" s="43">
        <f>IF('Pilot offer'!$C$24="Yes",'Pilot offer'!$C$11,"")</f>
        <v/>
      </c>
      <c r="AA681" s="15">
        <f>IF(X681="","",W681&amp;" · "&amp;TEXT(X681,"ddd d mmm, hh:mm")&amp;" · "&amp;Y681&amp;IF(Z681&lt;&gt;""," · £"&amp;TEXT(Z681,"0.00")&amp;" per player"," · price TBC (cost £"&amp;TEXT(V681,"0.00")&amp;" pp)"))</f>
        <v/>
      </c>
      <c r="AD681" s="44" t="n"/>
    </row>
    <row r="682">
      <c r="A682" s="13" t="n">
        <v>680</v>
      </c>
      <c r="B682" s="13" t="inlineStr">
        <is>
          <t>3 · E1 Whitechapel</t>
        </is>
      </c>
      <c r="C682" s="13" t="inlineStr">
        <is>
          <t>Education</t>
        </is>
      </c>
      <c r="D682" s="13" t="inlineStr">
        <is>
          <t>Local businesses</t>
        </is>
      </c>
      <c r="E682" s="13" t="inlineStr">
        <is>
          <t>St Paul's Whitechapel Church of England Primary School</t>
        </is>
      </c>
      <c r="F682" s="13" t="inlineStr">
        <is>
          <t>amenity: school</t>
        </is>
      </c>
      <c r="G682" s="13" t="inlineStr">
        <is>
          <t>reception@st-pauls.towerhamlets.sch.uk</t>
        </is>
      </c>
      <c r="H682" s="13" t="inlineStr">
        <is>
          <t>general</t>
        </is>
      </c>
      <c r="I682" s="13" t="inlineStr">
        <is>
          <t>+44 20 7480 6581</t>
        </is>
      </c>
      <c r="J682" s="14" t="inlineStr">
        <is>
          <t>https://www.st-pauls.towerhamlets.sch.uk/</t>
        </is>
      </c>
      <c r="K682" s="13" t="inlineStr">
        <is>
          <t>Wellclose Square, London</t>
        </is>
      </c>
      <c r="L682" s="13" t="inlineStr">
        <is>
          <t>E1 8HY</t>
        </is>
      </c>
      <c r="M682" s="13" t="inlineStr">
        <is>
          <t>Whitechapel</t>
        </is>
      </c>
      <c r="N682" s="13" t="n">
        <v>10</v>
      </c>
      <c r="O682" s="15">
        <f>IFERROR(INDEX(Venues!$C$2:$C$10,MATCH(M682,Venues!$A$2:$A$10,0)),"Not checked")</f>
        <v/>
      </c>
      <c r="P682" s="15">
        <f>IFERROR(INDEX(Venues!$D$2:$D$10,MATCH(M682,Venues!$A$2:$A$10,0)),0)</f>
        <v/>
      </c>
      <c r="Q682" s="42">
        <f>IFERROR(INDEX(Venues!$E$2:$E$10,MATCH(M682,Venues!$A$2:$A$10,0)),"")</f>
        <v/>
      </c>
      <c r="R682" s="15">
        <f>IF(P682&gt;0,"Yes","No")</f>
        <v/>
      </c>
      <c r="S682" s="13" t="inlineStr">
        <is>
          <t>COLA Shoreditch Park</t>
        </is>
      </c>
      <c r="T682" s="42">
        <f>IFERROR(INDEX(Venues!$E$2:$E$10,MATCH(S682,Venues!$A$2:$A$10,0)),"")</f>
        <v/>
      </c>
      <c r="U682" s="15">
        <f>IFERROR(INDEX(Venues!$F$2:$F$10,MATCH(S682,Venues!$A$2:$A$10,0)),"")</f>
        <v/>
      </c>
      <c r="V682" s="43">
        <f>IFERROR(INDEX(Venues!$H$2:$H$10,MATCH(S682,Venues!$A$2:$A$10,0)),"")</f>
        <v/>
      </c>
      <c r="W682" s="15">
        <f>IF('Pilot offer'!$C$24="Yes",'Pilot offer'!$C$3,S682)</f>
        <v/>
      </c>
      <c r="X682" s="42">
        <f>IF('Pilot offer'!$C$24="Yes",'Pilot offer'!$C$5+'Pilot offer'!$C$6,T682)</f>
        <v/>
      </c>
      <c r="Y682" s="15">
        <f>IF('Pilot offer'!$C$24="Yes",'Pilot offer'!$C$8,U682)</f>
        <v/>
      </c>
      <c r="Z682" s="43">
        <f>IF('Pilot offer'!$C$24="Yes",'Pilot offer'!$C$11,"")</f>
        <v/>
      </c>
      <c r="AA682" s="15">
        <f>IF(X682="","",W682&amp;" · "&amp;TEXT(X682,"ddd d mmm, hh:mm")&amp;" · "&amp;Y682&amp;IF(Z682&lt;&gt;""," · £"&amp;TEXT(Z682,"0.00")&amp;" per player"," · price TBC (cost £"&amp;TEXT(V682,"0.00")&amp;" pp)"))</f>
        <v/>
      </c>
      <c r="AD682" s="44" t="n"/>
    </row>
    <row r="683">
      <c r="A683" s="13" t="n">
        <v>681</v>
      </c>
      <c r="B683" s="13" t="inlineStr">
        <is>
          <t>3 · E1 Whitechapel</t>
        </is>
      </c>
      <c r="C683" s="13" t="inlineStr">
        <is>
          <t>Leisure &amp; culture</t>
        </is>
      </c>
      <c r="D683" s="13" t="inlineStr">
        <is>
          <t>Local businesses</t>
        </is>
      </c>
      <c r="E683" s="13" t="inlineStr">
        <is>
          <t>Wilton's Music Hall</t>
        </is>
      </c>
      <c r="F683" s="13" t="inlineStr">
        <is>
          <t>amenity: theatre</t>
        </is>
      </c>
      <c r="G683" s="13" t="inlineStr">
        <is>
          <t>info@wiltons.org.uk</t>
        </is>
      </c>
      <c r="H683" s="13" t="inlineStr">
        <is>
          <t>general</t>
        </is>
      </c>
      <c r="I683" s="13" t="n"/>
      <c r="J683" s="14" t="inlineStr">
        <is>
          <t>https://wiltons.org.uk/</t>
        </is>
      </c>
      <c r="K683" s="13" t="inlineStr">
        <is>
          <t>Graces Alley 1, London</t>
        </is>
      </c>
      <c r="L683" s="13" t="inlineStr">
        <is>
          <t>E1 8JB</t>
        </is>
      </c>
      <c r="M683" s="13" t="inlineStr">
        <is>
          <t>Whitechapel</t>
        </is>
      </c>
      <c r="N683" s="13" t="n">
        <v>11</v>
      </c>
      <c r="O683" s="15">
        <f>IFERROR(INDEX(Venues!$C$2:$C$10,MATCH(M683,Venues!$A$2:$A$10,0)),"Not checked")</f>
        <v/>
      </c>
      <c r="P683" s="15">
        <f>IFERROR(INDEX(Venues!$D$2:$D$10,MATCH(M683,Venues!$A$2:$A$10,0)),0)</f>
        <v/>
      </c>
      <c r="Q683" s="42">
        <f>IFERROR(INDEX(Venues!$E$2:$E$10,MATCH(M683,Venues!$A$2:$A$10,0)),"")</f>
        <v/>
      </c>
      <c r="R683" s="15">
        <f>IF(P683&gt;0,"Yes","No")</f>
        <v/>
      </c>
      <c r="S683" s="13" t="inlineStr">
        <is>
          <t>COLA Shoreditch Park</t>
        </is>
      </c>
      <c r="T683" s="42">
        <f>IFERROR(INDEX(Venues!$E$2:$E$10,MATCH(S683,Venues!$A$2:$A$10,0)),"")</f>
        <v/>
      </c>
      <c r="U683" s="15">
        <f>IFERROR(INDEX(Venues!$F$2:$F$10,MATCH(S683,Venues!$A$2:$A$10,0)),"")</f>
        <v/>
      </c>
      <c r="V683" s="43">
        <f>IFERROR(INDEX(Venues!$H$2:$H$10,MATCH(S683,Venues!$A$2:$A$10,0)),"")</f>
        <v/>
      </c>
      <c r="W683" s="15">
        <f>IF('Pilot offer'!$C$24="Yes",'Pilot offer'!$C$3,S683)</f>
        <v/>
      </c>
      <c r="X683" s="42">
        <f>IF('Pilot offer'!$C$24="Yes",'Pilot offer'!$C$5+'Pilot offer'!$C$6,T683)</f>
        <v/>
      </c>
      <c r="Y683" s="15">
        <f>IF('Pilot offer'!$C$24="Yes",'Pilot offer'!$C$8,U683)</f>
        <v/>
      </c>
      <c r="Z683" s="43">
        <f>IF('Pilot offer'!$C$24="Yes",'Pilot offer'!$C$11,"")</f>
        <v/>
      </c>
      <c r="AA683" s="15">
        <f>IF(X683="","",W683&amp;" · "&amp;TEXT(X683,"ddd d mmm, hh:mm")&amp;" · "&amp;Y683&amp;IF(Z683&lt;&gt;""," · £"&amp;TEXT(Z683,"0.00")&amp;" per player"," · price TBC (cost £"&amp;TEXT(V683,"0.00")&amp;" pp)"))</f>
        <v/>
      </c>
      <c r="AD683" s="44" t="n"/>
    </row>
    <row r="684">
      <c r="A684" s="13" t="n">
        <v>682</v>
      </c>
      <c r="B684" s="13" t="inlineStr">
        <is>
          <t>3 · E1 Whitechapel</t>
        </is>
      </c>
      <c r="C684" s="13" t="inlineStr">
        <is>
          <t>Leisure &amp; culture</t>
        </is>
      </c>
      <c r="D684" s="13" t="inlineStr">
        <is>
          <t>Local businesses</t>
        </is>
      </c>
      <c r="E684" s="13" t="inlineStr">
        <is>
          <t>Jack the Ripper Museum</t>
        </is>
      </c>
      <c r="F684" s="13" t="inlineStr">
        <is>
          <t>tourism: museum</t>
        </is>
      </c>
      <c r="G684" s="13" t="inlineStr">
        <is>
          <t>info@jacktherippermuseum.com</t>
        </is>
      </c>
      <c r="H684" s="13" t="inlineStr">
        <is>
          <t>openstreetmap_tag</t>
        </is>
      </c>
      <c r="I684" s="13" t="n"/>
      <c r="J684" s="14" t="inlineStr">
        <is>
          <t>https://www.jacktherippermuseum.com/</t>
        </is>
      </c>
      <c r="K684" s="13" t="inlineStr">
        <is>
          <t>Cable Street 12, London</t>
        </is>
      </c>
      <c r="L684" s="13" t="inlineStr">
        <is>
          <t>E1 8JG</t>
        </is>
      </c>
      <c r="M684" s="13" t="inlineStr">
        <is>
          <t>Whitechapel</t>
        </is>
      </c>
      <c r="N684" s="13" t="n">
        <v>11</v>
      </c>
      <c r="O684" s="15">
        <f>IFERROR(INDEX(Venues!$C$2:$C$10,MATCH(M684,Venues!$A$2:$A$10,0)),"Not checked")</f>
        <v/>
      </c>
      <c r="P684" s="15">
        <f>IFERROR(INDEX(Venues!$D$2:$D$10,MATCH(M684,Venues!$A$2:$A$10,0)),0)</f>
        <v/>
      </c>
      <c r="Q684" s="42">
        <f>IFERROR(INDEX(Venues!$E$2:$E$10,MATCH(M684,Venues!$A$2:$A$10,0)),"")</f>
        <v/>
      </c>
      <c r="R684" s="15">
        <f>IF(P684&gt;0,"Yes","No")</f>
        <v/>
      </c>
      <c r="S684" s="13" t="inlineStr">
        <is>
          <t>COLA Shoreditch Park</t>
        </is>
      </c>
      <c r="T684" s="42">
        <f>IFERROR(INDEX(Venues!$E$2:$E$10,MATCH(S684,Venues!$A$2:$A$10,0)),"")</f>
        <v/>
      </c>
      <c r="U684" s="15">
        <f>IFERROR(INDEX(Venues!$F$2:$F$10,MATCH(S684,Venues!$A$2:$A$10,0)),"")</f>
        <v/>
      </c>
      <c r="V684" s="43">
        <f>IFERROR(INDEX(Venues!$H$2:$H$10,MATCH(S684,Venues!$A$2:$A$10,0)),"")</f>
        <v/>
      </c>
      <c r="W684" s="15">
        <f>IF('Pilot offer'!$C$24="Yes",'Pilot offer'!$C$3,S684)</f>
        <v/>
      </c>
      <c r="X684" s="42">
        <f>IF('Pilot offer'!$C$24="Yes",'Pilot offer'!$C$5+'Pilot offer'!$C$6,T684)</f>
        <v/>
      </c>
      <c r="Y684" s="15">
        <f>IF('Pilot offer'!$C$24="Yes",'Pilot offer'!$C$8,U684)</f>
        <v/>
      </c>
      <c r="Z684" s="43">
        <f>IF('Pilot offer'!$C$24="Yes",'Pilot offer'!$C$11,"")</f>
        <v/>
      </c>
      <c r="AA684" s="15">
        <f>IF(X684="","",W684&amp;" · "&amp;TEXT(X684,"ddd d mmm, hh:mm")&amp;" · "&amp;Y684&amp;IF(Z684&lt;&gt;""," · £"&amp;TEXT(Z684,"0.00")&amp;" per player"," · price TBC (cost £"&amp;TEXT(V684,"0.00")&amp;" pp)"))</f>
        <v/>
      </c>
      <c r="AD684" s="44" t="n"/>
    </row>
    <row r="685">
      <c r="A685" s="13" t="n">
        <v>683</v>
      </c>
      <c r="B685" s="13" t="inlineStr">
        <is>
          <t>3 · E1 Whitechapel</t>
        </is>
      </c>
      <c r="C685" s="13" t="inlineStr">
        <is>
          <t>Retail</t>
        </is>
      </c>
      <c r="D685" s="13" t="inlineStr">
        <is>
          <t>Local businesses</t>
        </is>
      </c>
      <c r="E685" s="13" t="inlineStr">
        <is>
          <t>Tony and Luci's</t>
        </is>
      </c>
      <c r="F685" s="13" t="inlineStr">
        <is>
          <t>shop: hairdresser</t>
        </is>
      </c>
      <c r="G685" s="13" t="inlineStr">
        <is>
          <t>help.gb@booksy.com</t>
        </is>
      </c>
      <c r="H685" s="13" t="inlineStr">
        <is>
          <t>person_or_other</t>
        </is>
      </c>
      <c r="I685" s="13" t="n"/>
      <c r="J685" s="14" t="inlineStr">
        <is>
          <t>https://booksy.com/en-gb/42326_toni-and-luci-barbers_barber_311817_london</t>
        </is>
      </c>
      <c r="K685" s="13" t="inlineStr">
        <is>
          <t>Cable Street 2, London</t>
        </is>
      </c>
      <c r="L685" s="13" t="inlineStr">
        <is>
          <t>E1 8JG</t>
        </is>
      </c>
      <c r="M685" s="13" t="inlineStr">
        <is>
          <t>Whitechapel</t>
        </is>
      </c>
      <c r="N685" s="13" t="n">
        <v>12</v>
      </c>
      <c r="O685" s="15">
        <f>IFERROR(INDEX(Venues!$C$2:$C$10,MATCH(M685,Venues!$A$2:$A$10,0)),"Not checked")</f>
        <v/>
      </c>
      <c r="P685" s="15">
        <f>IFERROR(INDEX(Venues!$D$2:$D$10,MATCH(M685,Venues!$A$2:$A$10,0)),0)</f>
        <v/>
      </c>
      <c r="Q685" s="42">
        <f>IFERROR(INDEX(Venues!$E$2:$E$10,MATCH(M685,Venues!$A$2:$A$10,0)),"")</f>
        <v/>
      </c>
      <c r="R685" s="15">
        <f>IF(P685&gt;0,"Yes","No")</f>
        <v/>
      </c>
      <c r="S685" s="13" t="inlineStr">
        <is>
          <t>COLA Shoreditch Park</t>
        </is>
      </c>
      <c r="T685" s="42">
        <f>IFERROR(INDEX(Venues!$E$2:$E$10,MATCH(S685,Venues!$A$2:$A$10,0)),"")</f>
        <v/>
      </c>
      <c r="U685" s="15">
        <f>IFERROR(INDEX(Venues!$F$2:$F$10,MATCH(S685,Venues!$A$2:$A$10,0)),"")</f>
        <v/>
      </c>
      <c r="V685" s="43">
        <f>IFERROR(INDEX(Venues!$H$2:$H$10,MATCH(S685,Venues!$A$2:$A$10,0)),"")</f>
        <v/>
      </c>
      <c r="W685" s="15">
        <f>IF('Pilot offer'!$C$24="Yes",'Pilot offer'!$C$3,S685)</f>
        <v/>
      </c>
      <c r="X685" s="42">
        <f>IF('Pilot offer'!$C$24="Yes",'Pilot offer'!$C$5+'Pilot offer'!$C$6,T685)</f>
        <v/>
      </c>
      <c r="Y685" s="15">
        <f>IF('Pilot offer'!$C$24="Yes",'Pilot offer'!$C$8,U685)</f>
        <v/>
      </c>
      <c r="Z685" s="43">
        <f>IF('Pilot offer'!$C$24="Yes",'Pilot offer'!$C$11,"")</f>
        <v/>
      </c>
      <c r="AA685" s="15">
        <f>IF(X685="","",W685&amp;" · "&amp;TEXT(X685,"ddd d mmm, hh:mm")&amp;" · "&amp;Y685&amp;IF(Z685&lt;&gt;""," · £"&amp;TEXT(Z685,"0.00")&amp;" per player"," · price TBC (cost £"&amp;TEXT(V685,"0.00")&amp;" pp)"))</f>
        <v/>
      </c>
      <c r="AD685" s="44" t="n"/>
    </row>
    <row r="686">
      <c r="A686" s="13" t="n">
        <v>684</v>
      </c>
      <c r="B686" s="13" t="inlineStr">
        <is>
          <t>3 · E1 Whitechapel</t>
        </is>
      </c>
      <c r="C686" s="13" t="inlineStr">
        <is>
          <t>Education</t>
        </is>
      </c>
      <c r="D686" s="13" t="inlineStr">
        <is>
          <t>Local businesses</t>
        </is>
      </c>
      <c r="E686" s="13" t="inlineStr">
        <is>
          <t>Bellavita Academy</t>
        </is>
      </c>
      <c r="F686" s="13" t="inlineStr">
        <is>
          <t>amenity: training</t>
        </is>
      </c>
      <c r="G686" s="13" t="inlineStr">
        <is>
          <t>info@bellavita.com</t>
        </is>
      </c>
      <c r="H686" s="13" t="inlineStr">
        <is>
          <t>general</t>
        </is>
      </c>
      <c r="I686" s="13" t="inlineStr">
        <is>
          <t>+44 20 7183 4511</t>
        </is>
      </c>
      <c r="J686" s="14" t="inlineStr">
        <is>
          <t>http://www.bellavita.com</t>
        </is>
      </c>
      <c r="K686" s="13" t="inlineStr">
        <is>
          <t>Dock Street 11C, London</t>
        </is>
      </c>
      <c r="L686" s="13" t="inlineStr">
        <is>
          <t>E1 8JN</t>
        </is>
      </c>
      <c r="M686" s="13" t="inlineStr">
        <is>
          <t>Whitechapel</t>
        </is>
      </c>
      <c r="N686" s="13" t="n">
        <v>12</v>
      </c>
      <c r="O686" s="15">
        <f>IFERROR(INDEX(Venues!$C$2:$C$10,MATCH(M686,Venues!$A$2:$A$10,0)),"Not checked")</f>
        <v/>
      </c>
      <c r="P686" s="15">
        <f>IFERROR(INDEX(Venues!$D$2:$D$10,MATCH(M686,Venues!$A$2:$A$10,0)),0)</f>
        <v/>
      </c>
      <c r="Q686" s="42">
        <f>IFERROR(INDEX(Venues!$E$2:$E$10,MATCH(M686,Venues!$A$2:$A$10,0)),"")</f>
        <v/>
      </c>
      <c r="R686" s="15">
        <f>IF(P686&gt;0,"Yes","No")</f>
        <v/>
      </c>
      <c r="S686" s="13" t="inlineStr">
        <is>
          <t>COLA Shoreditch Park</t>
        </is>
      </c>
      <c r="T686" s="42">
        <f>IFERROR(INDEX(Venues!$E$2:$E$10,MATCH(S686,Venues!$A$2:$A$10,0)),"")</f>
        <v/>
      </c>
      <c r="U686" s="15">
        <f>IFERROR(INDEX(Venues!$F$2:$F$10,MATCH(S686,Venues!$A$2:$A$10,0)),"")</f>
        <v/>
      </c>
      <c r="V686" s="43">
        <f>IFERROR(INDEX(Venues!$H$2:$H$10,MATCH(S686,Venues!$A$2:$A$10,0)),"")</f>
        <v/>
      </c>
      <c r="W686" s="15">
        <f>IF('Pilot offer'!$C$24="Yes",'Pilot offer'!$C$3,S686)</f>
        <v/>
      </c>
      <c r="X686" s="42">
        <f>IF('Pilot offer'!$C$24="Yes",'Pilot offer'!$C$5+'Pilot offer'!$C$6,T686)</f>
        <v/>
      </c>
      <c r="Y686" s="15">
        <f>IF('Pilot offer'!$C$24="Yes",'Pilot offer'!$C$8,U686)</f>
        <v/>
      </c>
      <c r="Z686" s="43">
        <f>IF('Pilot offer'!$C$24="Yes",'Pilot offer'!$C$11,"")</f>
        <v/>
      </c>
      <c r="AA686" s="15">
        <f>IF(X686="","",W686&amp;" · "&amp;TEXT(X686,"ddd d mmm, hh:mm")&amp;" · "&amp;Y686&amp;IF(Z686&lt;&gt;""," · £"&amp;TEXT(Z686,"0.00")&amp;" per player"," · price TBC (cost £"&amp;TEXT(V686,"0.00")&amp;" pp)"))</f>
        <v/>
      </c>
      <c r="AD686" s="44" t="n"/>
    </row>
    <row r="687">
      <c r="A687" s="13" t="n">
        <v>685</v>
      </c>
      <c r="B687" s="13" t="inlineStr">
        <is>
          <t>3 · E1 Whitechapel</t>
        </is>
      </c>
      <c r="C687" s="13" t="inlineStr">
        <is>
          <t>Hospitality</t>
        </is>
      </c>
      <c r="D687" s="13" t="inlineStr">
        <is>
          <t>Local businesses</t>
        </is>
      </c>
      <c r="E687" s="13" t="inlineStr">
        <is>
          <t>Emilia's</t>
        </is>
      </c>
      <c r="F687" s="13" t="inlineStr">
        <is>
          <t>amenity: restaurant</t>
        </is>
      </c>
      <c r="G687" s="13" t="inlineStr">
        <is>
          <t>aldgate@emiliaspasta.com</t>
        </is>
      </c>
      <c r="H687" s="13" t="inlineStr">
        <is>
          <t>openstreetmap_tag</t>
        </is>
      </c>
      <c r="I687" s="13" t="inlineStr">
        <is>
          <t>+44 20 7702 9944</t>
        </is>
      </c>
      <c r="J687" s="14" t="inlineStr">
        <is>
          <t>https://www.emiliaspasta.com/</t>
        </is>
      </c>
      <c r="K687" s="13" t="inlineStr">
        <is>
          <t>Alie Street 77, London</t>
        </is>
      </c>
      <c r="L687" s="13" t="inlineStr">
        <is>
          <t>E1 8NH</t>
        </is>
      </c>
      <c r="M687" s="13" t="inlineStr">
        <is>
          <t>Whitechapel</t>
        </is>
      </c>
      <c r="N687" s="13" t="n">
        <v>11</v>
      </c>
      <c r="O687" s="15">
        <f>IFERROR(INDEX(Venues!$C$2:$C$10,MATCH(M687,Venues!$A$2:$A$10,0)),"Not checked")</f>
        <v/>
      </c>
      <c r="P687" s="15">
        <f>IFERROR(INDEX(Venues!$D$2:$D$10,MATCH(M687,Venues!$A$2:$A$10,0)),0)</f>
        <v/>
      </c>
      <c r="Q687" s="42">
        <f>IFERROR(INDEX(Venues!$E$2:$E$10,MATCH(M687,Venues!$A$2:$A$10,0)),"")</f>
        <v/>
      </c>
      <c r="R687" s="15">
        <f>IF(P687&gt;0,"Yes","No")</f>
        <v/>
      </c>
      <c r="S687" s="13" t="inlineStr">
        <is>
          <t>COLA Shoreditch Park</t>
        </is>
      </c>
      <c r="T687" s="42">
        <f>IFERROR(INDEX(Venues!$E$2:$E$10,MATCH(S687,Venues!$A$2:$A$10,0)),"")</f>
        <v/>
      </c>
      <c r="U687" s="15">
        <f>IFERROR(INDEX(Venues!$F$2:$F$10,MATCH(S687,Venues!$A$2:$A$10,0)),"")</f>
        <v/>
      </c>
      <c r="V687" s="43">
        <f>IFERROR(INDEX(Venues!$H$2:$H$10,MATCH(S687,Venues!$A$2:$A$10,0)),"")</f>
        <v/>
      </c>
      <c r="W687" s="15">
        <f>IF('Pilot offer'!$C$24="Yes",'Pilot offer'!$C$3,S687)</f>
        <v/>
      </c>
      <c r="X687" s="42">
        <f>IF('Pilot offer'!$C$24="Yes",'Pilot offer'!$C$5+'Pilot offer'!$C$6,T687)</f>
        <v/>
      </c>
      <c r="Y687" s="15">
        <f>IF('Pilot offer'!$C$24="Yes",'Pilot offer'!$C$8,U687)</f>
        <v/>
      </c>
      <c r="Z687" s="43">
        <f>IF('Pilot offer'!$C$24="Yes",'Pilot offer'!$C$11,"")</f>
        <v/>
      </c>
      <c r="AA687" s="15">
        <f>IF(X687="","",W687&amp;" · "&amp;TEXT(X687,"ddd d mmm, hh:mm")&amp;" · "&amp;Y687&amp;IF(Z687&lt;&gt;""," · £"&amp;TEXT(Z687,"0.00")&amp;" per player"," · price TBC (cost £"&amp;TEXT(V687,"0.00")&amp;" pp)"))</f>
        <v/>
      </c>
      <c r="AD687" s="44" t="n"/>
    </row>
    <row r="688">
      <c r="A688" s="13" t="n">
        <v>686</v>
      </c>
      <c r="B688" s="13" t="inlineStr">
        <is>
          <t>3 · E1 Whitechapel</t>
        </is>
      </c>
      <c r="C688" s="13" t="inlineStr">
        <is>
          <t>Leisure &amp; culture</t>
        </is>
      </c>
      <c r="D688" s="13" t="inlineStr">
        <is>
          <t>Local businesses</t>
        </is>
      </c>
      <c r="E688" s="13" t="inlineStr">
        <is>
          <t>AIM Escape Rooms</t>
        </is>
      </c>
      <c r="F688" s="13" t="inlineStr">
        <is>
          <t>leisure: escape game</t>
        </is>
      </c>
      <c r="G688" s="13" t="inlineStr">
        <is>
          <t>info@aimescape.com</t>
        </is>
      </c>
      <c r="H688" s="13" t="inlineStr">
        <is>
          <t>general</t>
        </is>
      </c>
      <c r="I688" s="13" t="inlineStr">
        <is>
          <t>+44 20 3808 9225</t>
        </is>
      </c>
      <c r="J688" s="14" t="inlineStr">
        <is>
          <t>https://aimescape.com/</t>
        </is>
      </c>
      <c r="K688" s="13" t="inlineStr">
        <is>
          <t>Canter Way 8, London</t>
        </is>
      </c>
      <c r="L688" s="13" t="inlineStr">
        <is>
          <t>E1 8PS</t>
        </is>
      </c>
      <c r="M688" s="13" t="inlineStr">
        <is>
          <t>Whitechapel</t>
        </is>
      </c>
      <c r="N688" s="13" t="n">
        <v>11</v>
      </c>
      <c r="O688" s="15">
        <f>IFERROR(INDEX(Venues!$C$2:$C$10,MATCH(M688,Venues!$A$2:$A$10,0)),"Not checked")</f>
        <v/>
      </c>
      <c r="P688" s="15">
        <f>IFERROR(INDEX(Venues!$D$2:$D$10,MATCH(M688,Venues!$A$2:$A$10,0)),0)</f>
        <v/>
      </c>
      <c r="Q688" s="42">
        <f>IFERROR(INDEX(Venues!$E$2:$E$10,MATCH(M688,Venues!$A$2:$A$10,0)),"")</f>
        <v/>
      </c>
      <c r="R688" s="15">
        <f>IF(P688&gt;0,"Yes","No")</f>
        <v/>
      </c>
      <c r="S688" s="13" t="inlineStr">
        <is>
          <t>COLA Shoreditch Park</t>
        </is>
      </c>
      <c r="T688" s="42">
        <f>IFERROR(INDEX(Venues!$E$2:$E$10,MATCH(S688,Venues!$A$2:$A$10,0)),"")</f>
        <v/>
      </c>
      <c r="U688" s="15">
        <f>IFERROR(INDEX(Venues!$F$2:$F$10,MATCH(S688,Venues!$A$2:$A$10,0)),"")</f>
        <v/>
      </c>
      <c r="V688" s="43">
        <f>IFERROR(INDEX(Venues!$H$2:$H$10,MATCH(S688,Venues!$A$2:$A$10,0)),"")</f>
        <v/>
      </c>
      <c r="W688" s="15">
        <f>IF('Pilot offer'!$C$24="Yes",'Pilot offer'!$C$3,S688)</f>
        <v/>
      </c>
      <c r="X688" s="42">
        <f>IF('Pilot offer'!$C$24="Yes",'Pilot offer'!$C$5+'Pilot offer'!$C$6,T688)</f>
        <v/>
      </c>
      <c r="Y688" s="15">
        <f>IF('Pilot offer'!$C$24="Yes",'Pilot offer'!$C$8,U688)</f>
        <v/>
      </c>
      <c r="Z688" s="43">
        <f>IF('Pilot offer'!$C$24="Yes",'Pilot offer'!$C$11,"")</f>
        <v/>
      </c>
      <c r="AA688" s="15">
        <f>IF(X688="","",W688&amp;" · "&amp;TEXT(X688,"ddd d mmm, hh:mm")&amp;" · "&amp;Y688&amp;IF(Z688&lt;&gt;""," · £"&amp;TEXT(Z688,"0.00")&amp;" per player"," · price TBC (cost £"&amp;TEXT(V688,"0.00")&amp;" pp)"))</f>
        <v/>
      </c>
      <c r="AD688" s="44" t="n"/>
    </row>
    <row r="689">
      <c r="A689" s="13" t="n">
        <v>687</v>
      </c>
      <c r="B689" s="13" t="inlineStr">
        <is>
          <t>3 · E1 Whitechapel</t>
        </is>
      </c>
      <c r="C689" s="13" t="inlineStr">
        <is>
          <t>Office &amp; professional</t>
        </is>
      </c>
      <c r="D689" s="13" t="inlineStr">
        <is>
          <t>Corporate</t>
        </is>
      </c>
      <c r="E689" s="13" t="inlineStr">
        <is>
          <t>Knight Frank</t>
        </is>
      </c>
      <c r="F689" s="13" t="inlineStr">
        <is>
          <t>estate_agent</t>
        </is>
      </c>
      <c r="G689" s="13" t="inlineStr">
        <is>
          <t>aldgate@knightfrank.com</t>
        </is>
      </c>
      <c r="H689" s="13" t="inlineStr">
        <is>
          <t>openstreetmap_tag</t>
        </is>
      </c>
      <c r="I689" s="13" t="inlineStr">
        <is>
          <t>+44 20 3823 9930</t>
        </is>
      </c>
      <c r="J689" s="14" t="inlineStr">
        <is>
          <t>https://www.knightfrank.co.uk/</t>
        </is>
      </c>
      <c r="K689" s="13" t="inlineStr">
        <is>
          <t>1 Canter Way, London</t>
        </is>
      </c>
      <c r="L689" s="13" t="inlineStr">
        <is>
          <t>E1 8PS</t>
        </is>
      </c>
      <c r="M689" s="13" t="inlineStr">
        <is>
          <t>Whitechapel</t>
        </is>
      </c>
      <c r="N689" s="13" t="n">
        <v>11</v>
      </c>
      <c r="O689" s="15">
        <f>IFERROR(INDEX(Venues!$C$2:$C$10,MATCH(M689,Venues!$A$2:$A$10,0)),"Not checked")</f>
        <v/>
      </c>
      <c r="P689" s="15">
        <f>IFERROR(INDEX(Venues!$D$2:$D$10,MATCH(M689,Venues!$A$2:$A$10,0)),0)</f>
        <v/>
      </c>
      <c r="Q689" s="42">
        <f>IFERROR(INDEX(Venues!$E$2:$E$10,MATCH(M689,Venues!$A$2:$A$10,0)),"")</f>
        <v/>
      </c>
      <c r="R689" s="15">
        <f>IF(P689&gt;0,"Yes","No")</f>
        <v/>
      </c>
      <c r="S689" s="13" t="inlineStr">
        <is>
          <t>COLA Shoreditch Park</t>
        </is>
      </c>
      <c r="T689" s="42">
        <f>IFERROR(INDEX(Venues!$E$2:$E$10,MATCH(S689,Venues!$A$2:$A$10,0)),"")</f>
        <v/>
      </c>
      <c r="U689" s="15">
        <f>IFERROR(INDEX(Venues!$F$2:$F$10,MATCH(S689,Venues!$A$2:$A$10,0)),"")</f>
        <v/>
      </c>
      <c r="V689" s="43">
        <f>IFERROR(INDEX(Venues!$H$2:$H$10,MATCH(S689,Venues!$A$2:$A$10,0)),"")</f>
        <v/>
      </c>
      <c r="W689" s="15">
        <f>IF('Pilot offer'!$C$24="Yes",'Pilot offer'!$C$3,S689)</f>
        <v/>
      </c>
      <c r="X689" s="42">
        <f>IF('Pilot offer'!$C$24="Yes",'Pilot offer'!$C$5+'Pilot offer'!$C$6,T689)</f>
        <v/>
      </c>
      <c r="Y689" s="15">
        <f>IF('Pilot offer'!$C$24="Yes",'Pilot offer'!$C$8,U689)</f>
        <v/>
      </c>
      <c r="Z689" s="43">
        <f>IF('Pilot offer'!$C$24="Yes",'Pilot offer'!$C$11,"")</f>
        <v/>
      </c>
      <c r="AA689" s="15">
        <f>IF(X689="","",W689&amp;" · "&amp;TEXT(X689,"ddd d mmm, hh:mm")&amp;" · "&amp;Y689&amp;IF(Z689&lt;&gt;""," · £"&amp;TEXT(Z689,"0.00")&amp;" per player"," · price TBC (cost £"&amp;TEXT(V689,"0.00")&amp;" pp)"))</f>
        <v/>
      </c>
      <c r="AD689" s="44" t="n"/>
    </row>
    <row r="690">
      <c r="A690" s="13" t="n">
        <v>688</v>
      </c>
      <c r="B690" s="13" t="inlineStr">
        <is>
          <t>3 · E1 Whitechapel</t>
        </is>
      </c>
      <c r="C690" s="13" t="inlineStr">
        <is>
          <t>Hospitality</t>
        </is>
      </c>
      <c r="D690" s="13" t="inlineStr">
        <is>
          <t>Local businesses</t>
        </is>
      </c>
      <c r="E690" s="13" t="inlineStr">
        <is>
          <t>Leman Street Tavern</t>
        </is>
      </c>
      <c r="F690" s="13" t="inlineStr">
        <is>
          <t>amenity: restaurant</t>
        </is>
      </c>
      <c r="G690" s="13" t="inlineStr">
        <is>
          <t>lemanstreettavern@geronimo-inns.co.uk</t>
        </is>
      </c>
      <c r="H690" s="13" t="inlineStr">
        <is>
          <t>openstreetmap_tag</t>
        </is>
      </c>
      <c r="I690" s="13" t="inlineStr">
        <is>
          <t>+44 20 3437 0001</t>
        </is>
      </c>
      <c r="J690" s="14" t="inlineStr">
        <is>
          <t>https://www.lemanstreettavern.co.uk/</t>
        </is>
      </c>
      <c r="K690" s="13" t="inlineStr">
        <is>
          <t>Leman Street 31, London</t>
        </is>
      </c>
      <c r="L690" s="13" t="inlineStr">
        <is>
          <t>E1 8PT</t>
        </is>
      </c>
      <c r="M690" s="13" t="inlineStr">
        <is>
          <t>Whitechapel</t>
        </is>
      </c>
      <c r="N690" s="13" t="n">
        <v>12</v>
      </c>
      <c r="O690" s="15">
        <f>IFERROR(INDEX(Venues!$C$2:$C$10,MATCH(M690,Venues!$A$2:$A$10,0)),"Not checked")</f>
        <v/>
      </c>
      <c r="P690" s="15">
        <f>IFERROR(INDEX(Venues!$D$2:$D$10,MATCH(M690,Venues!$A$2:$A$10,0)),0)</f>
        <v/>
      </c>
      <c r="Q690" s="42">
        <f>IFERROR(INDEX(Venues!$E$2:$E$10,MATCH(M690,Venues!$A$2:$A$10,0)),"")</f>
        <v/>
      </c>
      <c r="R690" s="15">
        <f>IF(P690&gt;0,"Yes","No")</f>
        <v/>
      </c>
      <c r="S690" s="13" t="inlineStr">
        <is>
          <t>COLA Shoreditch Park</t>
        </is>
      </c>
      <c r="T690" s="42">
        <f>IFERROR(INDEX(Venues!$E$2:$E$10,MATCH(S690,Venues!$A$2:$A$10,0)),"")</f>
        <v/>
      </c>
      <c r="U690" s="15">
        <f>IFERROR(INDEX(Venues!$F$2:$F$10,MATCH(S690,Venues!$A$2:$A$10,0)),"")</f>
        <v/>
      </c>
      <c r="V690" s="43">
        <f>IFERROR(INDEX(Venues!$H$2:$H$10,MATCH(S690,Venues!$A$2:$A$10,0)),"")</f>
        <v/>
      </c>
      <c r="W690" s="15">
        <f>IF('Pilot offer'!$C$24="Yes",'Pilot offer'!$C$3,S690)</f>
        <v/>
      </c>
      <c r="X690" s="42">
        <f>IF('Pilot offer'!$C$24="Yes",'Pilot offer'!$C$5+'Pilot offer'!$C$6,T690)</f>
        <v/>
      </c>
      <c r="Y690" s="15">
        <f>IF('Pilot offer'!$C$24="Yes",'Pilot offer'!$C$8,U690)</f>
        <v/>
      </c>
      <c r="Z690" s="43">
        <f>IF('Pilot offer'!$C$24="Yes",'Pilot offer'!$C$11,"")</f>
        <v/>
      </c>
      <c r="AA690" s="15">
        <f>IF(X690="","",W690&amp;" · "&amp;TEXT(X690,"ddd d mmm, hh:mm")&amp;" · "&amp;Y690&amp;IF(Z690&lt;&gt;""," · £"&amp;TEXT(Z690,"0.00")&amp;" per player"," · price TBC (cost £"&amp;TEXT(V690,"0.00")&amp;" pp)"))</f>
        <v/>
      </c>
      <c r="AD690" s="44" t="n"/>
    </row>
    <row r="691">
      <c r="A691" s="13" t="n">
        <v>689</v>
      </c>
      <c r="B691" s="13" t="inlineStr">
        <is>
          <t>3 · E1 Whitechapel</t>
        </is>
      </c>
      <c r="C691" s="13" t="inlineStr">
        <is>
          <t>Hospitality</t>
        </is>
      </c>
      <c r="D691" s="13" t="inlineStr">
        <is>
          <t>Local businesses</t>
        </is>
      </c>
      <c r="E691" s="13" t="inlineStr">
        <is>
          <t>Pizza Union</t>
        </is>
      </c>
      <c r="F691" s="13" t="inlineStr">
        <is>
          <t>amenity: fast food</t>
        </is>
      </c>
      <c r="G691" s="13" t="inlineStr">
        <is>
          <t>info@pizzaunion.com</t>
        </is>
      </c>
      <c r="H691" s="13" t="inlineStr">
        <is>
          <t>general</t>
        </is>
      </c>
      <c r="I691" s="13" t="n"/>
      <c r="J691" s="14" t="inlineStr">
        <is>
          <t>https://www.pizzaunion.com/</t>
        </is>
      </c>
      <c r="K691" s="13" t="inlineStr">
        <is>
          <t>Leman Street 29, London</t>
        </is>
      </c>
      <c r="L691" s="13" t="inlineStr">
        <is>
          <t>E1 8PT</t>
        </is>
      </c>
      <c r="M691" s="13" t="inlineStr">
        <is>
          <t>Whitechapel</t>
        </is>
      </c>
      <c r="N691" s="13" t="n">
        <v>12</v>
      </c>
      <c r="O691" s="15">
        <f>IFERROR(INDEX(Venues!$C$2:$C$10,MATCH(M691,Venues!$A$2:$A$10,0)),"Not checked")</f>
        <v/>
      </c>
      <c r="P691" s="15">
        <f>IFERROR(INDEX(Venues!$D$2:$D$10,MATCH(M691,Venues!$A$2:$A$10,0)),0)</f>
        <v/>
      </c>
      <c r="Q691" s="42">
        <f>IFERROR(INDEX(Venues!$E$2:$E$10,MATCH(M691,Venues!$A$2:$A$10,0)),"")</f>
        <v/>
      </c>
      <c r="R691" s="15">
        <f>IF(P691&gt;0,"Yes","No")</f>
        <v/>
      </c>
      <c r="S691" s="13" t="inlineStr">
        <is>
          <t>COLA Shoreditch Park</t>
        </is>
      </c>
      <c r="T691" s="42">
        <f>IFERROR(INDEX(Venues!$E$2:$E$10,MATCH(S691,Venues!$A$2:$A$10,0)),"")</f>
        <v/>
      </c>
      <c r="U691" s="15">
        <f>IFERROR(INDEX(Venues!$F$2:$F$10,MATCH(S691,Venues!$A$2:$A$10,0)),"")</f>
        <v/>
      </c>
      <c r="V691" s="43">
        <f>IFERROR(INDEX(Venues!$H$2:$H$10,MATCH(S691,Venues!$A$2:$A$10,0)),"")</f>
        <v/>
      </c>
      <c r="W691" s="15">
        <f>IF('Pilot offer'!$C$24="Yes",'Pilot offer'!$C$3,S691)</f>
        <v/>
      </c>
      <c r="X691" s="42">
        <f>IF('Pilot offer'!$C$24="Yes",'Pilot offer'!$C$5+'Pilot offer'!$C$6,T691)</f>
        <v/>
      </c>
      <c r="Y691" s="15">
        <f>IF('Pilot offer'!$C$24="Yes",'Pilot offer'!$C$8,U691)</f>
        <v/>
      </c>
      <c r="Z691" s="43">
        <f>IF('Pilot offer'!$C$24="Yes",'Pilot offer'!$C$11,"")</f>
        <v/>
      </c>
      <c r="AA691" s="15">
        <f>IF(X691="","",W691&amp;" · "&amp;TEXT(X691,"ddd d mmm, hh:mm")&amp;" · "&amp;Y691&amp;IF(Z691&lt;&gt;""," · £"&amp;TEXT(Z691,"0.00")&amp;" per player"," · price TBC (cost £"&amp;TEXT(V691,"0.00")&amp;" pp)"))</f>
        <v/>
      </c>
      <c r="AD691" s="44" t="n"/>
    </row>
    <row r="692">
      <c r="A692" s="13" t="n">
        <v>690</v>
      </c>
      <c r="B692" s="13" t="inlineStr">
        <is>
          <t>3 · E1 Whitechapel</t>
        </is>
      </c>
      <c r="C692" s="13" t="inlineStr">
        <is>
          <t>Hospitality</t>
        </is>
      </c>
      <c r="D692" s="13" t="inlineStr">
        <is>
          <t>Local businesses</t>
        </is>
      </c>
      <c r="E692" s="13" t="inlineStr">
        <is>
          <t>Bar + Block</t>
        </is>
      </c>
      <c r="F692" s="13" t="inlineStr">
        <is>
          <t>amenity: restaurant</t>
        </is>
      </c>
      <c r="G692" s="13" t="inlineStr">
        <is>
          <t>barandblockgm.aldgate@whitbread.com</t>
        </is>
      </c>
      <c r="H692" s="13" t="inlineStr">
        <is>
          <t>openstreetmap_tag</t>
        </is>
      </c>
      <c r="I692" s="13" t="inlineStr">
        <is>
          <t>+44 20 8049 0888</t>
        </is>
      </c>
      <c r="J692" s="14" t="inlineStr">
        <is>
          <t>https://www.barandblock.co.uk/</t>
        </is>
      </c>
      <c r="K692" s="13" t="inlineStr">
        <is>
          <t>Alie Street 66, London</t>
        </is>
      </c>
      <c r="L692" s="13" t="inlineStr">
        <is>
          <t>E1 8PX</t>
        </is>
      </c>
      <c r="M692" s="13" t="inlineStr">
        <is>
          <t>Whitechapel</t>
        </is>
      </c>
      <c r="N692" s="13" t="n">
        <v>12</v>
      </c>
      <c r="O692" s="15">
        <f>IFERROR(INDEX(Venues!$C$2:$C$10,MATCH(M692,Venues!$A$2:$A$10,0)),"Not checked")</f>
        <v/>
      </c>
      <c r="P692" s="15">
        <f>IFERROR(INDEX(Venues!$D$2:$D$10,MATCH(M692,Venues!$A$2:$A$10,0)),0)</f>
        <v/>
      </c>
      <c r="Q692" s="42">
        <f>IFERROR(INDEX(Venues!$E$2:$E$10,MATCH(M692,Venues!$A$2:$A$10,0)),"")</f>
        <v/>
      </c>
      <c r="R692" s="15">
        <f>IF(P692&gt;0,"Yes","No")</f>
        <v/>
      </c>
      <c r="S692" s="13" t="inlineStr">
        <is>
          <t>COLA Shoreditch Park</t>
        </is>
      </c>
      <c r="T692" s="42">
        <f>IFERROR(INDEX(Venues!$E$2:$E$10,MATCH(S692,Venues!$A$2:$A$10,0)),"")</f>
        <v/>
      </c>
      <c r="U692" s="15">
        <f>IFERROR(INDEX(Venues!$F$2:$F$10,MATCH(S692,Venues!$A$2:$A$10,0)),"")</f>
        <v/>
      </c>
      <c r="V692" s="43">
        <f>IFERROR(INDEX(Venues!$H$2:$H$10,MATCH(S692,Venues!$A$2:$A$10,0)),"")</f>
        <v/>
      </c>
      <c r="W692" s="15">
        <f>IF('Pilot offer'!$C$24="Yes",'Pilot offer'!$C$3,S692)</f>
        <v/>
      </c>
      <c r="X692" s="42">
        <f>IF('Pilot offer'!$C$24="Yes",'Pilot offer'!$C$5+'Pilot offer'!$C$6,T692)</f>
        <v/>
      </c>
      <c r="Y692" s="15">
        <f>IF('Pilot offer'!$C$24="Yes",'Pilot offer'!$C$8,U692)</f>
        <v/>
      </c>
      <c r="Z692" s="43">
        <f>IF('Pilot offer'!$C$24="Yes",'Pilot offer'!$C$11,"")</f>
        <v/>
      </c>
      <c r="AA692" s="15">
        <f>IF(X692="","",W692&amp;" · "&amp;TEXT(X692,"ddd d mmm, hh:mm")&amp;" · "&amp;Y692&amp;IF(Z692&lt;&gt;""," · £"&amp;TEXT(Z692,"0.00")&amp;" per player"," · price TBC (cost £"&amp;TEXT(V692,"0.00")&amp;" pp)"))</f>
        <v/>
      </c>
      <c r="AD692" s="44" t="n"/>
    </row>
    <row r="693">
      <c r="A693" s="13" t="n">
        <v>691</v>
      </c>
      <c r="B693" s="13" t="inlineStr">
        <is>
          <t>3 · E1 Whitechapel</t>
        </is>
      </c>
      <c r="C693" s="13" t="inlineStr">
        <is>
          <t>Office &amp; professional</t>
        </is>
      </c>
      <c r="D693" s="13" t="inlineStr">
        <is>
          <t>Corporate</t>
        </is>
      </c>
      <c r="E693" s="13" t="inlineStr">
        <is>
          <t>Erlang Solutions Ltd</t>
        </is>
      </c>
      <c r="F693" s="13" t="inlineStr">
        <is>
          <t>it</t>
        </is>
      </c>
      <c r="G693" s="13" t="inlineStr">
        <is>
          <t>general@erlang-solutions.com</t>
        </is>
      </c>
      <c r="H693" s="13" t="inlineStr">
        <is>
          <t>general</t>
        </is>
      </c>
      <c r="I693" s="13" t="inlineStr">
        <is>
          <t>+44 20 7456 1020</t>
        </is>
      </c>
      <c r="J693" s="14" t="inlineStr">
        <is>
          <t>https://www.erlang-solutions.com/</t>
        </is>
      </c>
      <c r="K693" s="13" t="inlineStr">
        <is>
          <t>14 Gower's Walk, London</t>
        </is>
      </c>
      <c r="L693" s="13" t="inlineStr">
        <is>
          <t>E1 8PY</t>
        </is>
      </c>
      <c r="M693" s="13" t="inlineStr">
        <is>
          <t>Whitechapel</t>
        </is>
      </c>
      <c r="N693" s="13" t="n">
        <v>9</v>
      </c>
      <c r="O693" s="15">
        <f>IFERROR(INDEX(Venues!$C$2:$C$10,MATCH(M693,Venues!$A$2:$A$10,0)),"Not checked")</f>
        <v/>
      </c>
      <c r="P693" s="15">
        <f>IFERROR(INDEX(Venues!$D$2:$D$10,MATCH(M693,Venues!$A$2:$A$10,0)),0)</f>
        <v/>
      </c>
      <c r="Q693" s="42">
        <f>IFERROR(INDEX(Venues!$E$2:$E$10,MATCH(M693,Venues!$A$2:$A$10,0)),"")</f>
        <v/>
      </c>
      <c r="R693" s="15">
        <f>IF(P693&gt;0,"Yes","No")</f>
        <v/>
      </c>
      <c r="S693" s="13" t="inlineStr">
        <is>
          <t>COLA Shoreditch Park</t>
        </is>
      </c>
      <c r="T693" s="42">
        <f>IFERROR(INDEX(Venues!$E$2:$E$10,MATCH(S693,Venues!$A$2:$A$10,0)),"")</f>
        <v/>
      </c>
      <c r="U693" s="15">
        <f>IFERROR(INDEX(Venues!$F$2:$F$10,MATCH(S693,Venues!$A$2:$A$10,0)),"")</f>
        <v/>
      </c>
      <c r="V693" s="43">
        <f>IFERROR(INDEX(Venues!$H$2:$H$10,MATCH(S693,Venues!$A$2:$A$10,0)),"")</f>
        <v/>
      </c>
      <c r="W693" s="15">
        <f>IF('Pilot offer'!$C$24="Yes",'Pilot offer'!$C$3,S693)</f>
        <v/>
      </c>
      <c r="X693" s="42">
        <f>IF('Pilot offer'!$C$24="Yes",'Pilot offer'!$C$5+'Pilot offer'!$C$6,T693)</f>
        <v/>
      </c>
      <c r="Y693" s="15">
        <f>IF('Pilot offer'!$C$24="Yes",'Pilot offer'!$C$8,U693)</f>
        <v/>
      </c>
      <c r="Z693" s="43">
        <f>IF('Pilot offer'!$C$24="Yes",'Pilot offer'!$C$11,"")</f>
        <v/>
      </c>
      <c r="AA693" s="15">
        <f>IF(X693="","",W693&amp;" · "&amp;TEXT(X693,"ddd d mmm, hh:mm")&amp;" · "&amp;Y693&amp;IF(Z693&lt;&gt;""," · £"&amp;TEXT(Z693,"0.00")&amp;" per player"," · price TBC (cost £"&amp;TEXT(V693,"0.00")&amp;" pp)"))</f>
        <v/>
      </c>
      <c r="AD693" s="44" t="n"/>
    </row>
    <row r="694">
      <c r="A694" s="13" t="n">
        <v>692</v>
      </c>
      <c r="B694" s="13" t="inlineStr">
        <is>
          <t>3 · E1 Whitechapel</t>
        </is>
      </c>
      <c r="C694" s="13" t="inlineStr">
        <is>
          <t>Hospitality</t>
        </is>
      </c>
      <c r="D694" s="13" t="inlineStr">
        <is>
          <t>Local businesses</t>
        </is>
      </c>
      <c r="E694" s="13" t="inlineStr">
        <is>
          <t>Boom Battle Bar</t>
        </is>
      </c>
      <c r="F694" s="13" t="inlineStr">
        <is>
          <t>amenity: bar</t>
        </is>
      </c>
      <c r="G694" s="13" t="inlineStr">
        <is>
          <t>guestservices@boombattlebar.com</t>
        </is>
      </c>
      <c r="H694" s="13" t="inlineStr">
        <is>
          <t>person_or_other</t>
        </is>
      </c>
      <c r="I694" s="13" t="n"/>
      <c r="J694" s="14" t="inlineStr">
        <is>
          <t>https://boombattlebar.com/</t>
        </is>
      </c>
      <c r="K694" s="13" t="inlineStr">
        <is>
          <t>Chaucer Gardens 19, London</t>
        </is>
      </c>
      <c r="L694" s="13" t="inlineStr">
        <is>
          <t>E1 8QG</t>
        </is>
      </c>
      <c r="M694" s="13" t="inlineStr">
        <is>
          <t>Whitechapel</t>
        </is>
      </c>
      <c r="N694" s="13" t="n">
        <v>10</v>
      </c>
      <c r="O694" s="15">
        <f>IFERROR(INDEX(Venues!$C$2:$C$10,MATCH(M694,Venues!$A$2:$A$10,0)),"Not checked")</f>
        <v/>
      </c>
      <c r="P694" s="15">
        <f>IFERROR(INDEX(Venues!$D$2:$D$10,MATCH(M694,Venues!$A$2:$A$10,0)),0)</f>
        <v/>
      </c>
      <c r="Q694" s="42">
        <f>IFERROR(INDEX(Venues!$E$2:$E$10,MATCH(M694,Venues!$A$2:$A$10,0)),"")</f>
        <v/>
      </c>
      <c r="R694" s="15">
        <f>IF(P694&gt;0,"Yes","No")</f>
        <v/>
      </c>
      <c r="S694" s="13" t="inlineStr">
        <is>
          <t>COLA Shoreditch Park</t>
        </is>
      </c>
      <c r="T694" s="42">
        <f>IFERROR(INDEX(Venues!$E$2:$E$10,MATCH(S694,Venues!$A$2:$A$10,0)),"")</f>
        <v/>
      </c>
      <c r="U694" s="15">
        <f>IFERROR(INDEX(Venues!$F$2:$F$10,MATCH(S694,Venues!$A$2:$A$10,0)),"")</f>
        <v/>
      </c>
      <c r="V694" s="43">
        <f>IFERROR(INDEX(Venues!$H$2:$H$10,MATCH(S694,Venues!$A$2:$A$10,0)),"")</f>
        <v/>
      </c>
      <c r="W694" s="15">
        <f>IF('Pilot offer'!$C$24="Yes",'Pilot offer'!$C$3,S694)</f>
        <v/>
      </c>
      <c r="X694" s="42">
        <f>IF('Pilot offer'!$C$24="Yes",'Pilot offer'!$C$5+'Pilot offer'!$C$6,T694)</f>
        <v/>
      </c>
      <c r="Y694" s="15">
        <f>IF('Pilot offer'!$C$24="Yes",'Pilot offer'!$C$8,U694)</f>
        <v/>
      </c>
      <c r="Z694" s="43">
        <f>IF('Pilot offer'!$C$24="Yes",'Pilot offer'!$C$11,"")</f>
        <v/>
      </c>
      <c r="AA694" s="15">
        <f>IF(X694="","",W694&amp;" · "&amp;TEXT(X694,"ddd d mmm, hh:mm")&amp;" · "&amp;Y694&amp;IF(Z694&lt;&gt;""," · £"&amp;TEXT(Z694,"0.00")&amp;" per player"," · price TBC (cost £"&amp;TEXT(V694,"0.00")&amp;" pp)"))</f>
        <v/>
      </c>
      <c r="AD694" s="44" t="n"/>
    </row>
    <row r="695">
      <c r="A695" s="13" t="n">
        <v>693</v>
      </c>
      <c r="B695" s="13" t="inlineStr">
        <is>
          <t>3 · E1 Whitechapel</t>
        </is>
      </c>
      <c r="C695" s="13" t="inlineStr">
        <is>
          <t>Hospitality</t>
        </is>
      </c>
      <c r="D695" s="13" t="inlineStr">
        <is>
          <t>Local businesses</t>
        </is>
      </c>
      <c r="E695" s="13" t="inlineStr">
        <is>
          <t>Amber London</t>
        </is>
      </c>
      <c r="F695" s="13" t="inlineStr">
        <is>
          <t>amenity: restaurant</t>
        </is>
      </c>
      <c r="G695" s="13" t="inlineStr">
        <is>
          <t>info@thisisamber.co.uk</t>
        </is>
      </c>
      <c r="H695" s="13" t="inlineStr">
        <is>
          <t>general</t>
        </is>
      </c>
      <c r="I695" s="13" t="inlineStr">
        <is>
          <t>+44 20 7702 0700</t>
        </is>
      </c>
      <c r="J695" s="14" t="inlineStr">
        <is>
          <t>https://www.thisisamber.co.uk/</t>
        </is>
      </c>
      <c r="K695" s="13" t="inlineStr">
        <is>
          <t>Piazza Walk 21, London</t>
        </is>
      </c>
      <c r="L695" s="13" t="inlineStr">
        <is>
          <t>E1 8QH</t>
        </is>
      </c>
      <c r="M695" s="13" t="inlineStr">
        <is>
          <t>Whitechapel</t>
        </is>
      </c>
      <c r="N695" s="13" t="n">
        <v>10</v>
      </c>
      <c r="O695" s="15">
        <f>IFERROR(INDEX(Venues!$C$2:$C$10,MATCH(M695,Venues!$A$2:$A$10,0)),"Not checked")</f>
        <v/>
      </c>
      <c r="P695" s="15">
        <f>IFERROR(INDEX(Venues!$D$2:$D$10,MATCH(M695,Venues!$A$2:$A$10,0)),0)</f>
        <v/>
      </c>
      <c r="Q695" s="42">
        <f>IFERROR(INDEX(Venues!$E$2:$E$10,MATCH(M695,Venues!$A$2:$A$10,0)),"")</f>
        <v/>
      </c>
      <c r="R695" s="15">
        <f>IF(P695&gt;0,"Yes","No")</f>
        <v/>
      </c>
      <c r="S695" s="13" t="inlineStr">
        <is>
          <t>COLA Shoreditch Park</t>
        </is>
      </c>
      <c r="T695" s="42">
        <f>IFERROR(INDEX(Venues!$E$2:$E$10,MATCH(S695,Venues!$A$2:$A$10,0)),"")</f>
        <v/>
      </c>
      <c r="U695" s="15">
        <f>IFERROR(INDEX(Venues!$F$2:$F$10,MATCH(S695,Venues!$A$2:$A$10,0)),"")</f>
        <v/>
      </c>
      <c r="V695" s="43">
        <f>IFERROR(INDEX(Venues!$H$2:$H$10,MATCH(S695,Venues!$A$2:$A$10,0)),"")</f>
        <v/>
      </c>
      <c r="W695" s="15">
        <f>IF('Pilot offer'!$C$24="Yes",'Pilot offer'!$C$3,S695)</f>
        <v/>
      </c>
      <c r="X695" s="42">
        <f>IF('Pilot offer'!$C$24="Yes",'Pilot offer'!$C$5+'Pilot offer'!$C$6,T695)</f>
        <v/>
      </c>
      <c r="Y695" s="15">
        <f>IF('Pilot offer'!$C$24="Yes",'Pilot offer'!$C$8,U695)</f>
        <v/>
      </c>
      <c r="Z695" s="43">
        <f>IF('Pilot offer'!$C$24="Yes",'Pilot offer'!$C$11,"")</f>
        <v/>
      </c>
      <c r="AA695" s="15">
        <f>IF(X695="","",W695&amp;" · "&amp;TEXT(X695,"ddd d mmm, hh:mm")&amp;" · "&amp;Y695&amp;IF(Z695&lt;&gt;""," · £"&amp;TEXT(Z695,"0.00")&amp;" per player"," · price TBC (cost £"&amp;TEXT(V695,"0.00")&amp;" pp)"))</f>
        <v/>
      </c>
      <c r="AD695" s="44" t="n"/>
    </row>
    <row r="696">
      <c r="A696" s="13" t="n">
        <v>694</v>
      </c>
      <c r="B696" s="13" t="inlineStr">
        <is>
          <t>3 · E1 Whitechapel</t>
        </is>
      </c>
      <c r="C696" s="13" t="inlineStr">
        <is>
          <t>Health</t>
        </is>
      </c>
      <c r="D696" s="13" t="inlineStr">
        <is>
          <t>Local businesses</t>
        </is>
      </c>
      <c r="E696" s="13" t="inlineStr">
        <is>
          <t>Goodman's Field Medical Practice</t>
        </is>
      </c>
      <c r="F696" s="13" t="inlineStr">
        <is>
          <t>amenity: doctors</t>
        </is>
      </c>
      <c r="G696" s="13" t="inlineStr">
        <is>
          <t>thccg.goodmansfieldhealthcentre@nhs.net</t>
        </is>
      </c>
      <c r="H696" s="13" t="inlineStr">
        <is>
          <t>openstreetmap_tag</t>
        </is>
      </c>
      <c r="I696" s="13" t="inlineStr">
        <is>
          <t>+44 20 7702 2036</t>
        </is>
      </c>
      <c r="J696" s="14" t="inlineStr">
        <is>
          <t>https://goodmansfieldgp.co.uk/</t>
        </is>
      </c>
      <c r="K696" s="13" t="inlineStr">
        <is>
          <t>Stable Walk 11, London</t>
        </is>
      </c>
      <c r="L696" s="13" t="inlineStr">
        <is>
          <t>E1 8ZF</t>
        </is>
      </c>
      <c r="M696" s="13" t="inlineStr">
        <is>
          <t>Whitechapel</t>
        </is>
      </c>
      <c r="N696" s="13" t="n">
        <v>11</v>
      </c>
      <c r="O696" s="15">
        <f>IFERROR(INDEX(Venues!$C$2:$C$10,MATCH(M696,Venues!$A$2:$A$10,0)),"Not checked")</f>
        <v/>
      </c>
      <c r="P696" s="15">
        <f>IFERROR(INDEX(Venues!$D$2:$D$10,MATCH(M696,Venues!$A$2:$A$10,0)),0)</f>
        <v/>
      </c>
      <c r="Q696" s="42">
        <f>IFERROR(INDEX(Venues!$E$2:$E$10,MATCH(M696,Venues!$A$2:$A$10,0)),"")</f>
        <v/>
      </c>
      <c r="R696" s="15">
        <f>IF(P696&gt;0,"Yes","No")</f>
        <v/>
      </c>
      <c r="S696" s="13" t="inlineStr">
        <is>
          <t>COLA Shoreditch Park</t>
        </is>
      </c>
      <c r="T696" s="42">
        <f>IFERROR(INDEX(Venues!$E$2:$E$10,MATCH(S696,Venues!$A$2:$A$10,0)),"")</f>
        <v/>
      </c>
      <c r="U696" s="15">
        <f>IFERROR(INDEX(Venues!$F$2:$F$10,MATCH(S696,Venues!$A$2:$A$10,0)),"")</f>
        <v/>
      </c>
      <c r="V696" s="43">
        <f>IFERROR(INDEX(Venues!$H$2:$H$10,MATCH(S696,Venues!$A$2:$A$10,0)),"")</f>
        <v/>
      </c>
      <c r="W696" s="15">
        <f>IF('Pilot offer'!$C$24="Yes",'Pilot offer'!$C$3,S696)</f>
        <v/>
      </c>
      <c r="X696" s="42">
        <f>IF('Pilot offer'!$C$24="Yes",'Pilot offer'!$C$5+'Pilot offer'!$C$6,T696)</f>
        <v/>
      </c>
      <c r="Y696" s="15">
        <f>IF('Pilot offer'!$C$24="Yes",'Pilot offer'!$C$8,U696)</f>
        <v/>
      </c>
      <c r="Z696" s="43">
        <f>IF('Pilot offer'!$C$24="Yes",'Pilot offer'!$C$11,"")</f>
        <v/>
      </c>
      <c r="AA696" s="15">
        <f>IF(X696="","",W696&amp;" · "&amp;TEXT(X696,"ddd d mmm, hh:mm")&amp;" · "&amp;Y696&amp;IF(Z696&lt;&gt;""," · £"&amp;TEXT(Z696,"0.00")&amp;" per player"," · price TBC (cost £"&amp;TEXT(V696,"0.00")&amp;" pp)"))</f>
        <v/>
      </c>
      <c r="AD696" s="44" t="n"/>
    </row>
    <row r="697">
      <c r="A697" s="13" t="n">
        <v>695</v>
      </c>
      <c r="B697" s="13" t="inlineStr">
        <is>
          <t>3 · E1 Whitechapel</t>
        </is>
      </c>
      <c r="C697" s="13" t="inlineStr">
        <is>
          <t>Health</t>
        </is>
      </c>
      <c r="D697" s="13" t="inlineStr">
        <is>
          <t>Local businesses</t>
        </is>
      </c>
      <c r="E697" s="13" t="inlineStr">
        <is>
          <t>Sai Chemist</t>
        </is>
      </c>
      <c r="F697" s="13" t="inlineStr">
        <is>
          <t>amenity: pharmacy</t>
        </is>
      </c>
      <c r="G697" s="13" t="inlineStr">
        <is>
          <t>cordeve1@gmail.com</t>
        </is>
      </c>
      <c r="H697" s="13" t="inlineStr">
        <is>
          <t>freemail</t>
        </is>
      </c>
      <c r="I697" s="13" t="inlineStr">
        <is>
          <t>+44 20 7488 4970</t>
        </is>
      </c>
      <c r="J697" s="14" t="inlineStr">
        <is>
          <t>https://saichemist.co.uk/</t>
        </is>
      </c>
      <c r="K697" s="13" t="inlineStr">
        <is>
          <t>Stable Walk 19, London</t>
        </is>
      </c>
      <c r="L697" s="13" t="inlineStr">
        <is>
          <t>E1 8ZF</t>
        </is>
      </c>
      <c r="M697" s="13" t="inlineStr">
        <is>
          <t>Whitechapel</t>
        </is>
      </c>
      <c r="N697" s="13" t="n">
        <v>11</v>
      </c>
      <c r="O697" s="15">
        <f>IFERROR(INDEX(Venues!$C$2:$C$10,MATCH(M697,Venues!$A$2:$A$10,0)),"Not checked")</f>
        <v/>
      </c>
      <c r="P697" s="15">
        <f>IFERROR(INDEX(Venues!$D$2:$D$10,MATCH(M697,Venues!$A$2:$A$10,0)),0)</f>
        <v/>
      </c>
      <c r="Q697" s="42">
        <f>IFERROR(INDEX(Venues!$E$2:$E$10,MATCH(M697,Venues!$A$2:$A$10,0)),"")</f>
        <v/>
      </c>
      <c r="R697" s="15">
        <f>IF(P697&gt;0,"Yes","No")</f>
        <v/>
      </c>
      <c r="S697" s="13" t="inlineStr">
        <is>
          <t>COLA Shoreditch Park</t>
        </is>
      </c>
      <c r="T697" s="42">
        <f>IFERROR(INDEX(Venues!$E$2:$E$10,MATCH(S697,Venues!$A$2:$A$10,0)),"")</f>
        <v/>
      </c>
      <c r="U697" s="15">
        <f>IFERROR(INDEX(Venues!$F$2:$F$10,MATCH(S697,Venues!$A$2:$A$10,0)),"")</f>
        <v/>
      </c>
      <c r="V697" s="43">
        <f>IFERROR(INDEX(Venues!$H$2:$H$10,MATCH(S697,Venues!$A$2:$A$10,0)),"")</f>
        <v/>
      </c>
      <c r="W697" s="15">
        <f>IF('Pilot offer'!$C$24="Yes",'Pilot offer'!$C$3,S697)</f>
        <v/>
      </c>
      <c r="X697" s="42">
        <f>IF('Pilot offer'!$C$24="Yes",'Pilot offer'!$C$5+'Pilot offer'!$C$6,T697)</f>
        <v/>
      </c>
      <c r="Y697" s="15">
        <f>IF('Pilot offer'!$C$24="Yes",'Pilot offer'!$C$8,U697)</f>
        <v/>
      </c>
      <c r="Z697" s="43">
        <f>IF('Pilot offer'!$C$24="Yes",'Pilot offer'!$C$11,"")</f>
        <v/>
      </c>
      <c r="AA697" s="15">
        <f>IF(X697="","",W697&amp;" · "&amp;TEXT(X697,"ddd d mmm, hh:mm")&amp;" · "&amp;Y697&amp;IF(Z697&lt;&gt;""," · £"&amp;TEXT(Z697,"0.00")&amp;" per player"," · price TBC (cost £"&amp;TEXT(V697,"0.00")&amp;" pp)"))</f>
        <v/>
      </c>
      <c r="AD697" s="44" t="n"/>
    </row>
    <row r="698">
      <c r="A698" s="13" t="n">
        <v>696</v>
      </c>
      <c r="B698" s="13" t="inlineStr">
        <is>
          <t>3 · E1 Whitechapel</t>
        </is>
      </c>
      <c r="C698" s="13" t="inlineStr">
        <is>
          <t>Retail</t>
        </is>
      </c>
      <c r="D698" s="13" t="inlineStr">
        <is>
          <t>Local businesses</t>
        </is>
      </c>
      <c r="E698" s="13" t="inlineStr">
        <is>
          <t>Tian Tian Market</t>
        </is>
      </c>
      <c r="F698" s="13" t="inlineStr">
        <is>
          <t>shop: supermarket</t>
        </is>
      </c>
      <c r="G698" s="13" t="inlineStr">
        <is>
          <t>info@tiantian.london</t>
        </is>
      </c>
      <c r="H698" s="13" t="inlineStr">
        <is>
          <t>general</t>
        </is>
      </c>
      <c r="I698" s="13" t="n"/>
      <c r="J698" s="14" t="inlineStr">
        <is>
          <t>https://www.tiantian.london/</t>
        </is>
      </c>
      <c r="K698" s="13" t="inlineStr">
        <is>
          <t>Piazza Walk 18, London</t>
        </is>
      </c>
      <c r="L698" s="13" t="inlineStr">
        <is>
          <t>E1 8ZN</t>
        </is>
      </c>
      <c r="M698" s="13" t="inlineStr">
        <is>
          <t>Whitechapel</t>
        </is>
      </c>
      <c r="N698" s="13" t="n">
        <v>10</v>
      </c>
      <c r="O698" s="15">
        <f>IFERROR(INDEX(Venues!$C$2:$C$10,MATCH(M698,Venues!$A$2:$A$10,0)),"Not checked")</f>
        <v/>
      </c>
      <c r="P698" s="15">
        <f>IFERROR(INDEX(Venues!$D$2:$D$10,MATCH(M698,Venues!$A$2:$A$10,0)),0)</f>
        <v/>
      </c>
      <c r="Q698" s="42">
        <f>IFERROR(INDEX(Venues!$E$2:$E$10,MATCH(M698,Venues!$A$2:$A$10,0)),"")</f>
        <v/>
      </c>
      <c r="R698" s="15">
        <f>IF(P698&gt;0,"Yes","No")</f>
        <v/>
      </c>
      <c r="S698" s="13" t="inlineStr">
        <is>
          <t>COLA Shoreditch Park</t>
        </is>
      </c>
      <c r="T698" s="42">
        <f>IFERROR(INDEX(Venues!$E$2:$E$10,MATCH(S698,Venues!$A$2:$A$10,0)),"")</f>
        <v/>
      </c>
      <c r="U698" s="15">
        <f>IFERROR(INDEX(Venues!$F$2:$F$10,MATCH(S698,Venues!$A$2:$A$10,0)),"")</f>
        <v/>
      </c>
      <c r="V698" s="43">
        <f>IFERROR(INDEX(Venues!$H$2:$H$10,MATCH(S698,Venues!$A$2:$A$10,0)),"")</f>
        <v/>
      </c>
      <c r="W698" s="15">
        <f>IF('Pilot offer'!$C$24="Yes",'Pilot offer'!$C$3,S698)</f>
        <v/>
      </c>
      <c r="X698" s="42">
        <f>IF('Pilot offer'!$C$24="Yes",'Pilot offer'!$C$5+'Pilot offer'!$C$6,T698)</f>
        <v/>
      </c>
      <c r="Y698" s="15">
        <f>IF('Pilot offer'!$C$24="Yes",'Pilot offer'!$C$8,U698)</f>
        <v/>
      </c>
      <c r="Z698" s="43">
        <f>IF('Pilot offer'!$C$24="Yes",'Pilot offer'!$C$11,"")</f>
        <v/>
      </c>
      <c r="AA698" s="15">
        <f>IF(X698="","",W698&amp;" · "&amp;TEXT(X698,"ddd d mmm, hh:mm")&amp;" · "&amp;Y698&amp;IF(Z698&lt;&gt;""," · £"&amp;TEXT(Z698,"0.00")&amp;" per player"," · price TBC (cost £"&amp;TEXT(V698,"0.00")&amp;" pp)"))</f>
        <v/>
      </c>
      <c r="AD698" s="44" t="n"/>
    </row>
  </sheetData>
  <autoFilter ref="A2:AM698"/>
  <mergeCells count="5">
    <mergeCell ref="R1:V1"/>
    <mergeCell ref="AB1:AM1"/>
    <mergeCell ref="A1:L1"/>
    <mergeCell ref="W1:AA1"/>
    <mergeCell ref="M1:Q1"/>
  </mergeCells>
  <dataValidations count="9">
    <dataValidation sqref="AB3:AB2000" showDropDown="0" showInputMessage="0" showErrorMessage="0" allowBlank="1" type="list">
      <formula1>"Luuk,Joep,Brian,Stan,Nero,Nicky"</formula1>
    </dataValidation>
    <dataValidation sqref="AC3:AC2000" showDropDown="0" showInputMessage="0" showErrorMessage="0" allowBlank="1" type="list">
      <formula1>"Email,LinkedIn,Phone,Instagram,WhatsApp,Walk-in,Other"</formula1>
    </dataValidation>
    <dataValidation sqref="AE3:AE2000" showDropDown="0" showInputMessage="0" showErrorMessage="0" allowBlank="1" type="list">
      <formula1>"Yes,No"</formula1>
    </dataValidation>
    <dataValidation sqref="AF3:AF2000" showDropDown="0" showInputMessage="0" showErrorMessage="0" allowBlank="1" type="list">
      <formula1>"Yes,No"</formula1>
    </dataValidation>
    <dataValidation sqref="AG3:AG2000" showDropDown="0" showInputMessage="0" showErrorMessage="0" allowBlank="1" type="list">
      <formula1>"Yes,No"</formula1>
    </dataValidation>
    <dataValidation sqref="AH3:AH2000" showDropDown="0" showInputMessage="0" showErrorMessage="0" allowBlank="1" type="list">
      <formula1>"Yes,No"</formula1>
    </dataValidation>
    <dataValidation sqref="AI3:AI2000" showDropDown="0" showInputMessage="0" showErrorMessage="0" allowBlank="1" type="list">
      <formula1>"Yes,No"</formula1>
    </dataValidation>
    <dataValidation sqref="AJ3:AJ2000" showDropDown="0" showInputMessage="0" showErrorMessage="0" allowBlank="1" type="list">
      <formula1>"Yes,No"</formula1>
    </dataValidation>
    <dataValidation sqref="AD3:AD2000" showDropDown="0" showInputMessage="0" showErrorMessage="0" allowBlank="1" type="date"/>
  </dataValidations>
  <hyperlinks>
    <hyperlink xmlns:r="http://schemas.openxmlformats.org/officeDocument/2006/relationships" ref="J3" r:id="rId1"/>
    <hyperlink xmlns:r="http://schemas.openxmlformats.org/officeDocument/2006/relationships" ref="J4" r:id="rId2"/>
    <hyperlink xmlns:r="http://schemas.openxmlformats.org/officeDocument/2006/relationships" ref="J5" r:id="rId3"/>
    <hyperlink xmlns:r="http://schemas.openxmlformats.org/officeDocument/2006/relationships" ref="J6" r:id="rId4"/>
    <hyperlink xmlns:r="http://schemas.openxmlformats.org/officeDocument/2006/relationships" ref="J7" r:id="rId5"/>
    <hyperlink xmlns:r="http://schemas.openxmlformats.org/officeDocument/2006/relationships" ref="J8" r:id="rId6"/>
    <hyperlink xmlns:r="http://schemas.openxmlformats.org/officeDocument/2006/relationships" ref="J9" r:id="rId7"/>
    <hyperlink xmlns:r="http://schemas.openxmlformats.org/officeDocument/2006/relationships" ref="J10" r:id="rId8"/>
    <hyperlink xmlns:r="http://schemas.openxmlformats.org/officeDocument/2006/relationships" ref="J11" r:id="rId9"/>
    <hyperlink xmlns:r="http://schemas.openxmlformats.org/officeDocument/2006/relationships" ref="J12" r:id="rId10"/>
    <hyperlink xmlns:r="http://schemas.openxmlformats.org/officeDocument/2006/relationships" ref="J13" r:id="rId11"/>
    <hyperlink xmlns:r="http://schemas.openxmlformats.org/officeDocument/2006/relationships" ref="J14" r:id="rId12"/>
    <hyperlink xmlns:r="http://schemas.openxmlformats.org/officeDocument/2006/relationships" ref="J15" r:id="rId13"/>
    <hyperlink xmlns:r="http://schemas.openxmlformats.org/officeDocument/2006/relationships" ref="J16" r:id="rId14"/>
    <hyperlink xmlns:r="http://schemas.openxmlformats.org/officeDocument/2006/relationships" ref="J18" r:id="rId15"/>
    <hyperlink xmlns:r="http://schemas.openxmlformats.org/officeDocument/2006/relationships" ref="J19" r:id="rId16"/>
    <hyperlink xmlns:r="http://schemas.openxmlformats.org/officeDocument/2006/relationships" ref="J20" r:id="rId17"/>
    <hyperlink xmlns:r="http://schemas.openxmlformats.org/officeDocument/2006/relationships" ref="J21" r:id="rId18"/>
    <hyperlink xmlns:r="http://schemas.openxmlformats.org/officeDocument/2006/relationships" ref="J22" r:id="rId19"/>
    <hyperlink xmlns:r="http://schemas.openxmlformats.org/officeDocument/2006/relationships" ref="J23" r:id="rId20"/>
    <hyperlink xmlns:r="http://schemas.openxmlformats.org/officeDocument/2006/relationships" ref="J24" r:id="rId21"/>
    <hyperlink xmlns:r="http://schemas.openxmlformats.org/officeDocument/2006/relationships" ref="J25" r:id="rId22"/>
    <hyperlink xmlns:r="http://schemas.openxmlformats.org/officeDocument/2006/relationships" ref="J26" r:id="rId23"/>
    <hyperlink xmlns:r="http://schemas.openxmlformats.org/officeDocument/2006/relationships" ref="J27" r:id="rId24"/>
    <hyperlink xmlns:r="http://schemas.openxmlformats.org/officeDocument/2006/relationships" ref="J28" r:id="rId25"/>
    <hyperlink xmlns:r="http://schemas.openxmlformats.org/officeDocument/2006/relationships" ref="J29" r:id="rId26"/>
    <hyperlink xmlns:r="http://schemas.openxmlformats.org/officeDocument/2006/relationships" ref="J30" r:id="rId27"/>
    <hyperlink xmlns:r="http://schemas.openxmlformats.org/officeDocument/2006/relationships" ref="J31" r:id="rId28"/>
    <hyperlink xmlns:r="http://schemas.openxmlformats.org/officeDocument/2006/relationships" ref="J32" r:id="rId29"/>
    <hyperlink xmlns:r="http://schemas.openxmlformats.org/officeDocument/2006/relationships" ref="J33" r:id="rId30"/>
    <hyperlink xmlns:r="http://schemas.openxmlformats.org/officeDocument/2006/relationships" ref="J34" r:id="rId31"/>
    <hyperlink xmlns:r="http://schemas.openxmlformats.org/officeDocument/2006/relationships" ref="J35" r:id="rId32"/>
    <hyperlink xmlns:r="http://schemas.openxmlformats.org/officeDocument/2006/relationships" ref="J36" r:id="rId33"/>
    <hyperlink xmlns:r="http://schemas.openxmlformats.org/officeDocument/2006/relationships" ref="J37" r:id="rId34"/>
    <hyperlink xmlns:r="http://schemas.openxmlformats.org/officeDocument/2006/relationships" ref="J38" r:id="rId35"/>
    <hyperlink xmlns:r="http://schemas.openxmlformats.org/officeDocument/2006/relationships" ref="J39" r:id="rId36"/>
    <hyperlink xmlns:r="http://schemas.openxmlformats.org/officeDocument/2006/relationships" ref="J40" r:id="rId37"/>
    <hyperlink xmlns:r="http://schemas.openxmlformats.org/officeDocument/2006/relationships" ref="J41" r:id="rId38"/>
    <hyperlink xmlns:r="http://schemas.openxmlformats.org/officeDocument/2006/relationships" ref="J42" r:id="rId39"/>
    <hyperlink xmlns:r="http://schemas.openxmlformats.org/officeDocument/2006/relationships" ref="J44" r:id="rId40"/>
    <hyperlink xmlns:r="http://schemas.openxmlformats.org/officeDocument/2006/relationships" ref="J45" r:id="rId41"/>
    <hyperlink xmlns:r="http://schemas.openxmlformats.org/officeDocument/2006/relationships" ref="J46" r:id="rId42"/>
    <hyperlink xmlns:r="http://schemas.openxmlformats.org/officeDocument/2006/relationships" ref="J47" r:id="rId43"/>
    <hyperlink xmlns:r="http://schemas.openxmlformats.org/officeDocument/2006/relationships" ref="J48" r:id="rId44"/>
    <hyperlink xmlns:r="http://schemas.openxmlformats.org/officeDocument/2006/relationships" ref="J49" r:id="rId45"/>
    <hyperlink xmlns:r="http://schemas.openxmlformats.org/officeDocument/2006/relationships" ref="J50" r:id="rId46"/>
    <hyperlink xmlns:r="http://schemas.openxmlformats.org/officeDocument/2006/relationships" ref="J51" r:id="rId47"/>
    <hyperlink xmlns:r="http://schemas.openxmlformats.org/officeDocument/2006/relationships" ref="J52" r:id="rId48"/>
    <hyperlink xmlns:r="http://schemas.openxmlformats.org/officeDocument/2006/relationships" ref="J53" r:id="rId49"/>
    <hyperlink xmlns:r="http://schemas.openxmlformats.org/officeDocument/2006/relationships" ref="J54" r:id="rId50"/>
    <hyperlink xmlns:r="http://schemas.openxmlformats.org/officeDocument/2006/relationships" ref="J55" r:id="rId51"/>
    <hyperlink xmlns:r="http://schemas.openxmlformats.org/officeDocument/2006/relationships" ref="J56" r:id="rId52"/>
    <hyperlink xmlns:r="http://schemas.openxmlformats.org/officeDocument/2006/relationships" ref="J57" r:id="rId53"/>
    <hyperlink xmlns:r="http://schemas.openxmlformats.org/officeDocument/2006/relationships" ref="J58" r:id="rId54"/>
    <hyperlink xmlns:r="http://schemas.openxmlformats.org/officeDocument/2006/relationships" ref="J59" r:id="rId55"/>
    <hyperlink xmlns:r="http://schemas.openxmlformats.org/officeDocument/2006/relationships" ref="J60" r:id="rId56"/>
    <hyperlink xmlns:r="http://schemas.openxmlformats.org/officeDocument/2006/relationships" ref="J61" r:id="rId57"/>
    <hyperlink xmlns:r="http://schemas.openxmlformats.org/officeDocument/2006/relationships" ref="J62" r:id="rId58"/>
    <hyperlink xmlns:r="http://schemas.openxmlformats.org/officeDocument/2006/relationships" ref="J63" r:id="rId59"/>
    <hyperlink xmlns:r="http://schemas.openxmlformats.org/officeDocument/2006/relationships" ref="J64" r:id="rId60"/>
    <hyperlink xmlns:r="http://schemas.openxmlformats.org/officeDocument/2006/relationships" ref="J65" r:id="rId61"/>
    <hyperlink xmlns:r="http://schemas.openxmlformats.org/officeDocument/2006/relationships" ref="J66" r:id="rId62"/>
    <hyperlink xmlns:r="http://schemas.openxmlformats.org/officeDocument/2006/relationships" ref="J67" r:id="rId63"/>
    <hyperlink xmlns:r="http://schemas.openxmlformats.org/officeDocument/2006/relationships" ref="J68" r:id="rId64"/>
    <hyperlink xmlns:r="http://schemas.openxmlformats.org/officeDocument/2006/relationships" ref="J69" r:id="rId65"/>
    <hyperlink xmlns:r="http://schemas.openxmlformats.org/officeDocument/2006/relationships" ref="J70" r:id="rId66"/>
    <hyperlink xmlns:r="http://schemas.openxmlformats.org/officeDocument/2006/relationships" ref="J71" r:id="rId67"/>
    <hyperlink xmlns:r="http://schemas.openxmlformats.org/officeDocument/2006/relationships" ref="J72" r:id="rId68"/>
    <hyperlink xmlns:r="http://schemas.openxmlformats.org/officeDocument/2006/relationships" ref="J73" r:id="rId69"/>
    <hyperlink xmlns:r="http://schemas.openxmlformats.org/officeDocument/2006/relationships" ref="J74" r:id="rId70"/>
    <hyperlink xmlns:r="http://schemas.openxmlformats.org/officeDocument/2006/relationships" ref="J75" r:id="rId71"/>
    <hyperlink xmlns:r="http://schemas.openxmlformats.org/officeDocument/2006/relationships" ref="J76" r:id="rId72"/>
    <hyperlink xmlns:r="http://schemas.openxmlformats.org/officeDocument/2006/relationships" ref="J77" r:id="rId73"/>
    <hyperlink xmlns:r="http://schemas.openxmlformats.org/officeDocument/2006/relationships" ref="J78" r:id="rId74"/>
    <hyperlink xmlns:r="http://schemas.openxmlformats.org/officeDocument/2006/relationships" ref="J79" r:id="rId75"/>
    <hyperlink xmlns:r="http://schemas.openxmlformats.org/officeDocument/2006/relationships" ref="J80" r:id="rId76"/>
    <hyperlink xmlns:r="http://schemas.openxmlformats.org/officeDocument/2006/relationships" ref="J81" r:id="rId77"/>
    <hyperlink xmlns:r="http://schemas.openxmlformats.org/officeDocument/2006/relationships" ref="J82" r:id="rId78"/>
    <hyperlink xmlns:r="http://schemas.openxmlformats.org/officeDocument/2006/relationships" ref="J83" r:id="rId79"/>
    <hyperlink xmlns:r="http://schemas.openxmlformats.org/officeDocument/2006/relationships" ref="J84" r:id="rId80"/>
    <hyperlink xmlns:r="http://schemas.openxmlformats.org/officeDocument/2006/relationships" ref="J85" r:id="rId81"/>
    <hyperlink xmlns:r="http://schemas.openxmlformats.org/officeDocument/2006/relationships" ref="J86" r:id="rId82"/>
    <hyperlink xmlns:r="http://schemas.openxmlformats.org/officeDocument/2006/relationships" ref="J87" r:id="rId83"/>
    <hyperlink xmlns:r="http://schemas.openxmlformats.org/officeDocument/2006/relationships" ref="J88" r:id="rId84"/>
    <hyperlink xmlns:r="http://schemas.openxmlformats.org/officeDocument/2006/relationships" ref="J89" r:id="rId85"/>
    <hyperlink xmlns:r="http://schemas.openxmlformats.org/officeDocument/2006/relationships" ref="J90" r:id="rId86"/>
    <hyperlink xmlns:r="http://schemas.openxmlformats.org/officeDocument/2006/relationships" ref="J91" r:id="rId87"/>
    <hyperlink xmlns:r="http://schemas.openxmlformats.org/officeDocument/2006/relationships" ref="J92" r:id="rId88"/>
    <hyperlink xmlns:r="http://schemas.openxmlformats.org/officeDocument/2006/relationships" ref="J93" r:id="rId89"/>
    <hyperlink xmlns:r="http://schemas.openxmlformats.org/officeDocument/2006/relationships" ref="J94" r:id="rId90"/>
    <hyperlink xmlns:r="http://schemas.openxmlformats.org/officeDocument/2006/relationships" ref="J95" r:id="rId91"/>
    <hyperlink xmlns:r="http://schemas.openxmlformats.org/officeDocument/2006/relationships" ref="J96" r:id="rId92"/>
    <hyperlink xmlns:r="http://schemas.openxmlformats.org/officeDocument/2006/relationships" ref="J97" r:id="rId93"/>
    <hyperlink xmlns:r="http://schemas.openxmlformats.org/officeDocument/2006/relationships" ref="J98" r:id="rId94"/>
    <hyperlink xmlns:r="http://schemas.openxmlformats.org/officeDocument/2006/relationships" ref="J99" r:id="rId95"/>
    <hyperlink xmlns:r="http://schemas.openxmlformats.org/officeDocument/2006/relationships" ref="J100" r:id="rId96"/>
    <hyperlink xmlns:r="http://schemas.openxmlformats.org/officeDocument/2006/relationships" ref="J101" r:id="rId97"/>
    <hyperlink xmlns:r="http://schemas.openxmlformats.org/officeDocument/2006/relationships" ref="J102" r:id="rId98"/>
    <hyperlink xmlns:r="http://schemas.openxmlformats.org/officeDocument/2006/relationships" ref="J103" r:id="rId99"/>
    <hyperlink xmlns:r="http://schemas.openxmlformats.org/officeDocument/2006/relationships" ref="J104" r:id="rId100"/>
    <hyperlink xmlns:r="http://schemas.openxmlformats.org/officeDocument/2006/relationships" ref="J105" r:id="rId101"/>
    <hyperlink xmlns:r="http://schemas.openxmlformats.org/officeDocument/2006/relationships" ref="J106" r:id="rId102"/>
    <hyperlink xmlns:r="http://schemas.openxmlformats.org/officeDocument/2006/relationships" ref="J107" r:id="rId103"/>
    <hyperlink xmlns:r="http://schemas.openxmlformats.org/officeDocument/2006/relationships" ref="J108" r:id="rId104"/>
    <hyperlink xmlns:r="http://schemas.openxmlformats.org/officeDocument/2006/relationships" ref="J110" r:id="rId105"/>
    <hyperlink xmlns:r="http://schemas.openxmlformats.org/officeDocument/2006/relationships" ref="J111" r:id="rId106"/>
    <hyperlink xmlns:r="http://schemas.openxmlformats.org/officeDocument/2006/relationships" ref="J112" r:id="rId107"/>
    <hyperlink xmlns:r="http://schemas.openxmlformats.org/officeDocument/2006/relationships" ref="J113" r:id="rId108"/>
    <hyperlink xmlns:r="http://schemas.openxmlformats.org/officeDocument/2006/relationships" ref="J114" r:id="rId109"/>
    <hyperlink xmlns:r="http://schemas.openxmlformats.org/officeDocument/2006/relationships" ref="J115" r:id="rId110"/>
    <hyperlink xmlns:r="http://schemas.openxmlformats.org/officeDocument/2006/relationships" ref="J116" r:id="rId111"/>
    <hyperlink xmlns:r="http://schemas.openxmlformats.org/officeDocument/2006/relationships" ref="J117" r:id="rId112"/>
    <hyperlink xmlns:r="http://schemas.openxmlformats.org/officeDocument/2006/relationships" ref="J118" r:id="rId113"/>
    <hyperlink xmlns:r="http://schemas.openxmlformats.org/officeDocument/2006/relationships" ref="J119" r:id="rId114"/>
    <hyperlink xmlns:r="http://schemas.openxmlformats.org/officeDocument/2006/relationships" ref="J120" r:id="rId115"/>
    <hyperlink xmlns:r="http://schemas.openxmlformats.org/officeDocument/2006/relationships" ref="J121" r:id="rId116"/>
    <hyperlink xmlns:r="http://schemas.openxmlformats.org/officeDocument/2006/relationships" ref="J122" r:id="rId117"/>
    <hyperlink xmlns:r="http://schemas.openxmlformats.org/officeDocument/2006/relationships" ref="J123" r:id="rId118"/>
    <hyperlink xmlns:r="http://schemas.openxmlformats.org/officeDocument/2006/relationships" ref="J125" r:id="rId119"/>
    <hyperlink xmlns:r="http://schemas.openxmlformats.org/officeDocument/2006/relationships" ref="J126" r:id="rId120"/>
    <hyperlink xmlns:r="http://schemas.openxmlformats.org/officeDocument/2006/relationships" ref="J127" r:id="rId121"/>
    <hyperlink xmlns:r="http://schemas.openxmlformats.org/officeDocument/2006/relationships" ref="J128" r:id="rId122"/>
    <hyperlink xmlns:r="http://schemas.openxmlformats.org/officeDocument/2006/relationships" ref="J129" r:id="rId123"/>
    <hyperlink xmlns:r="http://schemas.openxmlformats.org/officeDocument/2006/relationships" ref="J130" r:id="rId124"/>
    <hyperlink xmlns:r="http://schemas.openxmlformats.org/officeDocument/2006/relationships" ref="J131" r:id="rId125"/>
    <hyperlink xmlns:r="http://schemas.openxmlformats.org/officeDocument/2006/relationships" ref="J132" r:id="rId126"/>
    <hyperlink xmlns:r="http://schemas.openxmlformats.org/officeDocument/2006/relationships" ref="J133" r:id="rId127"/>
    <hyperlink xmlns:r="http://schemas.openxmlformats.org/officeDocument/2006/relationships" ref="J134" r:id="rId128"/>
    <hyperlink xmlns:r="http://schemas.openxmlformats.org/officeDocument/2006/relationships" ref="J135" r:id="rId129"/>
    <hyperlink xmlns:r="http://schemas.openxmlformats.org/officeDocument/2006/relationships" ref="J136" r:id="rId130"/>
    <hyperlink xmlns:r="http://schemas.openxmlformats.org/officeDocument/2006/relationships" ref="J137" r:id="rId131"/>
    <hyperlink xmlns:r="http://schemas.openxmlformats.org/officeDocument/2006/relationships" ref="J138" r:id="rId132"/>
    <hyperlink xmlns:r="http://schemas.openxmlformats.org/officeDocument/2006/relationships" ref="J139" r:id="rId133"/>
    <hyperlink xmlns:r="http://schemas.openxmlformats.org/officeDocument/2006/relationships" ref="J140" r:id="rId134"/>
    <hyperlink xmlns:r="http://schemas.openxmlformats.org/officeDocument/2006/relationships" ref="J141" r:id="rId135"/>
    <hyperlink xmlns:r="http://schemas.openxmlformats.org/officeDocument/2006/relationships" ref="J142" r:id="rId136"/>
    <hyperlink xmlns:r="http://schemas.openxmlformats.org/officeDocument/2006/relationships" ref="J143" r:id="rId137"/>
    <hyperlink xmlns:r="http://schemas.openxmlformats.org/officeDocument/2006/relationships" ref="J144" r:id="rId138"/>
    <hyperlink xmlns:r="http://schemas.openxmlformats.org/officeDocument/2006/relationships" ref="J145" r:id="rId139"/>
    <hyperlink xmlns:r="http://schemas.openxmlformats.org/officeDocument/2006/relationships" ref="J146" r:id="rId140"/>
    <hyperlink xmlns:r="http://schemas.openxmlformats.org/officeDocument/2006/relationships" ref="J147" r:id="rId141"/>
    <hyperlink xmlns:r="http://schemas.openxmlformats.org/officeDocument/2006/relationships" ref="J148" r:id="rId142"/>
    <hyperlink xmlns:r="http://schemas.openxmlformats.org/officeDocument/2006/relationships" ref="J149" r:id="rId143"/>
    <hyperlink xmlns:r="http://schemas.openxmlformats.org/officeDocument/2006/relationships" ref="J150" r:id="rId144"/>
    <hyperlink xmlns:r="http://schemas.openxmlformats.org/officeDocument/2006/relationships" ref="J151" r:id="rId145"/>
    <hyperlink xmlns:r="http://schemas.openxmlformats.org/officeDocument/2006/relationships" ref="J152" r:id="rId146"/>
    <hyperlink xmlns:r="http://schemas.openxmlformats.org/officeDocument/2006/relationships" ref="J153" r:id="rId147"/>
    <hyperlink xmlns:r="http://schemas.openxmlformats.org/officeDocument/2006/relationships" ref="J154" r:id="rId148"/>
    <hyperlink xmlns:r="http://schemas.openxmlformats.org/officeDocument/2006/relationships" ref="J155" r:id="rId149"/>
    <hyperlink xmlns:r="http://schemas.openxmlformats.org/officeDocument/2006/relationships" ref="J156" r:id="rId150"/>
    <hyperlink xmlns:r="http://schemas.openxmlformats.org/officeDocument/2006/relationships" ref="J157" r:id="rId151"/>
    <hyperlink xmlns:r="http://schemas.openxmlformats.org/officeDocument/2006/relationships" ref="J158" r:id="rId152"/>
    <hyperlink xmlns:r="http://schemas.openxmlformats.org/officeDocument/2006/relationships" ref="J159" r:id="rId153"/>
    <hyperlink xmlns:r="http://schemas.openxmlformats.org/officeDocument/2006/relationships" ref="J160" r:id="rId154"/>
    <hyperlink xmlns:r="http://schemas.openxmlformats.org/officeDocument/2006/relationships" ref="J161" r:id="rId155"/>
    <hyperlink xmlns:r="http://schemas.openxmlformats.org/officeDocument/2006/relationships" ref="J163" r:id="rId156"/>
    <hyperlink xmlns:r="http://schemas.openxmlformats.org/officeDocument/2006/relationships" ref="J165" r:id="rId157"/>
    <hyperlink xmlns:r="http://schemas.openxmlformats.org/officeDocument/2006/relationships" ref="J166" r:id="rId158"/>
    <hyperlink xmlns:r="http://schemas.openxmlformats.org/officeDocument/2006/relationships" ref="J168" r:id="rId159"/>
    <hyperlink xmlns:r="http://schemas.openxmlformats.org/officeDocument/2006/relationships" ref="J169" r:id="rId160"/>
    <hyperlink xmlns:r="http://schemas.openxmlformats.org/officeDocument/2006/relationships" ref="J170" r:id="rId161"/>
    <hyperlink xmlns:r="http://schemas.openxmlformats.org/officeDocument/2006/relationships" ref="J171" r:id="rId162"/>
    <hyperlink xmlns:r="http://schemas.openxmlformats.org/officeDocument/2006/relationships" ref="J172" r:id="rId163"/>
    <hyperlink xmlns:r="http://schemas.openxmlformats.org/officeDocument/2006/relationships" ref="J173" r:id="rId164"/>
    <hyperlink xmlns:r="http://schemas.openxmlformats.org/officeDocument/2006/relationships" ref="J174" r:id="rId165"/>
    <hyperlink xmlns:r="http://schemas.openxmlformats.org/officeDocument/2006/relationships" ref="J175" r:id="rId166"/>
    <hyperlink xmlns:r="http://schemas.openxmlformats.org/officeDocument/2006/relationships" ref="J176" r:id="rId167"/>
    <hyperlink xmlns:r="http://schemas.openxmlformats.org/officeDocument/2006/relationships" ref="J177" r:id="rId168"/>
    <hyperlink xmlns:r="http://schemas.openxmlformats.org/officeDocument/2006/relationships" ref="J178" r:id="rId169"/>
    <hyperlink xmlns:r="http://schemas.openxmlformats.org/officeDocument/2006/relationships" ref="J179" r:id="rId170"/>
    <hyperlink xmlns:r="http://schemas.openxmlformats.org/officeDocument/2006/relationships" ref="J180" r:id="rId171"/>
    <hyperlink xmlns:r="http://schemas.openxmlformats.org/officeDocument/2006/relationships" ref="J181" r:id="rId172"/>
    <hyperlink xmlns:r="http://schemas.openxmlformats.org/officeDocument/2006/relationships" ref="J182" r:id="rId173"/>
    <hyperlink xmlns:r="http://schemas.openxmlformats.org/officeDocument/2006/relationships" ref="J183" r:id="rId174"/>
    <hyperlink xmlns:r="http://schemas.openxmlformats.org/officeDocument/2006/relationships" ref="J184" r:id="rId175"/>
    <hyperlink xmlns:r="http://schemas.openxmlformats.org/officeDocument/2006/relationships" ref="J185" r:id="rId176"/>
    <hyperlink xmlns:r="http://schemas.openxmlformats.org/officeDocument/2006/relationships" ref="J186" r:id="rId177"/>
    <hyperlink xmlns:r="http://schemas.openxmlformats.org/officeDocument/2006/relationships" ref="J187" r:id="rId178"/>
    <hyperlink xmlns:r="http://schemas.openxmlformats.org/officeDocument/2006/relationships" ref="J188" r:id="rId179"/>
    <hyperlink xmlns:r="http://schemas.openxmlformats.org/officeDocument/2006/relationships" ref="J189" r:id="rId180"/>
    <hyperlink xmlns:r="http://schemas.openxmlformats.org/officeDocument/2006/relationships" ref="J190" r:id="rId181"/>
    <hyperlink xmlns:r="http://schemas.openxmlformats.org/officeDocument/2006/relationships" ref="J191" r:id="rId182"/>
    <hyperlink xmlns:r="http://schemas.openxmlformats.org/officeDocument/2006/relationships" ref="J192" r:id="rId183"/>
    <hyperlink xmlns:r="http://schemas.openxmlformats.org/officeDocument/2006/relationships" ref="J193" r:id="rId184"/>
    <hyperlink xmlns:r="http://schemas.openxmlformats.org/officeDocument/2006/relationships" ref="J194" r:id="rId185"/>
    <hyperlink xmlns:r="http://schemas.openxmlformats.org/officeDocument/2006/relationships" ref="J195" r:id="rId186"/>
    <hyperlink xmlns:r="http://schemas.openxmlformats.org/officeDocument/2006/relationships" ref="J196" r:id="rId187"/>
    <hyperlink xmlns:r="http://schemas.openxmlformats.org/officeDocument/2006/relationships" ref="J197" r:id="rId188"/>
    <hyperlink xmlns:r="http://schemas.openxmlformats.org/officeDocument/2006/relationships" ref="J198" r:id="rId189"/>
    <hyperlink xmlns:r="http://schemas.openxmlformats.org/officeDocument/2006/relationships" ref="J199" r:id="rId190"/>
    <hyperlink xmlns:r="http://schemas.openxmlformats.org/officeDocument/2006/relationships" ref="J200" r:id="rId191"/>
    <hyperlink xmlns:r="http://schemas.openxmlformats.org/officeDocument/2006/relationships" ref="J201" r:id="rId192"/>
    <hyperlink xmlns:r="http://schemas.openxmlformats.org/officeDocument/2006/relationships" ref="J202" r:id="rId193"/>
    <hyperlink xmlns:r="http://schemas.openxmlformats.org/officeDocument/2006/relationships" ref="J203" r:id="rId194"/>
    <hyperlink xmlns:r="http://schemas.openxmlformats.org/officeDocument/2006/relationships" ref="J204" r:id="rId195"/>
    <hyperlink xmlns:r="http://schemas.openxmlformats.org/officeDocument/2006/relationships" ref="J205" r:id="rId196"/>
    <hyperlink xmlns:r="http://schemas.openxmlformats.org/officeDocument/2006/relationships" ref="J206" r:id="rId197"/>
    <hyperlink xmlns:r="http://schemas.openxmlformats.org/officeDocument/2006/relationships" ref="J207" r:id="rId198"/>
    <hyperlink xmlns:r="http://schemas.openxmlformats.org/officeDocument/2006/relationships" ref="J209" r:id="rId199"/>
    <hyperlink xmlns:r="http://schemas.openxmlformats.org/officeDocument/2006/relationships" ref="J210" r:id="rId200"/>
    <hyperlink xmlns:r="http://schemas.openxmlformats.org/officeDocument/2006/relationships" ref="J211" r:id="rId201"/>
    <hyperlink xmlns:r="http://schemas.openxmlformats.org/officeDocument/2006/relationships" ref="J212" r:id="rId202"/>
    <hyperlink xmlns:r="http://schemas.openxmlformats.org/officeDocument/2006/relationships" ref="J213" r:id="rId203"/>
    <hyperlink xmlns:r="http://schemas.openxmlformats.org/officeDocument/2006/relationships" ref="J214" r:id="rId204"/>
    <hyperlink xmlns:r="http://schemas.openxmlformats.org/officeDocument/2006/relationships" ref="J215" r:id="rId205"/>
    <hyperlink xmlns:r="http://schemas.openxmlformats.org/officeDocument/2006/relationships" ref="J216" r:id="rId206"/>
    <hyperlink xmlns:r="http://schemas.openxmlformats.org/officeDocument/2006/relationships" ref="J217" r:id="rId207"/>
    <hyperlink xmlns:r="http://schemas.openxmlformats.org/officeDocument/2006/relationships" ref="J218" r:id="rId208"/>
    <hyperlink xmlns:r="http://schemas.openxmlformats.org/officeDocument/2006/relationships" ref="J219" r:id="rId209"/>
    <hyperlink xmlns:r="http://schemas.openxmlformats.org/officeDocument/2006/relationships" ref="J220" r:id="rId210"/>
    <hyperlink xmlns:r="http://schemas.openxmlformats.org/officeDocument/2006/relationships" ref="J221" r:id="rId211"/>
    <hyperlink xmlns:r="http://schemas.openxmlformats.org/officeDocument/2006/relationships" ref="J222" r:id="rId212"/>
    <hyperlink xmlns:r="http://schemas.openxmlformats.org/officeDocument/2006/relationships" ref="J223" r:id="rId213"/>
    <hyperlink xmlns:r="http://schemas.openxmlformats.org/officeDocument/2006/relationships" ref="J224" r:id="rId214"/>
    <hyperlink xmlns:r="http://schemas.openxmlformats.org/officeDocument/2006/relationships" ref="J225" r:id="rId215"/>
    <hyperlink xmlns:r="http://schemas.openxmlformats.org/officeDocument/2006/relationships" ref="J226" r:id="rId216"/>
    <hyperlink xmlns:r="http://schemas.openxmlformats.org/officeDocument/2006/relationships" ref="J227" r:id="rId217"/>
    <hyperlink xmlns:r="http://schemas.openxmlformats.org/officeDocument/2006/relationships" ref="J228" r:id="rId218"/>
    <hyperlink xmlns:r="http://schemas.openxmlformats.org/officeDocument/2006/relationships" ref="J229" r:id="rId219"/>
    <hyperlink xmlns:r="http://schemas.openxmlformats.org/officeDocument/2006/relationships" ref="J230" r:id="rId220"/>
    <hyperlink xmlns:r="http://schemas.openxmlformats.org/officeDocument/2006/relationships" ref="J231" r:id="rId221"/>
    <hyperlink xmlns:r="http://schemas.openxmlformats.org/officeDocument/2006/relationships" ref="J232" r:id="rId222"/>
    <hyperlink xmlns:r="http://schemas.openxmlformats.org/officeDocument/2006/relationships" ref="J233" r:id="rId223"/>
    <hyperlink xmlns:r="http://schemas.openxmlformats.org/officeDocument/2006/relationships" ref="J234" r:id="rId224"/>
    <hyperlink xmlns:r="http://schemas.openxmlformats.org/officeDocument/2006/relationships" ref="J235" r:id="rId225"/>
    <hyperlink xmlns:r="http://schemas.openxmlformats.org/officeDocument/2006/relationships" ref="J236" r:id="rId226"/>
    <hyperlink xmlns:r="http://schemas.openxmlformats.org/officeDocument/2006/relationships" ref="J237" r:id="rId227"/>
    <hyperlink xmlns:r="http://schemas.openxmlformats.org/officeDocument/2006/relationships" ref="J238" r:id="rId228"/>
    <hyperlink xmlns:r="http://schemas.openxmlformats.org/officeDocument/2006/relationships" ref="J239" r:id="rId229"/>
    <hyperlink xmlns:r="http://schemas.openxmlformats.org/officeDocument/2006/relationships" ref="J240" r:id="rId230"/>
    <hyperlink xmlns:r="http://schemas.openxmlformats.org/officeDocument/2006/relationships" ref="J241" r:id="rId231"/>
    <hyperlink xmlns:r="http://schemas.openxmlformats.org/officeDocument/2006/relationships" ref="J242" r:id="rId232"/>
    <hyperlink xmlns:r="http://schemas.openxmlformats.org/officeDocument/2006/relationships" ref="J243" r:id="rId233"/>
    <hyperlink xmlns:r="http://schemas.openxmlformats.org/officeDocument/2006/relationships" ref="J244" r:id="rId234"/>
    <hyperlink xmlns:r="http://schemas.openxmlformats.org/officeDocument/2006/relationships" ref="J245" r:id="rId235"/>
    <hyperlink xmlns:r="http://schemas.openxmlformats.org/officeDocument/2006/relationships" ref="J246" r:id="rId236"/>
    <hyperlink xmlns:r="http://schemas.openxmlformats.org/officeDocument/2006/relationships" ref="J247" r:id="rId237"/>
    <hyperlink xmlns:r="http://schemas.openxmlformats.org/officeDocument/2006/relationships" ref="J248" r:id="rId238"/>
    <hyperlink xmlns:r="http://schemas.openxmlformats.org/officeDocument/2006/relationships" ref="J249" r:id="rId239"/>
    <hyperlink xmlns:r="http://schemas.openxmlformats.org/officeDocument/2006/relationships" ref="J250" r:id="rId240"/>
    <hyperlink xmlns:r="http://schemas.openxmlformats.org/officeDocument/2006/relationships" ref="J251" r:id="rId241"/>
    <hyperlink xmlns:r="http://schemas.openxmlformats.org/officeDocument/2006/relationships" ref="J252" r:id="rId242"/>
    <hyperlink xmlns:r="http://schemas.openxmlformats.org/officeDocument/2006/relationships" ref="J253" r:id="rId243"/>
    <hyperlink xmlns:r="http://schemas.openxmlformats.org/officeDocument/2006/relationships" ref="J254" r:id="rId244"/>
    <hyperlink xmlns:r="http://schemas.openxmlformats.org/officeDocument/2006/relationships" ref="J255" r:id="rId245"/>
    <hyperlink xmlns:r="http://schemas.openxmlformats.org/officeDocument/2006/relationships" ref="J256" r:id="rId246"/>
    <hyperlink xmlns:r="http://schemas.openxmlformats.org/officeDocument/2006/relationships" ref="J257" r:id="rId247"/>
    <hyperlink xmlns:r="http://schemas.openxmlformats.org/officeDocument/2006/relationships" ref="J258" r:id="rId248"/>
    <hyperlink xmlns:r="http://schemas.openxmlformats.org/officeDocument/2006/relationships" ref="J259" r:id="rId249"/>
    <hyperlink xmlns:r="http://schemas.openxmlformats.org/officeDocument/2006/relationships" ref="J260" r:id="rId250"/>
    <hyperlink xmlns:r="http://schemas.openxmlformats.org/officeDocument/2006/relationships" ref="J261" r:id="rId251"/>
    <hyperlink xmlns:r="http://schemas.openxmlformats.org/officeDocument/2006/relationships" ref="J262" r:id="rId252"/>
    <hyperlink xmlns:r="http://schemas.openxmlformats.org/officeDocument/2006/relationships" ref="J263" r:id="rId253"/>
    <hyperlink xmlns:r="http://schemas.openxmlformats.org/officeDocument/2006/relationships" ref="J264" r:id="rId254"/>
    <hyperlink xmlns:r="http://schemas.openxmlformats.org/officeDocument/2006/relationships" ref="J265" r:id="rId255"/>
    <hyperlink xmlns:r="http://schemas.openxmlformats.org/officeDocument/2006/relationships" ref="J266" r:id="rId256"/>
    <hyperlink xmlns:r="http://schemas.openxmlformats.org/officeDocument/2006/relationships" ref="J267" r:id="rId257"/>
    <hyperlink xmlns:r="http://schemas.openxmlformats.org/officeDocument/2006/relationships" ref="J268" r:id="rId258"/>
    <hyperlink xmlns:r="http://schemas.openxmlformats.org/officeDocument/2006/relationships" ref="J269" r:id="rId259"/>
    <hyperlink xmlns:r="http://schemas.openxmlformats.org/officeDocument/2006/relationships" ref="J270" r:id="rId260"/>
    <hyperlink xmlns:r="http://schemas.openxmlformats.org/officeDocument/2006/relationships" ref="J271" r:id="rId261"/>
    <hyperlink xmlns:r="http://schemas.openxmlformats.org/officeDocument/2006/relationships" ref="J272" r:id="rId262"/>
    <hyperlink xmlns:r="http://schemas.openxmlformats.org/officeDocument/2006/relationships" ref="J273" r:id="rId263"/>
    <hyperlink xmlns:r="http://schemas.openxmlformats.org/officeDocument/2006/relationships" ref="J274" r:id="rId264"/>
    <hyperlink xmlns:r="http://schemas.openxmlformats.org/officeDocument/2006/relationships" ref="J275" r:id="rId265"/>
    <hyperlink xmlns:r="http://schemas.openxmlformats.org/officeDocument/2006/relationships" ref="J276" r:id="rId266"/>
    <hyperlink xmlns:r="http://schemas.openxmlformats.org/officeDocument/2006/relationships" ref="J277" r:id="rId267"/>
    <hyperlink xmlns:r="http://schemas.openxmlformats.org/officeDocument/2006/relationships" ref="J278" r:id="rId268"/>
    <hyperlink xmlns:r="http://schemas.openxmlformats.org/officeDocument/2006/relationships" ref="J279" r:id="rId269"/>
    <hyperlink xmlns:r="http://schemas.openxmlformats.org/officeDocument/2006/relationships" ref="J280" r:id="rId270"/>
    <hyperlink xmlns:r="http://schemas.openxmlformats.org/officeDocument/2006/relationships" ref="J281" r:id="rId271"/>
    <hyperlink xmlns:r="http://schemas.openxmlformats.org/officeDocument/2006/relationships" ref="J282" r:id="rId272"/>
    <hyperlink xmlns:r="http://schemas.openxmlformats.org/officeDocument/2006/relationships" ref="J283" r:id="rId273"/>
    <hyperlink xmlns:r="http://schemas.openxmlformats.org/officeDocument/2006/relationships" ref="J284" r:id="rId274"/>
    <hyperlink xmlns:r="http://schemas.openxmlformats.org/officeDocument/2006/relationships" ref="J285" r:id="rId275"/>
    <hyperlink xmlns:r="http://schemas.openxmlformats.org/officeDocument/2006/relationships" ref="J286" r:id="rId276"/>
    <hyperlink xmlns:r="http://schemas.openxmlformats.org/officeDocument/2006/relationships" ref="J287" r:id="rId277"/>
    <hyperlink xmlns:r="http://schemas.openxmlformats.org/officeDocument/2006/relationships" ref="J288" r:id="rId278"/>
    <hyperlink xmlns:r="http://schemas.openxmlformats.org/officeDocument/2006/relationships" ref="J289" r:id="rId279"/>
    <hyperlink xmlns:r="http://schemas.openxmlformats.org/officeDocument/2006/relationships" ref="J290" r:id="rId280"/>
    <hyperlink xmlns:r="http://schemas.openxmlformats.org/officeDocument/2006/relationships" ref="J291" r:id="rId281"/>
    <hyperlink xmlns:r="http://schemas.openxmlformats.org/officeDocument/2006/relationships" ref="J292" r:id="rId282"/>
    <hyperlink xmlns:r="http://schemas.openxmlformats.org/officeDocument/2006/relationships" ref="J293" r:id="rId283"/>
    <hyperlink xmlns:r="http://schemas.openxmlformats.org/officeDocument/2006/relationships" ref="J294" r:id="rId284"/>
    <hyperlink xmlns:r="http://schemas.openxmlformats.org/officeDocument/2006/relationships" ref="J295" r:id="rId285"/>
    <hyperlink xmlns:r="http://schemas.openxmlformats.org/officeDocument/2006/relationships" ref="J296" r:id="rId286"/>
    <hyperlink xmlns:r="http://schemas.openxmlformats.org/officeDocument/2006/relationships" ref="J297" r:id="rId287"/>
    <hyperlink xmlns:r="http://schemas.openxmlformats.org/officeDocument/2006/relationships" ref="J298" r:id="rId288"/>
    <hyperlink xmlns:r="http://schemas.openxmlformats.org/officeDocument/2006/relationships" ref="J299" r:id="rId289"/>
    <hyperlink xmlns:r="http://schemas.openxmlformats.org/officeDocument/2006/relationships" ref="J300" r:id="rId290"/>
    <hyperlink xmlns:r="http://schemas.openxmlformats.org/officeDocument/2006/relationships" ref="J301" r:id="rId291"/>
    <hyperlink xmlns:r="http://schemas.openxmlformats.org/officeDocument/2006/relationships" ref="J302" r:id="rId292"/>
    <hyperlink xmlns:r="http://schemas.openxmlformats.org/officeDocument/2006/relationships" ref="J303" r:id="rId293"/>
    <hyperlink xmlns:r="http://schemas.openxmlformats.org/officeDocument/2006/relationships" ref="J304" r:id="rId294"/>
    <hyperlink xmlns:r="http://schemas.openxmlformats.org/officeDocument/2006/relationships" ref="J305" r:id="rId295"/>
    <hyperlink xmlns:r="http://schemas.openxmlformats.org/officeDocument/2006/relationships" ref="J306" r:id="rId296"/>
    <hyperlink xmlns:r="http://schemas.openxmlformats.org/officeDocument/2006/relationships" ref="J307" r:id="rId297"/>
    <hyperlink xmlns:r="http://schemas.openxmlformats.org/officeDocument/2006/relationships" ref="J308" r:id="rId298"/>
    <hyperlink xmlns:r="http://schemas.openxmlformats.org/officeDocument/2006/relationships" ref="J309" r:id="rId299"/>
    <hyperlink xmlns:r="http://schemas.openxmlformats.org/officeDocument/2006/relationships" ref="J310" r:id="rId300"/>
    <hyperlink xmlns:r="http://schemas.openxmlformats.org/officeDocument/2006/relationships" ref="J311" r:id="rId301"/>
    <hyperlink xmlns:r="http://schemas.openxmlformats.org/officeDocument/2006/relationships" ref="J312" r:id="rId302"/>
    <hyperlink xmlns:r="http://schemas.openxmlformats.org/officeDocument/2006/relationships" ref="J313" r:id="rId303"/>
    <hyperlink xmlns:r="http://schemas.openxmlformats.org/officeDocument/2006/relationships" ref="J314" r:id="rId304"/>
    <hyperlink xmlns:r="http://schemas.openxmlformats.org/officeDocument/2006/relationships" ref="J315" r:id="rId305"/>
    <hyperlink xmlns:r="http://schemas.openxmlformats.org/officeDocument/2006/relationships" ref="J316" r:id="rId306"/>
    <hyperlink xmlns:r="http://schemas.openxmlformats.org/officeDocument/2006/relationships" ref="J317" r:id="rId307"/>
    <hyperlink xmlns:r="http://schemas.openxmlformats.org/officeDocument/2006/relationships" ref="J318" r:id="rId308"/>
    <hyperlink xmlns:r="http://schemas.openxmlformats.org/officeDocument/2006/relationships" ref="J319" r:id="rId309"/>
    <hyperlink xmlns:r="http://schemas.openxmlformats.org/officeDocument/2006/relationships" ref="J320" r:id="rId310"/>
    <hyperlink xmlns:r="http://schemas.openxmlformats.org/officeDocument/2006/relationships" ref="J321" r:id="rId311"/>
    <hyperlink xmlns:r="http://schemas.openxmlformats.org/officeDocument/2006/relationships" ref="J322" r:id="rId312"/>
    <hyperlink xmlns:r="http://schemas.openxmlformats.org/officeDocument/2006/relationships" ref="J323" r:id="rId313"/>
    <hyperlink xmlns:r="http://schemas.openxmlformats.org/officeDocument/2006/relationships" ref="J324" r:id="rId314"/>
    <hyperlink xmlns:r="http://schemas.openxmlformats.org/officeDocument/2006/relationships" ref="J325" r:id="rId315"/>
    <hyperlink xmlns:r="http://schemas.openxmlformats.org/officeDocument/2006/relationships" ref="J326" r:id="rId316"/>
    <hyperlink xmlns:r="http://schemas.openxmlformats.org/officeDocument/2006/relationships" ref="J327" r:id="rId317"/>
    <hyperlink xmlns:r="http://schemas.openxmlformats.org/officeDocument/2006/relationships" ref="J328" r:id="rId318"/>
    <hyperlink xmlns:r="http://schemas.openxmlformats.org/officeDocument/2006/relationships" ref="J329" r:id="rId319"/>
    <hyperlink xmlns:r="http://schemas.openxmlformats.org/officeDocument/2006/relationships" ref="J330" r:id="rId320"/>
    <hyperlink xmlns:r="http://schemas.openxmlformats.org/officeDocument/2006/relationships" ref="J331" r:id="rId321"/>
    <hyperlink xmlns:r="http://schemas.openxmlformats.org/officeDocument/2006/relationships" ref="J332" r:id="rId322"/>
    <hyperlink xmlns:r="http://schemas.openxmlformats.org/officeDocument/2006/relationships" ref="J333" r:id="rId323"/>
    <hyperlink xmlns:r="http://schemas.openxmlformats.org/officeDocument/2006/relationships" ref="J334" r:id="rId324"/>
    <hyperlink xmlns:r="http://schemas.openxmlformats.org/officeDocument/2006/relationships" ref="J335" r:id="rId325"/>
    <hyperlink xmlns:r="http://schemas.openxmlformats.org/officeDocument/2006/relationships" ref="J336" r:id="rId326"/>
    <hyperlink xmlns:r="http://schemas.openxmlformats.org/officeDocument/2006/relationships" ref="J337" r:id="rId327"/>
    <hyperlink xmlns:r="http://schemas.openxmlformats.org/officeDocument/2006/relationships" ref="J338" r:id="rId328"/>
    <hyperlink xmlns:r="http://schemas.openxmlformats.org/officeDocument/2006/relationships" ref="J339" r:id="rId329"/>
    <hyperlink xmlns:r="http://schemas.openxmlformats.org/officeDocument/2006/relationships" ref="J340" r:id="rId330"/>
    <hyperlink xmlns:r="http://schemas.openxmlformats.org/officeDocument/2006/relationships" ref="J341" r:id="rId331"/>
    <hyperlink xmlns:r="http://schemas.openxmlformats.org/officeDocument/2006/relationships" ref="J342" r:id="rId332"/>
    <hyperlink xmlns:r="http://schemas.openxmlformats.org/officeDocument/2006/relationships" ref="J343" r:id="rId333"/>
    <hyperlink xmlns:r="http://schemas.openxmlformats.org/officeDocument/2006/relationships" ref="J344" r:id="rId334"/>
    <hyperlink xmlns:r="http://schemas.openxmlformats.org/officeDocument/2006/relationships" ref="J345" r:id="rId335"/>
    <hyperlink xmlns:r="http://schemas.openxmlformats.org/officeDocument/2006/relationships" ref="J346" r:id="rId336"/>
    <hyperlink xmlns:r="http://schemas.openxmlformats.org/officeDocument/2006/relationships" ref="J347" r:id="rId337"/>
    <hyperlink xmlns:r="http://schemas.openxmlformats.org/officeDocument/2006/relationships" ref="J348" r:id="rId338"/>
    <hyperlink xmlns:r="http://schemas.openxmlformats.org/officeDocument/2006/relationships" ref="J349" r:id="rId339"/>
    <hyperlink xmlns:r="http://schemas.openxmlformats.org/officeDocument/2006/relationships" ref="J350" r:id="rId340"/>
    <hyperlink xmlns:r="http://schemas.openxmlformats.org/officeDocument/2006/relationships" ref="J351" r:id="rId341"/>
    <hyperlink xmlns:r="http://schemas.openxmlformats.org/officeDocument/2006/relationships" ref="J352" r:id="rId342"/>
    <hyperlink xmlns:r="http://schemas.openxmlformats.org/officeDocument/2006/relationships" ref="J353" r:id="rId343"/>
    <hyperlink xmlns:r="http://schemas.openxmlformats.org/officeDocument/2006/relationships" ref="J354" r:id="rId344"/>
    <hyperlink xmlns:r="http://schemas.openxmlformats.org/officeDocument/2006/relationships" ref="J355" r:id="rId345"/>
    <hyperlink xmlns:r="http://schemas.openxmlformats.org/officeDocument/2006/relationships" ref="J356" r:id="rId346"/>
    <hyperlink xmlns:r="http://schemas.openxmlformats.org/officeDocument/2006/relationships" ref="J357" r:id="rId347"/>
    <hyperlink xmlns:r="http://schemas.openxmlformats.org/officeDocument/2006/relationships" ref="J358" r:id="rId348"/>
    <hyperlink xmlns:r="http://schemas.openxmlformats.org/officeDocument/2006/relationships" ref="J359" r:id="rId349"/>
    <hyperlink xmlns:r="http://schemas.openxmlformats.org/officeDocument/2006/relationships" ref="J360" r:id="rId350"/>
    <hyperlink xmlns:r="http://schemas.openxmlformats.org/officeDocument/2006/relationships" ref="J361" r:id="rId351"/>
    <hyperlink xmlns:r="http://schemas.openxmlformats.org/officeDocument/2006/relationships" ref="J362" r:id="rId352"/>
    <hyperlink xmlns:r="http://schemas.openxmlformats.org/officeDocument/2006/relationships" ref="J363" r:id="rId353"/>
    <hyperlink xmlns:r="http://schemas.openxmlformats.org/officeDocument/2006/relationships" ref="J364" r:id="rId354"/>
    <hyperlink xmlns:r="http://schemas.openxmlformats.org/officeDocument/2006/relationships" ref="J365" r:id="rId355"/>
    <hyperlink xmlns:r="http://schemas.openxmlformats.org/officeDocument/2006/relationships" ref="J366" r:id="rId356"/>
    <hyperlink xmlns:r="http://schemas.openxmlformats.org/officeDocument/2006/relationships" ref="J367" r:id="rId357"/>
    <hyperlink xmlns:r="http://schemas.openxmlformats.org/officeDocument/2006/relationships" ref="J368" r:id="rId358"/>
    <hyperlink xmlns:r="http://schemas.openxmlformats.org/officeDocument/2006/relationships" ref="J369" r:id="rId359"/>
    <hyperlink xmlns:r="http://schemas.openxmlformats.org/officeDocument/2006/relationships" ref="J370" r:id="rId360"/>
    <hyperlink xmlns:r="http://schemas.openxmlformats.org/officeDocument/2006/relationships" ref="J371" r:id="rId361"/>
    <hyperlink xmlns:r="http://schemas.openxmlformats.org/officeDocument/2006/relationships" ref="J372" r:id="rId362"/>
    <hyperlink xmlns:r="http://schemas.openxmlformats.org/officeDocument/2006/relationships" ref="J373" r:id="rId363"/>
    <hyperlink xmlns:r="http://schemas.openxmlformats.org/officeDocument/2006/relationships" ref="J374" r:id="rId364"/>
    <hyperlink xmlns:r="http://schemas.openxmlformats.org/officeDocument/2006/relationships" ref="J375" r:id="rId365"/>
    <hyperlink xmlns:r="http://schemas.openxmlformats.org/officeDocument/2006/relationships" ref="J376" r:id="rId366"/>
    <hyperlink xmlns:r="http://schemas.openxmlformats.org/officeDocument/2006/relationships" ref="J377" r:id="rId367"/>
    <hyperlink xmlns:r="http://schemas.openxmlformats.org/officeDocument/2006/relationships" ref="J378" r:id="rId368"/>
    <hyperlink xmlns:r="http://schemas.openxmlformats.org/officeDocument/2006/relationships" ref="J379" r:id="rId369"/>
    <hyperlink xmlns:r="http://schemas.openxmlformats.org/officeDocument/2006/relationships" ref="J380" r:id="rId370"/>
    <hyperlink xmlns:r="http://schemas.openxmlformats.org/officeDocument/2006/relationships" ref="J381" r:id="rId371"/>
    <hyperlink xmlns:r="http://schemas.openxmlformats.org/officeDocument/2006/relationships" ref="J382" r:id="rId372"/>
    <hyperlink xmlns:r="http://schemas.openxmlformats.org/officeDocument/2006/relationships" ref="J383" r:id="rId373"/>
    <hyperlink xmlns:r="http://schemas.openxmlformats.org/officeDocument/2006/relationships" ref="J384" r:id="rId374"/>
    <hyperlink xmlns:r="http://schemas.openxmlformats.org/officeDocument/2006/relationships" ref="J385" r:id="rId375"/>
    <hyperlink xmlns:r="http://schemas.openxmlformats.org/officeDocument/2006/relationships" ref="J386" r:id="rId376"/>
    <hyperlink xmlns:r="http://schemas.openxmlformats.org/officeDocument/2006/relationships" ref="J387" r:id="rId377"/>
    <hyperlink xmlns:r="http://schemas.openxmlformats.org/officeDocument/2006/relationships" ref="J388" r:id="rId378"/>
    <hyperlink xmlns:r="http://schemas.openxmlformats.org/officeDocument/2006/relationships" ref="J389" r:id="rId379"/>
    <hyperlink xmlns:r="http://schemas.openxmlformats.org/officeDocument/2006/relationships" ref="J390" r:id="rId380"/>
    <hyperlink xmlns:r="http://schemas.openxmlformats.org/officeDocument/2006/relationships" ref="J391" r:id="rId381"/>
    <hyperlink xmlns:r="http://schemas.openxmlformats.org/officeDocument/2006/relationships" ref="J393" r:id="rId382"/>
    <hyperlink xmlns:r="http://schemas.openxmlformats.org/officeDocument/2006/relationships" ref="J394" r:id="rId383"/>
    <hyperlink xmlns:r="http://schemas.openxmlformats.org/officeDocument/2006/relationships" ref="J395" r:id="rId384"/>
    <hyperlink xmlns:r="http://schemas.openxmlformats.org/officeDocument/2006/relationships" ref="J396" r:id="rId385"/>
    <hyperlink xmlns:r="http://schemas.openxmlformats.org/officeDocument/2006/relationships" ref="J397" r:id="rId386"/>
    <hyperlink xmlns:r="http://schemas.openxmlformats.org/officeDocument/2006/relationships" ref="J398" r:id="rId387"/>
    <hyperlink xmlns:r="http://schemas.openxmlformats.org/officeDocument/2006/relationships" ref="J399" r:id="rId388"/>
    <hyperlink xmlns:r="http://schemas.openxmlformats.org/officeDocument/2006/relationships" ref="J400" r:id="rId389"/>
    <hyperlink xmlns:r="http://schemas.openxmlformats.org/officeDocument/2006/relationships" ref="J401" r:id="rId390"/>
    <hyperlink xmlns:r="http://schemas.openxmlformats.org/officeDocument/2006/relationships" ref="J402" r:id="rId391"/>
    <hyperlink xmlns:r="http://schemas.openxmlformats.org/officeDocument/2006/relationships" ref="J403" r:id="rId392"/>
    <hyperlink xmlns:r="http://schemas.openxmlformats.org/officeDocument/2006/relationships" ref="J404" r:id="rId393"/>
    <hyperlink xmlns:r="http://schemas.openxmlformats.org/officeDocument/2006/relationships" ref="J405" r:id="rId394"/>
    <hyperlink xmlns:r="http://schemas.openxmlformats.org/officeDocument/2006/relationships" ref="J406" r:id="rId395"/>
    <hyperlink xmlns:r="http://schemas.openxmlformats.org/officeDocument/2006/relationships" ref="J407" r:id="rId396"/>
    <hyperlink xmlns:r="http://schemas.openxmlformats.org/officeDocument/2006/relationships" ref="J408" r:id="rId397"/>
    <hyperlink xmlns:r="http://schemas.openxmlformats.org/officeDocument/2006/relationships" ref="J409" r:id="rId398"/>
    <hyperlink xmlns:r="http://schemas.openxmlformats.org/officeDocument/2006/relationships" ref="J410" r:id="rId399"/>
    <hyperlink xmlns:r="http://schemas.openxmlformats.org/officeDocument/2006/relationships" ref="J411" r:id="rId400"/>
    <hyperlink xmlns:r="http://schemas.openxmlformats.org/officeDocument/2006/relationships" ref="J412" r:id="rId401"/>
    <hyperlink xmlns:r="http://schemas.openxmlformats.org/officeDocument/2006/relationships" ref="J413" r:id="rId402"/>
    <hyperlink xmlns:r="http://schemas.openxmlformats.org/officeDocument/2006/relationships" ref="J414" r:id="rId403"/>
    <hyperlink xmlns:r="http://schemas.openxmlformats.org/officeDocument/2006/relationships" ref="J415" r:id="rId404"/>
    <hyperlink xmlns:r="http://schemas.openxmlformats.org/officeDocument/2006/relationships" ref="J416" r:id="rId405"/>
    <hyperlink xmlns:r="http://schemas.openxmlformats.org/officeDocument/2006/relationships" ref="J417" r:id="rId406"/>
    <hyperlink xmlns:r="http://schemas.openxmlformats.org/officeDocument/2006/relationships" ref="J418" r:id="rId407"/>
    <hyperlink xmlns:r="http://schemas.openxmlformats.org/officeDocument/2006/relationships" ref="J419" r:id="rId408"/>
    <hyperlink xmlns:r="http://schemas.openxmlformats.org/officeDocument/2006/relationships" ref="J420" r:id="rId409"/>
    <hyperlink xmlns:r="http://schemas.openxmlformats.org/officeDocument/2006/relationships" ref="J421" r:id="rId410"/>
    <hyperlink xmlns:r="http://schemas.openxmlformats.org/officeDocument/2006/relationships" ref="J422" r:id="rId411"/>
    <hyperlink xmlns:r="http://schemas.openxmlformats.org/officeDocument/2006/relationships" ref="J423" r:id="rId412"/>
    <hyperlink xmlns:r="http://schemas.openxmlformats.org/officeDocument/2006/relationships" ref="J424" r:id="rId413"/>
    <hyperlink xmlns:r="http://schemas.openxmlformats.org/officeDocument/2006/relationships" ref="J425" r:id="rId414"/>
    <hyperlink xmlns:r="http://schemas.openxmlformats.org/officeDocument/2006/relationships" ref="J426" r:id="rId415"/>
    <hyperlink xmlns:r="http://schemas.openxmlformats.org/officeDocument/2006/relationships" ref="J428" r:id="rId416"/>
    <hyperlink xmlns:r="http://schemas.openxmlformats.org/officeDocument/2006/relationships" ref="J429" r:id="rId417"/>
    <hyperlink xmlns:r="http://schemas.openxmlformats.org/officeDocument/2006/relationships" ref="J430" r:id="rId418"/>
    <hyperlink xmlns:r="http://schemas.openxmlformats.org/officeDocument/2006/relationships" ref="J431" r:id="rId419"/>
    <hyperlink xmlns:r="http://schemas.openxmlformats.org/officeDocument/2006/relationships" ref="J432" r:id="rId420"/>
    <hyperlink xmlns:r="http://schemas.openxmlformats.org/officeDocument/2006/relationships" ref="J433" r:id="rId421"/>
    <hyperlink xmlns:r="http://schemas.openxmlformats.org/officeDocument/2006/relationships" ref="J434" r:id="rId422"/>
    <hyperlink xmlns:r="http://schemas.openxmlformats.org/officeDocument/2006/relationships" ref="J435" r:id="rId423"/>
    <hyperlink xmlns:r="http://schemas.openxmlformats.org/officeDocument/2006/relationships" ref="J436" r:id="rId424"/>
    <hyperlink xmlns:r="http://schemas.openxmlformats.org/officeDocument/2006/relationships" ref="J437" r:id="rId425"/>
    <hyperlink xmlns:r="http://schemas.openxmlformats.org/officeDocument/2006/relationships" ref="J438" r:id="rId426"/>
    <hyperlink xmlns:r="http://schemas.openxmlformats.org/officeDocument/2006/relationships" ref="J439" r:id="rId427"/>
    <hyperlink xmlns:r="http://schemas.openxmlformats.org/officeDocument/2006/relationships" ref="J440" r:id="rId428"/>
    <hyperlink xmlns:r="http://schemas.openxmlformats.org/officeDocument/2006/relationships" ref="J441" r:id="rId429"/>
    <hyperlink xmlns:r="http://schemas.openxmlformats.org/officeDocument/2006/relationships" ref="J442" r:id="rId430"/>
    <hyperlink xmlns:r="http://schemas.openxmlformats.org/officeDocument/2006/relationships" ref="J443" r:id="rId431"/>
    <hyperlink xmlns:r="http://schemas.openxmlformats.org/officeDocument/2006/relationships" ref="J444" r:id="rId432"/>
    <hyperlink xmlns:r="http://schemas.openxmlformats.org/officeDocument/2006/relationships" ref="J445" r:id="rId433"/>
    <hyperlink xmlns:r="http://schemas.openxmlformats.org/officeDocument/2006/relationships" ref="J446" r:id="rId434"/>
    <hyperlink xmlns:r="http://schemas.openxmlformats.org/officeDocument/2006/relationships" ref="J447" r:id="rId435"/>
    <hyperlink xmlns:r="http://schemas.openxmlformats.org/officeDocument/2006/relationships" ref="J448" r:id="rId436"/>
    <hyperlink xmlns:r="http://schemas.openxmlformats.org/officeDocument/2006/relationships" ref="J449" r:id="rId437"/>
    <hyperlink xmlns:r="http://schemas.openxmlformats.org/officeDocument/2006/relationships" ref="J450" r:id="rId438"/>
    <hyperlink xmlns:r="http://schemas.openxmlformats.org/officeDocument/2006/relationships" ref="J451" r:id="rId439"/>
    <hyperlink xmlns:r="http://schemas.openxmlformats.org/officeDocument/2006/relationships" ref="J452" r:id="rId440"/>
    <hyperlink xmlns:r="http://schemas.openxmlformats.org/officeDocument/2006/relationships" ref="J453" r:id="rId441"/>
    <hyperlink xmlns:r="http://schemas.openxmlformats.org/officeDocument/2006/relationships" ref="J454" r:id="rId442"/>
    <hyperlink xmlns:r="http://schemas.openxmlformats.org/officeDocument/2006/relationships" ref="J455" r:id="rId443"/>
    <hyperlink xmlns:r="http://schemas.openxmlformats.org/officeDocument/2006/relationships" ref="J456" r:id="rId444"/>
    <hyperlink xmlns:r="http://schemas.openxmlformats.org/officeDocument/2006/relationships" ref="J457" r:id="rId445"/>
    <hyperlink xmlns:r="http://schemas.openxmlformats.org/officeDocument/2006/relationships" ref="J458" r:id="rId446"/>
    <hyperlink xmlns:r="http://schemas.openxmlformats.org/officeDocument/2006/relationships" ref="J459" r:id="rId447"/>
    <hyperlink xmlns:r="http://schemas.openxmlformats.org/officeDocument/2006/relationships" ref="J460" r:id="rId448"/>
    <hyperlink xmlns:r="http://schemas.openxmlformats.org/officeDocument/2006/relationships" ref="J461" r:id="rId449"/>
    <hyperlink xmlns:r="http://schemas.openxmlformats.org/officeDocument/2006/relationships" ref="J462" r:id="rId450"/>
    <hyperlink xmlns:r="http://schemas.openxmlformats.org/officeDocument/2006/relationships" ref="J463" r:id="rId451"/>
    <hyperlink xmlns:r="http://schemas.openxmlformats.org/officeDocument/2006/relationships" ref="J464" r:id="rId452"/>
    <hyperlink xmlns:r="http://schemas.openxmlformats.org/officeDocument/2006/relationships" ref="J465" r:id="rId453"/>
    <hyperlink xmlns:r="http://schemas.openxmlformats.org/officeDocument/2006/relationships" ref="J466" r:id="rId454"/>
    <hyperlink xmlns:r="http://schemas.openxmlformats.org/officeDocument/2006/relationships" ref="J467" r:id="rId455"/>
    <hyperlink xmlns:r="http://schemas.openxmlformats.org/officeDocument/2006/relationships" ref="J468" r:id="rId456"/>
    <hyperlink xmlns:r="http://schemas.openxmlformats.org/officeDocument/2006/relationships" ref="J469" r:id="rId457"/>
    <hyperlink xmlns:r="http://schemas.openxmlformats.org/officeDocument/2006/relationships" ref="J470" r:id="rId458"/>
    <hyperlink xmlns:r="http://schemas.openxmlformats.org/officeDocument/2006/relationships" ref="J471" r:id="rId459"/>
    <hyperlink xmlns:r="http://schemas.openxmlformats.org/officeDocument/2006/relationships" ref="J472" r:id="rId460"/>
    <hyperlink xmlns:r="http://schemas.openxmlformats.org/officeDocument/2006/relationships" ref="J473" r:id="rId461"/>
    <hyperlink xmlns:r="http://schemas.openxmlformats.org/officeDocument/2006/relationships" ref="J474" r:id="rId462"/>
    <hyperlink xmlns:r="http://schemas.openxmlformats.org/officeDocument/2006/relationships" ref="J475" r:id="rId463"/>
    <hyperlink xmlns:r="http://schemas.openxmlformats.org/officeDocument/2006/relationships" ref="J476" r:id="rId464"/>
    <hyperlink xmlns:r="http://schemas.openxmlformats.org/officeDocument/2006/relationships" ref="J477" r:id="rId465"/>
    <hyperlink xmlns:r="http://schemas.openxmlformats.org/officeDocument/2006/relationships" ref="J478" r:id="rId466"/>
    <hyperlink xmlns:r="http://schemas.openxmlformats.org/officeDocument/2006/relationships" ref="J479" r:id="rId467"/>
    <hyperlink xmlns:r="http://schemas.openxmlformats.org/officeDocument/2006/relationships" ref="J480" r:id="rId468"/>
    <hyperlink xmlns:r="http://schemas.openxmlformats.org/officeDocument/2006/relationships" ref="J481" r:id="rId469"/>
    <hyperlink xmlns:r="http://schemas.openxmlformats.org/officeDocument/2006/relationships" ref="J482" r:id="rId470"/>
    <hyperlink xmlns:r="http://schemas.openxmlformats.org/officeDocument/2006/relationships" ref="J483" r:id="rId471"/>
    <hyperlink xmlns:r="http://schemas.openxmlformats.org/officeDocument/2006/relationships" ref="J484" r:id="rId472"/>
    <hyperlink xmlns:r="http://schemas.openxmlformats.org/officeDocument/2006/relationships" ref="J485" r:id="rId473"/>
    <hyperlink xmlns:r="http://schemas.openxmlformats.org/officeDocument/2006/relationships" ref="J486" r:id="rId474"/>
    <hyperlink xmlns:r="http://schemas.openxmlformats.org/officeDocument/2006/relationships" ref="J487" r:id="rId475"/>
    <hyperlink xmlns:r="http://schemas.openxmlformats.org/officeDocument/2006/relationships" ref="J488" r:id="rId476"/>
    <hyperlink xmlns:r="http://schemas.openxmlformats.org/officeDocument/2006/relationships" ref="J489" r:id="rId477"/>
    <hyperlink xmlns:r="http://schemas.openxmlformats.org/officeDocument/2006/relationships" ref="J490" r:id="rId478"/>
    <hyperlink xmlns:r="http://schemas.openxmlformats.org/officeDocument/2006/relationships" ref="J491" r:id="rId479"/>
    <hyperlink xmlns:r="http://schemas.openxmlformats.org/officeDocument/2006/relationships" ref="J492" r:id="rId480"/>
    <hyperlink xmlns:r="http://schemas.openxmlformats.org/officeDocument/2006/relationships" ref="J493" r:id="rId481"/>
    <hyperlink xmlns:r="http://schemas.openxmlformats.org/officeDocument/2006/relationships" ref="J494" r:id="rId482"/>
    <hyperlink xmlns:r="http://schemas.openxmlformats.org/officeDocument/2006/relationships" ref="J495" r:id="rId483"/>
    <hyperlink xmlns:r="http://schemas.openxmlformats.org/officeDocument/2006/relationships" ref="J496" r:id="rId484"/>
    <hyperlink xmlns:r="http://schemas.openxmlformats.org/officeDocument/2006/relationships" ref="J497" r:id="rId485"/>
    <hyperlink xmlns:r="http://schemas.openxmlformats.org/officeDocument/2006/relationships" ref="J498" r:id="rId486"/>
    <hyperlink xmlns:r="http://schemas.openxmlformats.org/officeDocument/2006/relationships" ref="J499" r:id="rId487"/>
    <hyperlink xmlns:r="http://schemas.openxmlformats.org/officeDocument/2006/relationships" ref="J500" r:id="rId488"/>
    <hyperlink xmlns:r="http://schemas.openxmlformats.org/officeDocument/2006/relationships" ref="J501" r:id="rId489"/>
    <hyperlink xmlns:r="http://schemas.openxmlformats.org/officeDocument/2006/relationships" ref="J502" r:id="rId490"/>
    <hyperlink xmlns:r="http://schemas.openxmlformats.org/officeDocument/2006/relationships" ref="J503" r:id="rId491"/>
    <hyperlink xmlns:r="http://schemas.openxmlformats.org/officeDocument/2006/relationships" ref="J504" r:id="rId492"/>
    <hyperlink xmlns:r="http://schemas.openxmlformats.org/officeDocument/2006/relationships" ref="J505" r:id="rId493"/>
    <hyperlink xmlns:r="http://schemas.openxmlformats.org/officeDocument/2006/relationships" ref="J506" r:id="rId494"/>
    <hyperlink xmlns:r="http://schemas.openxmlformats.org/officeDocument/2006/relationships" ref="J507" r:id="rId495"/>
    <hyperlink xmlns:r="http://schemas.openxmlformats.org/officeDocument/2006/relationships" ref="J508" r:id="rId496"/>
    <hyperlink xmlns:r="http://schemas.openxmlformats.org/officeDocument/2006/relationships" ref="J509" r:id="rId497"/>
    <hyperlink xmlns:r="http://schemas.openxmlformats.org/officeDocument/2006/relationships" ref="J510" r:id="rId498"/>
    <hyperlink xmlns:r="http://schemas.openxmlformats.org/officeDocument/2006/relationships" ref="J511" r:id="rId499"/>
    <hyperlink xmlns:r="http://schemas.openxmlformats.org/officeDocument/2006/relationships" ref="J512" r:id="rId500"/>
    <hyperlink xmlns:r="http://schemas.openxmlformats.org/officeDocument/2006/relationships" ref="J513" r:id="rId501"/>
    <hyperlink xmlns:r="http://schemas.openxmlformats.org/officeDocument/2006/relationships" ref="J514" r:id="rId502"/>
    <hyperlink xmlns:r="http://schemas.openxmlformats.org/officeDocument/2006/relationships" ref="J515" r:id="rId503"/>
    <hyperlink xmlns:r="http://schemas.openxmlformats.org/officeDocument/2006/relationships" ref="J516" r:id="rId504"/>
    <hyperlink xmlns:r="http://schemas.openxmlformats.org/officeDocument/2006/relationships" ref="J517" r:id="rId505"/>
    <hyperlink xmlns:r="http://schemas.openxmlformats.org/officeDocument/2006/relationships" ref="J518" r:id="rId506"/>
    <hyperlink xmlns:r="http://schemas.openxmlformats.org/officeDocument/2006/relationships" ref="J519" r:id="rId507"/>
    <hyperlink xmlns:r="http://schemas.openxmlformats.org/officeDocument/2006/relationships" ref="J520" r:id="rId508"/>
    <hyperlink xmlns:r="http://schemas.openxmlformats.org/officeDocument/2006/relationships" ref="J521" r:id="rId509"/>
    <hyperlink xmlns:r="http://schemas.openxmlformats.org/officeDocument/2006/relationships" ref="J522" r:id="rId510"/>
    <hyperlink xmlns:r="http://schemas.openxmlformats.org/officeDocument/2006/relationships" ref="J523" r:id="rId511"/>
    <hyperlink xmlns:r="http://schemas.openxmlformats.org/officeDocument/2006/relationships" ref="J524" r:id="rId512"/>
    <hyperlink xmlns:r="http://schemas.openxmlformats.org/officeDocument/2006/relationships" ref="J525" r:id="rId513"/>
    <hyperlink xmlns:r="http://schemas.openxmlformats.org/officeDocument/2006/relationships" ref="J526" r:id="rId514"/>
    <hyperlink xmlns:r="http://schemas.openxmlformats.org/officeDocument/2006/relationships" ref="J527" r:id="rId515"/>
    <hyperlink xmlns:r="http://schemas.openxmlformats.org/officeDocument/2006/relationships" ref="J528" r:id="rId516"/>
    <hyperlink xmlns:r="http://schemas.openxmlformats.org/officeDocument/2006/relationships" ref="J529" r:id="rId517"/>
    <hyperlink xmlns:r="http://schemas.openxmlformats.org/officeDocument/2006/relationships" ref="J530" r:id="rId518"/>
    <hyperlink xmlns:r="http://schemas.openxmlformats.org/officeDocument/2006/relationships" ref="J531" r:id="rId519"/>
    <hyperlink xmlns:r="http://schemas.openxmlformats.org/officeDocument/2006/relationships" ref="J532" r:id="rId520"/>
    <hyperlink xmlns:r="http://schemas.openxmlformats.org/officeDocument/2006/relationships" ref="J533" r:id="rId521"/>
    <hyperlink xmlns:r="http://schemas.openxmlformats.org/officeDocument/2006/relationships" ref="J534" r:id="rId522"/>
    <hyperlink xmlns:r="http://schemas.openxmlformats.org/officeDocument/2006/relationships" ref="J535" r:id="rId523"/>
    <hyperlink xmlns:r="http://schemas.openxmlformats.org/officeDocument/2006/relationships" ref="J536" r:id="rId524"/>
    <hyperlink xmlns:r="http://schemas.openxmlformats.org/officeDocument/2006/relationships" ref="J537" r:id="rId525"/>
    <hyperlink xmlns:r="http://schemas.openxmlformats.org/officeDocument/2006/relationships" ref="J538" r:id="rId526"/>
    <hyperlink xmlns:r="http://schemas.openxmlformats.org/officeDocument/2006/relationships" ref="J539" r:id="rId527"/>
    <hyperlink xmlns:r="http://schemas.openxmlformats.org/officeDocument/2006/relationships" ref="J540" r:id="rId528"/>
    <hyperlink xmlns:r="http://schemas.openxmlformats.org/officeDocument/2006/relationships" ref="J541" r:id="rId529"/>
    <hyperlink xmlns:r="http://schemas.openxmlformats.org/officeDocument/2006/relationships" ref="J542" r:id="rId530"/>
    <hyperlink xmlns:r="http://schemas.openxmlformats.org/officeDocument/2006/relationships" ref="J543" r:id="rId531"/>
    <hyperlink xmlns:r="http://schemas.openxmlformats.org/officeDocument/2006/relationships" ref="J544" r:id="rId532"/>
    <hyperlink xmlns:r="http://schemas.openxmlformats.org/officeDocument/2006/relationships" ref="J545" r:id="rId533"/>
    <hyperlink xmlns:r="http://schemas.openxmlformats.org/officeDocument/2006/relationships" ref="J546" r:id="rId534"/>
    <hyperlink xmlns:r="http://schemas.openxmlformats.org/officeDocument/2006/relationships" ref="J547" r:id="rId535"/>
    <hyperlink xmlns:r="http://schemas.openxmlformats.org/officeDocument/2006/relationships" ref="J548" r:id="rId536"/>
    <hyperlink xmlns:r="http://schemas.openxmlformats.org/officeDocument/2006/relationships" ref="J549" r:id="rId537"/>
    <hyperlink xmlns:r="http://schemas.openxmlformats.org/officeDocument/2006/relationships" ref="J550" r:id="rId538"/>
    <hyperlink xmlns:r="http://schemas.openxmlformats.org/officeDocument/2006/relationships" ref="J551" r:id="rId539"/>
    <hyperlink xmlns:r="http://schemas.openxmlformats.org/officeDocument/2006/relationships" ref="J552" r:id="rId540"/>
    <hyperlink xmlns:r="http://schemas.openxmlformats.org/officeDocument/2006/relationships" ref="J553" r:id="rId541"/>
    <hyperlink xmlns:r="http://schemas.openxmlformats.org/officeDocument/2006/relationships" ref="J554" r:id="rId542"/>
    <hyperlink xmlns:r="http://schemas.openxmlformats.org/officeDocument/2006/relationships" ref="J555" r:id="rId543"/>
    <hyperlink xmlns:r="http://schemas.openxmlformats.org/officeDocument/2006/relationships" ref="J556" r:id="rId544"/>
    <hyperlink xmlns:r="http://schemas.openxmlformats.org/officeDocument/2006/relationships" ref="J557" r:id="rId545"/>
    <hyperlink xmlns:r="http://schemas.openxmlformats.org/officeDocument/2006/relationships" ref="J558" r:id="rId546"/>
    <hyperlink xmlns:r="http://schemas.openxmlformats.org/officeDocument/2006/relationships" ref="J559" r:id="rId547"/>
    <hyperlink xmlns:r="http://schemas.openxmlformats.org/officeDocument/2006/relationships" ref="J560" r:id="rId548"/>
    <hyperlink xmlns:r="http://schemas.openxmlformats.org/officeDocument/2006/relationships" ref="J561" r:id="rId549"/>
    <hyperlink xmlns:r="http://schemas.openxmlformats.org/officeDocument/2006/relationships" ref="J562" r:id="rId550"/>
    <hyperlink xmlns:r="http://schemas.openxmlformats.org/officeDocument/2006/relationships" ref="J563" r:id="rId551"/>
    <hyperlink xmlns:r="http://schemas.openxmlformats.org/officeDocument/2006/relationships" ref="J564" r:id="rId552"/>
    <hyperlink xmlns:r="http://schemas.openxmlformats.org/officeDocument/2006/relationships" ref="J565" r:id="rId553"/>
    <hyperlink xmlns:r="http://schemas.openxmlformats.org/officeDocument/2006/relationships" ref="J566" r:id="rId554"/>
    <hyperlink xmlns:r="http://schemas.openxmlformats.org/officeDocument/2006/relationships" ref="J567" r:id="rId555"/>
    <hyperlink xmlns:r="http://schemas.openxmlformats.org/officeDocument/2006/relationships" ref="J568" r:id="rId556"/>
    <hyperlink xmlns:r="http://schemas.openxmlformats.org/officeDocument/2006/relationships" ref="J569" r:id="rId557"/>
    <hyperlink xmlns:r="http://schemas.openxmlformats.org/officeDocument/2006/relationships" ref="J570" r:id="rId558"/>
    <hyperlink xmlns:r="http://schemas.openxmlformats.org/officeDocument/2006/relationships" ref="J571" r:id="rId559"/>
    <hyperlink xmlns:r="http://schemas.openxmlformats.org/officeDocument/2006/relationships" ref="J572" r:id="rId560"/>
    <hyperlink xmlns:r="http://schemas.openxmlformats.org/officeDocument/2006/relationships" ref="J573" r:id="rId561"/>
    <hyperlink xmlns:r="http://schemas.openxmlformats.org/officeDocument/2006/relationships" ref="J574" r:id="rId562"/>
    <hyperlink xmlns:r="http://schemas.openxmlformats.org/officeDocument/2006/relationships" ref="J575" r:id="rId563"/>
    <hyperlink xmlns:r="http://schemas.openxmlformats.org/officeDocument/2006/relationships" ref="J576" r:id="rId564"/>
    <hyperlink xmlns:r="http://schemas.openxmlformats.org/officeDocument/2006/relationships" ref="J577" r:id="rId565"/>
    <hyperlink xmlns:r="http://schemas.openxmlformats.org/officeDocument/2006/relationships" ref="J578" r:id="rId566"/>
    <hyperlink xmlns:r="http://schemas.openxmlformats.org/officeDocument/2006/relationships" ref="J579" r:id="rId567"/>
    <hyperlink xmlns:r="http://schemas.openxmlformats.org/officeDocument/2006/relationships" ref="J580" r:id="rId568"/>
    <hyperlink xmlns:r="http://schemas.openxmlformats.org/officeDocument/2006/relationships" ref="J581" r:id="rId569"/>
    <hyperlink xmlns:r="http://schemas.openxmlformats.org/officeDocument/2006/relationships" ref="J582" r:id="rId570"/>
    <hyperlink xmlns:r="http://schemas.openxmlformats.org/officeDocument/2006/relationships" ref="J583" r:id="rId571"/>
    <hyperlink xmlns:r="http://schemas.openxmlformats.org/officeDocument/2006/relationships" ref="J584" r:id="rId572"/>
    <hyperlink xmlns:r="http://schemas.openxmlformats.org/officeDocument/2006/relationships" ref="J585" r:id="rId573"/>
    <hyperlink xmlns:r="http://schemas.openxmlformats.org/officeDocument/2006/relationships" ref="J586" r:id="rId574"/>
    <hyperlink xmlns:r="http://schemas.openxmlformats.org/officeDocument/2006/relationships" ref="J587" r:id="rId575"/>
    <hyperlink xmlns:r="http://schemas.openxmlformats.org/officeDocument/2006/relationships" ref="J588" r:id="rId576"/>
    <hyperlink xmlns:r="http://schemas.openxmlformats.org/officeDocument/2006/relationships" ref="J589" r:id="rId577"/>
    <hyperlink xmlns:r="http://schemas.openxmlformats.org/officeDocument/2006/relationships" ref="J590" r:id="rId578"/>
    <hyperlink xmlns:r="http://schemas.openxmlformats.org/officeDocument/2006/relationships" ref="J591" r:id="rId579"/>
    <hyperlink xmlns:r="http://schemas.openxmlformats.org/officeDocument/2006/relationships" ref="J592" r:id="rId580"/>
    <hyperlink xmlns:r="http://schemas.openxmlformats.org/officeDocument/2006/relationships" ref="J593" r:id="rId581"/>
    <hyperlink xmlns:r="http://schemas.openxmlformats.org/officeDocument/2006/relationships" ref="J594" r:id="rId582"/>
    <hyperlink xmlns:r="http://schemas.openxmlformats.org/officeDocument/2006/relationships" ref="J595" r:id="rId583"/>
    <hyperlink xmlns:r="http://schemas.openxmlformats.org/officeDocument/2006/relationships" ref="J596" r:id="rId584"/>
    <hyperlink xmlns:r="http://schemas.openxmlformats.org/officeDocument/2006/relationships" ref="J597" r:id="rId585"/>
    <hyperlink xmlns:r="http://schemas.openxmlformats.org/officeDocument/2006/relationships" ref="J598" r:id="rId586"/>
    <hyperlink xmlns:r="http://schemas.openxmlformats.org/officeDocument/2006/relationships" ref="J599" r:id="rId587"/>
    <hyperlink xmlns:r="http://schemas.openxmlformats.org/officeDocument/2006/relationships" ref="J600" r:id="rId588"/>
    <hyperlink xmlns:r="http://schemas.openxmlformats.org/officeDocument/2006/relationships" ref="J601" r:id="rId589"/>
    <hyperlink xmlns:r="http://schemas.openxmlformats.org/officeDocument/2006/relationships" ref="J602" r:id="rId590"/>
    <hyperlink xmlns:r="http://schemas.openxmlformats.org/officeDocument/2006/relationships" ref="J603" r:id="rId591"/>
    <hyperlink xmlns:r="http://schemas.openxmlformats.org/officeDocument/2006/relationships" ref="J604" r:id="rId592"/>
    <hyperlink xmlns:r="http://schemas.openxmlformats.org/officeDocument/2006/relationships" ref="J605" r:id="rId593"/>
    <hyperlink xmlns:r="http://schemas.openxmlformats.org/officeDocument/2006/relationships" ref="J606" r:id="rId594"/>
    <hyperlink xmlns:r="http://schemas.openxmlformats.org/officeDocument/2006/relationships" ref="J607" r:id="rId595"/>
    <hyperlink xmlns:r="http://schemas.openxmlformats.org/officeDocument/2006/relationships" ref="J608" r:id="rId596"/>
    <hyperlink xmlns:r="http://schemas.openxmlformats.org/officeDocument/2006/relationships" ref="J609" r:id="rId597"/>
    <hyperlink xmlns:r="http://schemas.openxmlformats.org/officeDocument/2006/relationships" ref="J610" r:id="rId598"/>
    <hyperlink xmlns:r="http://schemas.openxmlformats.org/officeDocument/2006/relationships" ref="J611" r:id="rId599"/>
    <hyperlink xmlns:r="http://schemas.openxmlformats.org/officeDocument/2006/relationships" ref="J612" r:id="rId600"/>
    <hyperlink xmlns:r="http://schemas.openxmlformats.org/officeDocument/2006/relationships" ref="J613" r:id="rId601"/>
    <hyperlink xmlns:r="http://schemas.openxmlformats.org/officeDocument/2006/relationships" ref="J615" r:id="rId602"/>
    <hyperlink xmlns:r="http://schemas.openxmlformats.org/officeDocument/2006/relationships" ref="J616" r:id="rId603"/>
    <hyperlink xmlns:r="http://schemas.openxmlformats.org/officeDocument/2006/relationships" ref="J617" r:id="rId604"/>
    <hyperlink xmlns:r="http://schemas.openxmlformats.org/officeDocument/2006/relationships" ref="J618" r:id="rId605"/>
    <hyperlink xmlns:r="http://schemas.openxmlformats.org/officeDocument/2006/relationships" ref="J619" r:id="rId606"/>
    <hyperlink xmlns:r="http://schemas.openxmlformats.org/officeDocument/2006/relationships" ref="J620" r:id="rId607"/>
    <hyperlink xmlns:r="http://schemas.openxmlformats.org/officeDocument/2006/relationships" ref="J621" r:id="rId608"/>
    <hyperlink xmlns:r="http://schemas.openxmlformats.org/officeDocument/2006/relationships" ref="J622" r:id="rId609"/>
    <hyperlink xmlns:r="http://schemas.openxmlformats.org/officeDocument/2006/relationships" ref="J623" r:id="rId610"/>
    <hyperlink xmlns:r="http://schemas.openxmlformats.org/officeDocument/2006/relationships" ref="J624" r:id="rId611"/>
    <hyperlink xmlns:r="http://schemas.openxmlformats.org/officeDocument/2006/relationships" ref="J625" r:id="rId612"/>
    <hyperlink xmlns:r="http://schemas.openxmlformats.org/officeDocument/2006/relationships" ref="J626" r:id="rId613"/>
    <hyperlink xmlns:r="http://schemas.openxmlformats.org/officeDocument/2006/relationships" ref="J627" r:id="rId614"/>
    <hyperlink xmlns:r="http://schemas.openxmlformats.org/officeDocument/2006/relationships" ref="J628" r:id="rId615"/>
    <hyperlink xmlns:r="http://schemas.openxmlformats.org/officeDocument/2006/relationships" ref="J629" r:id="rId616"/>
    <hyperlink xmlns:r="http://schemas.openxmlformats.org/officeDocument/2006/relationships" ref="J630" r:id="rId617"/>
    <hyperlink xmlns:r="http://schemas.openxmlformats.org/officeDocument/2006/relationships" ref="J631" r:id="rId618"/>
    <hyperlink xmlns:r="http://schemas.openxmlformats.org/officeDocument/2006/relationships" ref="J633" r:id="rId619"/>
    <hyperlink xmlns:r="http://schemas.openxmlformats.org/officeDocument/2006/relationships" ref="J634" r:id="rId620"/>
    <hyperlink xmlns:r="http://schemas.openxmlformats.org/officeDocument/2006/relationships" ref="J635" r:id="rId621"/>
    <hyperlink xmlns:r="http://schemas.openxmlformats.org/officeDocument/2006/relationships" ref="J636" r:id="rId622"/>
    <hyperlink xmlns:r="http://schemas.openxmlformats.org/officeDocument/2006/relationships" ref="J637" r:id="rId623"/>
    <hyperlink xmlns:r="http://schemas.openxmlformats.org/officeDocument/2006/relationships" ref="J638" r:id="rId624"/>
    <hyperlink xmlns:r="http://schemas.openxmlformats.org/officeDocument/2006/relationships" ref="J639" r:id="rId625"/>
    <hyperlink xmlns:r="http://schemas.openxmlformats.org/officeDocument/2006/relationships" ref="J640" r:id="rId626"/>
    <hyperlink xmlns:r="http://schemas.openxmlformats.org/officeDocument/2006/relationships" ref="J641" r:id="rId627"/>
    <hyperlink xmlns:r="http://schemas.openxmlformats.org/officeDocument/2006/relationships" ref="J642" r:id="rId628"/>
    <hyperlink xmlns:r="http://schemas.openxmlformats.org/officeDocument/2006/relationships" ref="J643" r:id="rId629"/>
    <hyperlink xmlns:r="http://schemas.openxmlformats.org/officeDocument/2006/relationships" ref="J644" r:id="rId630"/>
    <hyperlink xmlns:r="http://schemas.openxmlformats.org/officeDocument/2006/relationships" ref="J645" r:id="rId631"/>
    <hyperlink xmlns:r="http://schemas.openxmlformats.org/officeDocument/2006/relationships" ref="J646" r:id="rId632"/>
    <hyperlink xmlns:r="http://schemas.openxmlformats.org/officeDocument/2006/relationships" ref="J647" r:id="rId633"/>
    <hyperlink xmlns:r="http://schemas.openxmlformats.org/officeDocument/2006/relationships" ref="J648" r:id="rId634"/>
    <hyperlink xmlns:r="http://schemas.openxmlformats.org/officeDocument/2006/relationships" ref="J649" r:id="rId635"/>
    <hyperlink xmlns:r="http://schemas.openxmlformats.org/officeDocument/2006/relationships" ref="J650" r:id="rId636"/>
    <hyperlink xmlns:r="http://schemas.openxmlformats.org/officeDocument/2006/relationships" ref="J651" r:id="rId637"/>
    <hyperlink xmlns:r="http://schemas.openxmlformats.org/officeDocument/2006/relationships" ref="J652" r:id="rId638"/>
    <hyperlink xmlns:r="http://schemas.openxmlformats.org/officeDocument/2006/relationships" ref="J653" r:id="rId639"/>
    <hyperlink xmlns:r="http://schemas.openxmlformats.org/officeDocument/2006/relationships" ref="J654" r:id="rId640"/>
    <hyperlink xmlns:r="http://schemas.openxmlformats.org/officeDocument/2006/relationships" ref="J655" r:id="rId641"/>
    <hyperlink xmlns:r="http://schemas.openxmlformats.org/officeDocument/2006/relationships" ref="J656" r:id="rId642"/>
    <hyperlink xmlns:r="http://schemas.openxmlformats.org/officeDocument/2006/relationships" ref="J657" r:id="rId643"/>
    <hyperlink xmlns:r="http://schemas.openxmlformats.org/officeDocument/2006/relationships" ref="J658" r:id="rId644"/>
    <hyperlink xmlns:r="http://schemas.openxmlformats.org/officeDocument/2006/relationships" ref="J659" r:id="rId645"/>
    <hyperlink xmlns:r="http://schemas.openxmlformats.org/officeDocument/2006/relationships" ref="J660" r:id="rId646"/>
    <hyperlink xmlns:r="http://schemas.openxmlformats.org/officeDocument/2006/relationships" ref="J661" r:id="rId647"/>
    <hyperlink xmlns:r="http://schemas.openxmlformats.org/officeDocument/2006/relationships" ref="J662" r:id="rId648"/>
    <hyperlink xmlns:r="http://schemas.openxmlformats.org/officeDocument/2006/relationships" ref="J663" r:id="rId649"/>
    <hyperlink xmlns:r="http://schemas.openxmlformats.org/officeDocument/2006/relationships" ref="J664" r:id="rId650"/>
    <hyperlink xmlns:r="http://schemas.openxmlformats.org/officeDocument/2006/relationships" ref="J665" r:id="rId651"/>
    <hyperlink xmlns:r="http://schemas.openxmlformats.org/officeDocument/2006/relationships" ref="J666" r:id="rId652"/>
    <hyperlink xmlns:r="http://schemas.openxmlformats.org/officeDocument/2006/relationships" ref="J667" r:id="rId653"/>
    <hyperlink xmlns:r="http://schemas.openxmlformats.org/officeDocument/2006/relationships" ref="J668" r:id="rId654"/>
    <hyperlink xmlns:r="http://schemas.openxmlformats.org/officeDocument/2006/relationships" ref="J669" r:id="rId655"/>
    <hyperlink xmlns:r="http://schemas.openxmlformats.org/officeDocument/2006/relationships" ref="J670" r:id="rId656"/>
    <hyperlink xmlns:r="http://schemas.openxmlformats.org/officeDocument/2006/relationships" ref="J671" r:id="rId657"/>
    <hyperlink xmlns:r="http://schemas.openxmlformats.org/officeDocument/2006/relationships" ref="J672" r:id="rId658"/>
    <hyperlink xmlns:r="http://schemas.openxmlformats.org/officeDocument/2006/relationships" ref="J673" r:id="rId659"/>
    <hyperlink xmlns:r="http://schemas.openxmlformats.org/officeDocument/2006/relationships" ref="J674" r:id="rId660"/>
    <hyperlink xmlns:r="http://schemas.openxmlformats.org/officeDocument/2006/relationships" ref="J675" r:id="rId661"/>
    <hyperlink xmlns:r="http://schemas.openxmlformats.org/officeDocument/2006/relationships" ref="J676" r:id="rId662"/>
    <hyperlink xmlns:r="http://schemas.openxmlformats.org/officeDocument/2006/relationships" ref="J677" r:id="rId663"/>
    <hyperlink xmlns:r="http://schemas.openxmlformats.org/officeDocument/2006/relationships" ref="J678" r:id="rId664"/>
    <hyperlink xmlns:r="http://schemas.openxmlformats.org/officeDocument/2006/relationships" ref="J679" r:id="rId665"/>
    <hyperlink xmlns:r="http://schemas.openxmlformats.org/officeDocument/2006/relationships" ref="J680" r:id="rId666"/>
    <hyperlink xmlns:r="http://schemas.openxmlformats.org/officeDocument/2006/relationships" ref="J681" r:id="rId667"/>
    <hyperlink xmlns:r="http://schemas.openxmlformats.org/officeDocument/2006/relationships" ref="J682" r:id="rId668"/>
    <hyperlink xmlns:r="http://schemas.openxmlformats.org/officeDocument/2006/relationships" ref="J683" r:id="rId669"/>
    <hyperlink xmlns:r="http://schemas.openxmlformats.org/officeDocument/2006/relationships" ref="J684" r:id="rId670"/>
    <hyperlink xmlns:r="http://schemas.openxmlformats.org/officeDocument/2006/relationships" ref="J685" r:id="rId671"/>
    <hyperlink xmlns:r="http://schemas.openxmlformats.org/officeDocument/2006/relationships" ref="J686" r:id="rId672"/>
    <hyperlink xmlns:r="http://schemas.openxmlformats.org/officeDocument/2006/relationships" ref="J687" r:id="rId673"/>
    <hyperlink xmlns:r="http://schemas.openxmlformats.org/officeDocument/2006/relationships" ref="J688" r:id="rId674"/>
    <hyperlink xmlns:r="http://schemas.openxmlformats.org/officeDocument/2006/relationships" ref="J689" r:id="rId675"/>
    <hyperlink xmlns:r="http://schemas.openxmlformats.org/officeDocument/2006/relationships" ref="J690" r:id="rId676"/>
    <hyperlink xmlns:r="http://schemas.openxmlformats.org/officeDocument/2006/relationships" ref="J691" r:id="rId677"/>
    <hyperlink xmlns:r="http://schemas.openxmlformats.org/officeDocument/2006/relationships" ref="J692" r:id="rId678"/>
    <hyperlink xmlns:r="http://schemas.openxmlformats.org/officeDocument/2006/relationships" ref="J693" r:id="rId679"/>
    <hyperlink xmlns:r="http://schemas.openxmlformats.org/officeDocument/2006/relationships" ref="J694" r:id="rId680"/>
    <hyperlink xmlns:r="http://schemas.openxmlformats.org/officeDocument/2006/relationships" ref="J695" r:id="rId681"/>
    <hyperlink xmlns:r="http://schemas.openxmlformats.org/officeDocument/2006/relationships" ref="J696" r:id="rId682"/>
    <hyperlink xmlns:r="http://schemas.openxmlformats.org/officeDocument/2006/relationships" ref="J697" r:id="rId683"/>
    <hyperlink xmlns:r="http://schemas.openxmlformats.org/officeDocument/2006/relationships" ref="J698" r:id="rId684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26"/>
  <sheetViews>
    <sheetView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62" customWidth="1" min="3" max="3"/>
    <col width="10" customWidth="1" min="4" max="4"/>
  </cols>
  <sheetData>
    <row r="1">
      <c r="B1" s="19" t="inlineStr">
        <is>
          <t>Pilot offer · Haggerston Park</t>
        </is>
      </c>
    </row>
    <row r="2">
      <c r="B2" s="20" t="inlineStr">
        <is>
          <t>Yellow cells are inputs. Once date, kick-off, format and price are filled, every Outreach row leads with this slot.</t>
        </is>
      </c>
    </row>
    <row r="3">
      <c r="B3" s="21" t="inlineStr">
        <is>
          <t>Pitch</t>
        </is>
      </c>
      <c r="C3" s="22" t="inlineStr">
        <is>
          <t>Haggerston Park</t>
        </is>
      </c>
      <c r="D3" s="20" t="inlineStr">
        <is>
          <t>Luuk</t>
        </is>
      </c>
    </row>
    <row r="4">
      <c r="B4" s="21" t="inlineStr">
        <is>
          <t>Address</t>
        </is>
      </c>
      <c r="C4" s="22" t="inlineStr">
        <is>
          <t>Yorkton St, E2 8NH</t>
        </is>
      </c>
      <c r="D4" s="20" t="inlineStr">
        <is>
          <t>Luuk</t>
        </is>
      </c>
    </row>
    <row r="5">
      <c r="B5" s="21" t="inlineStr">
        <is>
          <t>Date</t>
        </is>
      </c>
      <c r="C5" s="45" t="n"/>
      <c r="D5" s="20" t="inlineStr">
        <is>
          <t>Luuk</t>
        </is>
      </c>
    </row>
    <row r="6">
      <c r="B6" s="21" t="inlineStr">
        <is>
          <t>Kick-off</t>
        </is>
      </c>
      <c r="C6" s="46" t="n"/>
      <c r="D6" s="20" t="inlineStr">
        <is>
          <t>Luuk</t>
        </is>
      </c>
    </row>
    <row r="7">
      <c r="B7" s="21" t="inlineStr">
        <is>
          <t>Duration (min)</t>
        </is>
      </c>
      <c r="C7" s="22" t="n">
        <v>60</v>
      </c>
      <c r="D7" s="20" t="inlineStr">
        <is>
          <t>Luuk</t>
        </is>
      </c>
    </row>
    <row r="8">
      <c r="B8" s="21" t="inlineStr">
        <is>
          <t>Format</t>
        </is>
      </c>
      <c r="C8" s="22" t="n"/>
      <c r="D8" s="20" t="inlineStr">
        <is>
          <t>Luuk</t>
        </is>
      </c>
    </row>
    <row r="9">
      <c r="B9" s="21" t="inlineStr">
        <is>
          <t>Players on the pitch</t>
        </is>
      </c>
      <c r="C9" s="25">
        <f>IFERROR(VALUE(LEFT(C8,FIND("-",C8)-1))*2,"")</f>
        <v/>
      </c>
      <c r="D9" s="20" t="n"/>
    </row>
    <row r="10">
      <c r="B10" s="21" t="inlineStr">
        <is>
          <t>Hire cost (£)</t>
        </is>
      </c>
      <c r="C10" s="47" t="n"/>
      <c r="D10" s="20" t="inlineStr">
        <is>
          <t>Luuk</t>
        </is>
      </c>
    </row>
    <row r="11">
      <c r="B11" s="21" t="inlineStr">
        <is>
          <t>Price per player (£)</t>
        </is>
      </c>
      <c r="C11" s="47" t="n"/>
      <c r="D11" s="20" t="inlineStr">
        <is>
          <t>Joep</t>
        </is>
      </c>
    </row>
    <row r="12">
      <c r="B12" s="21" t="inlineStr">
        <is>
          <t>Minimum paying players to cover hire</t>
        </is>
      </c>
      <c r="C12" s="25">
        <f>IF(OR(C10="",C11="",C11=0),"",ROUNDUP(C10/C11,0))</f>
        <v/>
      </c>
      <c r="D12" s="20" t="n"/>
    </row>
    <row r="13">
      <c r="B13" s="21" t="inlineStr">
        <is>
          <t>Revenue if full (£)</t>
        </is>
      </c>
      <c r="C13" s="48">
        <f>IF(OR(C9="",C11=""),"",C9*C11)</f>
        <v/>
      </c>
      <c r="D13" s="20" t="n"/>
    </row>
    <row r="14">
      <c r="B14" s="21" t="inlineStr">
        <is>
          <t>Margin if full (£)</t>
        </is>
      </c>
      <c r="C14" s="48">
        <f>IF(OR(C13="",C10=""),"",C13-C10)</f>
        <v/>
      </c>
      <c r="D14" s="20" t="n"/>
    </row>
    <row r="15">
      <c r="B15" s="21" t="inlineStr">
        <is>
          <t>Margin if full (%)</t>
        </is>
      </c>
      <c r="C15" s="49">
        <f>IF(OR(C14="",C13="",C13=0),"",C14/C13)</f>
        <v/>
      </c>
      <c r="D15" s="20" t="n"/>
    </row>
    <row r="16">
      <c r="B16" s="21" t="inlineStr">
        <is>
          <t>Booking deadline (venue)</t>
        </is>
      </c>
      <c r="C16" s="45" t="n"/>
      <c r="D16" s="20" t="inlineStr">
        <is>
          <t>Luuk</t>
        </is>
      </c>
    </row>
    <row r="17">
      <c r="B17" s="21" t="inlineStr">
        <is>
          <t>Cancellation terms (venue)</t>
        </is>
      </c>
      <c r="C17" s="22" t="n"/>
      <c r="D17" s="20" t="inlineStr">
        <is>
          <t>Luuk</t>
        </is>
      </c>
    </row>
    <row r="18">
      <c r="B18" s="21" t="inlineStr">
        <is>
          <t>We commit to the venue when…</t>
        </is>
      </c>
      <c r="C18" s="22" t="n"/>
      <c r="D18" s="20" t="inlineStr">
        <is>
          <t>Joep</t>
        </is>
      </c>
    </row>
    <row r="19">
      <c r="B19" s="21" t="inlineStr">
        <is>
          <t>Joining link (app)</t>
        </is>
      </c>
      <c r="C19" s="22" t="n"/>
      <c r="D19" s="20" t="n"/>
    </row>
    <row r="20">
      <c r="B20" s="21" t="inlineStr">
        <is>
          <t>Deadline for players to commit</t>
        </is>
      </c>
      <c r="C20" s="45" t="n"/>
      <c r="D20" s="20" t="n"/>
    </row>
    <row r="21">
      <c r="B21" s="21" t="inlineStr">
        <is>
          <t>Who confirms the booking</t>
        </is>
      </c>
      <c r="C21" s="22" t="inlineStr">
        <is>
          <t>Hackney Parks bookings (GLL) · 020 8986 7955 (Mon–Fri 09:00–15:30) · hackney.marshes@gll.org</t>
        </is>
      </c>
      <c r="D21" s="20" t="inlineStr">
        <is>
          <t>Luuk</t>
        </is>
      </c>
    </row>
    <row r="22">
      <c r="B22" s="21" t="inlineStr">
        <is>
          <t>Floodlit</t>
        </is>
      </c>
      <c r="C22" s="22" t="inlineStr">
        <is>
          <t>Yes per Playfinder / Hackney Council (18:00–22:00 in term time); fcurban.com page says no — confirm on the call</t>
        </is>
      </c>
      <c r="D22" s="20" t="inlineStr">
        <is>
          <t>Luuk</t>
        </is>
      </c>
    </row>
    <row r="24">
      <c r="B24" s="21" t="inlineStr">
        <is>
          <t>Pilot ready to lead outreach?</t>
        </is>
      </c>
      <c r="C24" s="21">
        <f>IF(AND(C5&lt;&gt;"",C6&lt;&gt;"",C8&lt;&gt;"",C11&lt;&gt;""),"Yes","No — fill Date, Kick-off, Format and Price")</f>
        <v/>
      </c>
    </row>
    <row r="26">
      <c r="B26" s="20" t="inlineStr">
        <is>
          <t>Cost floor for comparison: see Venues › Cost per player at earliest. Old St – Moreland 6-a-side works out at £7.50 per player at cost; COLA 5-a-side £9.10.</t>
        </is>
      </c>
    </row>
  </sheetData>
  <dataValidations count="1">
    <dataValidation sqref="C8" showDropDown="0" showInputMessage="0" showErrorMessage="0" allowBlank="1" type="list">
      <formula1>"5-a-side,6-a-side,7-a-side,8-a-side,11-a-side"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40" customWidth="1" min="2" max="2"/>
    <col width="16" customWidth="1" min="3" max="3"/>
    <col width="10" customWidth="1" min="4" max="4"/>
    <col width="20" customWidth="1" min="5" max="5"/>
    <col width="14" customWidth="1" min="6" max="6"/>
    <col width="11" customWidth="1" min="7" max="7"/>
    <col width="12" customWidth="1" min="8" max="8"/>
    <col width="8" customWidth="1" min="9" max="9"/>
    <col width="30" customWidth="1" min="10" max="10"/>
    <col width="36" customWidth="1" min="11" max="11"/>
    <col width="34" customWidth="1" min="12" max="12"/>
    <col width="15" customWidth="1" min="13" max="13"/>
    <col width="24" customWidth="1" min="14" max="14"/>
    <col width="60" customWidth="1" min="15" max="15"/>
    <col width="10" customWidth="1" min="16" max="16"/>
    <col width="10" customWidth="1" min="17" max="17"/>
  </cols>
  <sheetData>
    <row r="1">
      <c r="A1" s="11" t="inlineStr">
        <is>
          <t>Venue</t>
        </is>
      </c>
      <c r="B1" s="11" t="inlineStr">
        <is>
          <t>Address</t>
        </is>
      </c>
      <c r="C1" s="11" t="inlineStr">
        <is>
          <t>Status</t>
        </is>
      </c>
      <c r="D1" s="11" t="inlineStr">
        <is>
          <t>Open after-work slots</t>
        </is>
      </c>
      <c r="E1" s="11" t="inlineStr">
        <is>
          <t>Earliest slot</t>
        </is>
      </c>
      <c r="F1" s="11" t="inlineStr">
        <is>
          <t>Earliest format</t>
        </is>
      </c>
      <c r="G1" s="11" t="inlineStr">
        <is>
          <t>Earliest hire (£)</t>
        </is>
      </c>
      <c r="H1" s="11" t="inlineStr">
        <is>
          <t>Cost per player at earliest (£)</t>
        </is>
      </c>
      <c r="I1" s="11" t="inlineStr">
        <is>
          <t>Floodlit</t>
        </is>
      </c>
      <c r="J1" s="11" t="inlineStr">
        <is>
          <t>Booking source</t>
        </is>
      </c>
      <c r="K1" s="11" t="inlineStr">
        <is>
          <t>Booking link</t>
        </is>
      </c>
      <c r="L1" s="11" t="inlineStr">
        <is>
          <t>Booking contact</t>
        </is>
      </c>
      <c r="M1" s="11" t="inlineStr">
        <is>
          <t>Phone</t>
        </is>
      </c>
      <c r="N1" s="11" t="inlineStr">
        <is>
          <t>Email</t>
        </is>
      </c>
      <c r="O1" s="11" t="inlineStr">
        <is>
          <t>How to book / notes</t>
        </is>
      </c>
      <c r="P1" s="11" t="inlineStr">
        <is>
          <t>Leads tagged here</t>
        </is>
      </c>
      <c r="Q1" s="11" t="inlineStr">
        <is>
          <t>Leads using as fallback</t>
        </is>
      </c>
    </row>
    <row r="2">
      <c r="A2" s="13" t="inlineStr">
        <is>
          <t>Haggerston Park</t>
        </is>
      </c>
      <c r="B2" s="13" t="inlineStr">
        <is>
          <t>Yorkton St, E2 8NH</t>
        </is>
      </c>
      <c r="C2" s="13" t="inlineStr">
        <is>
          <t>Contact required</t>
        </is>
      </c>
      <c r="D2" s="15">
        <f>COUNTIFS(Slots!$A$2:$A$90,A2,Slots!$I$2:$I$90,"Available")</f>
        <v/>
      </c>
      <c r="E2" s="42">
        <f>IF(D2=0,"",_xlfn.MINIFS(Slots!$F$2:$F$90,Slots!$A$2:$A$90,A2,Slots!$I$2:$I$90,"Available"))</f>
        <v/>
      </c>
      <c r="F2" s="15">
        <f>IFERROR(INDEX(Slots!$G$2:$G$90,MATCH(A2&amp;"#1",Slots!$R$2:$R$90,0)),"")</f>
        <v/>
      </c>
      <c r="G2" s="43">
        <f>IFERROR(INDEX(Slots!$J$2:$J$90,MATCH(A2&amp;"#1",Slots!$R$2:$R$90,0)),"")</f>
        <v/>
      </c>
      <c r="H2" s="43">
        <f>IFERROR(INDEX(Slots!$L$2:$L$90,MATCH(A2&amp;"#1",Slots!$R$2:$R$90,0)),"")</f>
        <v/>
      </c>
      <c r="I2" s="13" t="inlineStr">
        <is>
          <t>yes</t>
        </is>
      </c>
      <c r="J2" s="13" t="inlineStr">
        <is>
          <t>Hackney Council (GLL)</t>
        </is>
      </c>
      <c r="K2" s="14" t="inlineStr">
        <is>
          <t>https://www.hackney.gov.uk/courts-and-pitches</t>
        </is>
      </c>
      <c r="L2" s="13" t="inlineStr">
        <is>
          <t>Hackney Parks bookings (GLL)</t>
        </is>
      </c>
      <c r="M2" s="13" t="inlineStr">
        <is>
          <t>020 8986 7955</t>
        </is>
      </c>
      <c r="N2" s="13" t="inlineStr">
        <is>
          <t>hackney.marshes@gll.org</t>
        </is>
      </c>
      <c r="O2" s="36" t="inlineStr">
        <is>
          <t>Phone line Mon-Fri 09:00-15:30. Pitch bookable 18:00-22:00 in term time per Hackney Council</t>
        </is>
      </c>
      <c r="P2" s="15">
        <f>COUNTIF(Outreach!$M$3:$M$2000,A2)</f>
        <v/>
      </c>
      <c r="Q2" s="15">
        <f>COUNTIF(Outreach!$S$3:$S$2000,A2)</f>
        <v/>
      </c>
    </row>
    <row r="3">
      <c r="A3" s="13" t="inlineStr">
        <is>
          <t>Whitechapel</t>
        </is>
      </c>
      <c r="B3" s="13" t="inlineStr">
        <is>
          <t>Mulberry Sports &amp; Leisure Centre, Richard St, E1 2JP</t>
        </is>
      </c>
      <c r="C3" s="13" t="inlineStr">
        <is>
          <t>Contact required</t>
        </is>
      </c>
      <c r="D3" s="15">
        <f>COUNTIFS(Slots!$A$2:$A$90,A3,Slots!$I$2:$I$90,"Available")</f>
        <v/>
      </c>
      <c r="E3" s="42">
        <f>IF(D3=0,"",_xlfn.MINIFS(Slots!$F$2:$F$90,Slots!$A$2:$A$90,A3,Slots!$I$2:$I$90,"Available"))</f>
        <v/>
      </c>
      <c r="F3" s="15">
        <f>IFERROR(INDEX(Slots!$G$2:$G$90,MATCH(A3&amp;"#1",Slots!$R$2:$R$90,0)),"")</f>
        <v/>
      </c>
      <c r="G3" s="43">
        <f>IFERROR(INDEX(Slots!$J$2:$J$90,MATCH(A3&amp;"#1",Slots!$R$2:$R$90,0)),"")</f>
        <v/>
      </c>
      <c r="H3" s="43">
        <f>IFERROR(INDEX(Slots!$L$2:$L$90,MATCH(A3&amp;"#1",Slots!$R$2:$R$90,0)),"")</f>
        <v/>
      </c>
      <c r="I3" s="13" t="inlineStr">
        <is>
          <t>yes</t>
        </is>
      </c>
      <c r="J3" s="13" t="inlineStr">
        <is>
          <t>Mulberry Sports &amp; Leisure Centre (Parkwood Leisure)</t>
        </is>
      </c>
      <c r="K3" s="14" t="inlineStr">
        <is>
          <t>https://pitchbooking.com/partners/MULBERRYSPORTSLEISURECENTRE</t>
        </is>
      </c>
      <c r="L3" s="13" t="inlineStr">
        <is>
          <t>Mulberry Sports &amp; Leisure Centre reception (Parkwood Leisure)</t>
        </is>
      </c>
      <c r="M3" s="13" t="inlineStr">
        <is>
          <t>020 7790 3854</t>
        </is>
      </c>
      <c r="N3" s="13" t="n"/>
      <c r="O3" s="36" t="inlineStr">
        <is>
          <t>Powerleague partner venue for leagues only: Natasha Gouveia (club manager) 0800 567 0757 partnervenues@powerleague.com</t>
        </is>
      </c>
      <c r="P3" s="15">
        <f>COUNTIF(Outreach!$M$3:$M$2000,A3)</f>
        <v/>
      </c>
      <c r="Q3" s="15">
        <f>COUNTIF(Outreach!$S$3:$S$2000,A3)</f>
        <v/>
      </c>
    </row>
    <row r="4">
      <c r="A4" s="13" t="inlineStr">
        <is>
          <t>Shoreditch Rooftop</t>
        </is>
      </c>
      <c r="B4" s="13" t="inlineStr">
        <is>
          <t>Britannia Leisure Centre, Pitfield St, N1 5FT</t>
        </is>
      </c>
      <c r="C4" s="13" t="inlineStr">
        <is>
          <t>Available</t>
        </is>
      </c>
      <c r="D4" s="15">
        <f>COUNTIFS(Slots!$A$2:$A$90,A4,Slots!$I$2:$I$90,"Available")</f>
        <v/>
      </c>
      <c r="E4" s="42">
        <f>IF(D4=0,"",_xlfn.MINIFS(Slots!$F$2:$F$90,Slots!$A$2:$A$90,A4,Slots!$I$2:$I$90,"Available"))</f>
        <v/>
      </c>
      <c r="F4" s="15">
        <f>IFERROR(INDEX(Slots!$G$2:$G$90,MATCH(A4&amp;"#1",Slots!$R$2:$R$90,0)),"")</f>
        <v/>
      </c>
      <c r="G4" s="43">
        <f>IFERROR(INDEX(Slots!$J$2:$J$90,MATCH(A4&amp;"#1",Slots!$R$2:$R$90,0)),"")</f>
        <v/>
      </c>
      <c r="H4" s="43">
        <f>IFERROR(INDEX(Slots!$L$2:$L$90,MATCH(A4&amp;"#1",Slots!$R$2:$R$90,0)),"")</f>
        <v/>
      </c>
      <c r="I4" s="13" t="inlineStr">
        <is>
          <t>yes</t>
        </is>
      </c>
      <c r="J4" s="13" t="inlineStr">
        <is>
          <t>Better (GLL)</t>
        </is>
      </c>
      <c r="K4" s="14" t="inlineStr">
        <is>
          <t>https://bookings.better.org.uk/location/britannia-leisure-centre/3g-cage/2026-09-28/by-time</t>
        </is>
      </c>
      <c r="L4" s="13" t="inlineStr">
        <is>
          <t>Better - Britannia Leisure Centre</t>
        </is>
      </c>
      <c r="M4" s="13" t="n"/>
      <c r="N4" s="13" t="n"/>
      <c r="O4" s="36" t="inlineStr">
        <is>
          <t>Online at bookings.better.org.uk with a Better account. Slots released 6 days ahead. Ask Better about a block booking for later dates</t>
        </is>
      </c>
      <c r="P4" s="15">
        <f>COUNTIF(Outreach!$M$3:$M$2000,A4)</f>
        <v/>
      </c>
      <c r="Q4" s="15">
        <f>COUNTIF(Outreach!$S$3:$S$2000,A4)</f>
        <v/>
      </c>
    </row>
    <row r="5">
      <c r="A5" s="13" t="inlineStr">
        <is>
          <t>Rosemary Gardens 3G - Islington</t>
        </is>
      </c>
      <c r="B5" s="13" t="inlineStr">
        <is>
          <t>Southgate Rd, N1 3JP</t>
        </is>
      </c>
      <c r="C5" s="13" t="inlineStr">
        <is>
          <t>No availability</t>
        </is>
      </c>
      <c r="D5" s="15">
        <f>COUNTIFS(Slots!$A$2:$A$90,A5,Slots!$I$2:$I$90,"Available")</f>
        <v/>
      </c>
      <c r="E5" s="42">
        <f>IF(D5=0,"",_xlfn.MINIFS(Slots!$F$2:$F$90,Slots!$A$2:$A$90,A5,Slots!$I$2:$I$90,"Available"))</f>
        <v/>
      </c>
      <c r="F5" s="15">
        <f>IFERROR(INDEX(Slots!$G$2:$G$90,MATCH(A5&amp;"#1",Slots!$R$2:$R$90,0)),"")</f>
        <v/>
      </c>
      <c r="G5" s="43">
        <f>IFERROR(INDEX(Slots!$J$2:$J$90,MATCH(A5&amp;"#1",Slots!$R$2:$R$90,0)),"")</f>
        <v/>
      </c>
      <c r="H5" s="43">
        <f>IFERROR(INDEX(Slots!$L$2:$L$90,MATCH(A5&amp;"#1",Slots!$R$2:$R$90,0)),"")</f>
        <v/>
      </c>
      <c r="I5" s="13" t="inlineStr">
        <is>
          <t>yes</t>
        </is>
      </c>
      <c r="J5" s="13" t="inlineStr">
        <is>
          <t>Better (GLL) - Islington</t>
        </is>
      </c>
      <c r="K5" s="14" t="inlineStr">
        <is>
          <t>https://bookings.better.org.uk/location/islington-tennis-centre/rosemary-gardens-activities</t>
        </is>
      </c>
      <c r="L5" s="13" t="inlineStr">
        <is>
          <t>Better - Islington Tennis Centre (Islington parks pitches)</t>
        </is>
      </c>
      <c r="M5" s="13" t="n"/>
      <c r="N5" s="13" t="n"/>
      <c r="O5" s="36" t="inlineStr">
        <is>
          <t>Online at bookings.better.org.uk with a Better account. Slots released 6 days ahead</t>
        </is>
      </c>
      <c r="P5" s="15">
        <f>COUNTIF(Outreach!$M$3:$M$2000,A5)</f>
        <v/>
      </c>
      <c r="Q5" s="15">
        <f>COUNTIF(Outreach!$S$3:$S$2000,A5)</f>
        <v/>
      </c>
    </row>
    <row r="6">
      <c r="A6" s="13" t="inlineStr">
        <is>
          <t>Stepney 3G</t>
        </is>
      </c>
      <c r="B6" s="13" t="inlineStr">
        <is>
          <t>Globe Football Pitch, 110 Globe Rd, E1 4DZ</t>
        </is>
      </c>
      <c r="C6" s="13" t="inlineStr">
        <is>
          <t>Available</t>
        </is>
      </c>
      <c r="D6" s="15">
        <f>COUNTIFS(Slots!$A$2:$A$90,A6,Slots!$I$2:$I$90,"Available")</f>
        <v/>
      </c>
      <c r="E6" s="42">
        <f>IF(D6=0,"",_xlfn.MINIFS(Slots!$F$2:$F$90,Slots!$A$2:$A$90,A6,Slots!$I$2:$I$90,"Available"))</f>
        <v/>
      </c>
      <c r="F6" s="15">
        <f>IFERROR(INDEX(Slots!$G$2:$G$90,MATCH(A6&amp;"#1",Slots!$R$2:$R$90,0)),"")</f>
        <v/>
      </c>
      <c r="G6" s="43">
        <f>IFERROR(INDEX(Slots!$J$2:$J$90,MATCH(A6&amp;"#1",Slots!$R$2:$R$90,0)),"")</f>
        <v/>
      </c>
      <c r="H6" s="43">
        <f>IFERROR(INDEX(Slots!$L$2:$L$90,MATCH(A6&amp;"#1",Slots!$R$2:$R$90,0)),"")</f>
        <v/>
      </c>
      <c r="I6" s="13" t="inlineStr">
        <is>
          <t>unknown</t>
        </is>
      </c>
      <c r="J6" s="13" t="inlineStr">
        <is>
          <t>BookMyPitch</t>
        </is>
      </c>
      <c r="K6" s="14" t="inlineStr">
        <is>
          <t>https://bookmypitch.uk/slots/c5d1422b-8c1e-4497-b8a4-13cd96677bdc</t>
        </is>
      </c>
      <c r="L6" s="13" t="inlineStr">
        <is>
          <t>BookMyPitch (Globe Football Pitch)</t>
        </is>
      </c>
      <c r="M6" s="13" t="n"/>
      <c r="N6" s="13" t="n"/>
      <c r="O6" s="36" t="inlineStr">
        <is>
          <t>Venue is Globe Football Pitch 110 Globe Rd E1 4DZ. This is not the Tower Hamlets Stepney Green Park astroturf, which needs a council account. BookMyPitch venue contact for listings: masud@bookmypitch.uk</t>
        </is>
      </c>
      <c r="P6" s="15">
        <f>COUNTIF(Outreach!$M$3:$M$2000,A6)</f>
        <v/>
      </c>
      <c r="Q6" s="15">
        <f>COUNTIF(Outreach!$S$3:$S$2000,A6)</f>
        <v/>
      </c>
    </row>
    <row r="7">
      <c r="A7" s="13" t="inlineStr">
        <is>
          <t>Old St - Moreland Primary School</t>
        </is>
      </c>
      <c r="B7" s="13" t="inlineStr">
        <is>
          <t>Gard St, EC1V 8DW</t>
        </is>
      </c>
      <c r="C7" s="13" t="inlineStr">
        <is>
          <t>Available</t>
        </is>
      </c>
      <c r="D7" s="15">
        <f>COUNTIFS(Slots!$A$2:$A$90,A7,Slots!$I$2:$I$90,"Available")</f>
        <v/>
      </c>
      <c r="E7" s="42">
        <f>IF(D7=0,"",_xlfn.MINIFS(Slots!$F$2:$F$90,Slots!$A$2:$A$90,A7,Slots!$I$2:$I$90,"Available"))</f>
        <v/>
      </c>
      <c r="F7" s="15">
        <f>IFERROR(INDEX(Slots!$G$2:$G$90,MATCH(A7&amp;"#1",Slots!$R$2:$R$90,0)),"")</f>
        <v/>
      </c>
      <c r="G7" s="43">
        <f>IFERROR(INDEX(Slots!$J$2:$J$90,MATCH(A7&amp;"#1",Slots!$R$2:$R$90,0)),"")</f>
        <v/>
      </c>
      <c r="H7" s="43">
        <f>IFERROR(INDEX(Slots!$L$2:$L$90,MATCH(A7&amp;"#1",Slots!$R$2:$R$90,0)),"")</f>
        <v/>
      </c>
      <c r="I7" s="13" t="inlineStr">
        <is>
          <t>yes</t>
        </is>
      </c>
      <c r="J7" s="13" t="inlineStr">
        <is>
          <t>PlayFootball</t>
        </is>
      </c>
      <c r="K7" s="14" t="inlineStr">
        <is>
          <t>https://www.playfootball.net/venues/old-street-moreland-school/book-a-pitch/87/6-a-side3gpitchhire</t>
        </is>
      </c>
      <c r="L7" s="13" t="inlineStr">
        <is>
          <t>PlayFootball</t>
        </is>
      </c>
      <c r="M7" s="13" t="n"/>
      <c r="N7" s="13" t="n"/>
      <c r="O7" s="36" t="inlineStr">
        <is>
          <t>Regular weekly bookings by enquiry via https://www.playfootball.net/contact-us (reply within 48h). One-off bookings online up to 30 days ahead</t>
        </is>
      </c>
      <c r="P7" s="15">
        <f>COUNTIF(Outreach!$M$3:$M$2000,A7)</f>
        <v/>
      </c>
      <c r="Q7" s="15">
        <f>COUNTIF(Outreach!$S$3:$S$2000,A7)</f>
        <v/>
      </c>
    </row>
    <row r="8">
      <c r="A8" s="13" t="inlineStr">
        <is>
          <t>Hackney</t>
        </is>
      </c>
      <c r="B8" s="13" t="inlineStr">
        <is>
          <t>The City Academy Hackney, Homerton High St, E9 6JQ</t>
        </is>
      </c>
      <c r="C8" s="13" t="inlineStr">
        <is>
          <t>Available</t>
        </is>
      </c>
      <c r="D8" s="15">
        <f>COUNTIFS(Slots!$A$2:$A$90,A8,Slots!$I$2:$I$90,"Available")</f>
        <v/>
      </c>
      <c r="E8" s="42">
        <f>IF(D8=0,"",_xlfn.MINIFS(Slots!$F$2:$F$90,Slots!$A$2:$A$90,A8,Slots!$I$2:$I$90,"Available"))</f>
        <v/>
      </c>
      <c r="F8" s="15">
        <f>IFERROR(INDEX(Slots!$G$2:$G$90,MATCH(A8&amp;"#1",Slots!$R$2:$R$90,0)),"")</f>
        <v/>
      </c>
      <c r="G8" s="43">
        <f>IFERROR(INDEX(Slots!$J$2:$J$90,MATCH(A8&amp;"#1",Slots!$R$2:$R$90,0)),"")</f>
        <v/>
      </c>
      <c r="H8" s="43">
        <f>IFERROR(INDEX(Slots!$L$2:$L$90,MATCH(A8&amp;"#1",Slots!$R$2:$R$90,0)),"")</f>
        <v/>
      </c>
      <c r="I8" s="13" t="inlineStr">
        <is>
          <t>yes</t>
        </is>
      </c>
      <c r="J8" s="13" t="inlineStr">
        <is>
          <t>enni.space (The City Academy Hackney)</t>
        </is>
      </c>
      <c r="K8" s="14" t="inlineStr">
        <is>
          <t>https://enni.space/search/2872-city-academy-hackney-3g-pitch</t>
        </is>
      </c>
      <c r="L8" s="13" t="inlineStr">
        <is>
          <t>The City Academy Hackney lettings (via enni.space)</t>
        </is>
      </c>
      <c r="M8" s="13" t="n"/>
      <c r="N8" s="13" t="n"/>
      <c r="O8" s="36" t="inlineStr">
        <is>
          <t>Booking request on enni.space. Not instant book</t>
        </is>
      </c>
      <c r="P8" s="15">
        <f>COUNTIF(Outreach!$M$3:$M$2000,A8)</f>
        <v/>
      </c>
      <c r="Q8" s="15">
        <f>COUNTIF(Outreach!$S$3:$S$2000,A8)</f>
        <v/>
      </c>
    </row>
    <row r="9">
      <c r="A9" s="13" t="inlineStr">
        <is>
          <t>COLA Shoreditch Park</t>
        </is>
      </c>
      <c r="B9" s="13" t="inlineStr">
        <is>
          <t>Hyde Rd, N1 5JU</t>
        </is>
      </c>
      <c r="C9" s="13" t="inlineStr">
        <is>
          <t>Available</t>
        </is>
      </c>
      <c r="D9" s="15">
        <f>COUNTIFS(Slots!$A$2:$A$90,A9,Slots!$I$2:$I$90,"Available")</f>
        <v/>
      </c>
      <c r="E9" s="42">
        <f>IF(D9=0,"",_xlfn.MINIFS(Slots!$F$2:$F$90,Slots!$A$2:$A$90,A9,Slots!$I$2:$I$90,"Available"))</f>
        <v/>
      </c>
      <c r="F9" s="15">
        <f>IFERROR(INDEX(Slots!$G$2:$G$90,MATCH(A9&amp;"#1",Slots!$R$2:$R$90,0)),"")</f>
        <v/>
      </c>
      <c r="G9" s="43">
        <f>IFERROR(INDEX(Slots!$J$2:$J$90,MATCH(A9&amp;"#1",Slots!$R$2:$R$90,0)),"")</f>
        <v/>
      </c>
      <c r="H9" s="43">
        <f>IFERROR(INDEX(Slots!$L$2:$L$90,MATCH(A9&amp;"#1",Slots!$R$2:$R$90,0)),"")</f>
        <v/>
      </c>
      <c r="I9" s="13" t="inlineStr">
        <is>
          <t>unknown</t>
        </is>
      </c>
      <c r="J9" s="13" t="inlineStr">
        <is>
          <t>enni.space (City of London Academy Shoreditch Park)</t>
        </is>
      </c>
      <c r="K9" s="14" t="inlineStr">
        <is>
          <t>https://enni.space/search/21782-cola-shoreditch-park-3g-5-a-side-pitch</t>
        </is>
      </c>
      <c r="L9" s="13" t="inlineStr">
        <is>
          <t>City of London Academy Shoreditch Park lettings (via enni.space)</t>
        </is>
      </c>
      <c r="M9" s="13" t="n"/>
      <c r="N9" s="13" t="n"/>
      <c r="O9" s="36" t="inlineStr">
        <is>
          <t>Pitch free 17:30-19:00. Rooftop 3G. Price-from per hour</t>
        </is>
      </c>
      <c r="P9" s="15">
        <f>COUNTIF(Outreach!$M$3:$M$2000,A9)</f>
        <v/>
      </c>
      <c r="Q9" s="15">
        <f>COUNTIF(Outreach!$S$3:$S$2000,A9)</f>
        <v/>
      </c>
    </row>
    <row r="10">
      <c r="A10" s="13" t="inlineStr">
        <is>
          <t>Market Road</t>
        </is>
      </c>
      <c r="B10" s="13" t="inlineStr">
        <is>
          <t>Market Rd, N7 9PL</t>
        </is>
      </c>
      <c r="C10" s="13" t="inlineStr">
        <is>
          <t>Available</t>
        </is>
      </c>
      <c r="D10" s="15">
        <f>COUNTIFS(Slots!$A$2:$A$90,A10,Slots!$I$2:$I$90,"Available")</f>
        <v/>
      </c>
      <c r="E10" s="42">
        <f>IF(D10=0,"",_xlfn.MINIFS(Slots!$F$2:$F$90,Slots!$A$2:$A$90,A10,Slots!$I$2:$I$90,"Available"))</f>
        <v/>
      </c>
      <c r="F10" s="15">
        <f>IFERROR(INDEX(Slots!$G$2:$G$90,MATCH(A10&amp;"#1",Slots!$R$2:$R$90,0)),"")</f>
        <v/>
      </c>
      <c r="G10" s="43">
        <f>IFERROR(INDEX(Slots!$J$2:$J$90,MATCH(A10&amp;"#1",Slots!$R$2:$R$90,0)),"")</f>
        <v/>
      </c>
      <c r="H10" s="43">
        <f>IFERROR(INDEX(Slots!$L$2:$L$90,MATCH(A10&amp;"#1",Slots!$R$2:$R$90,0)),"")</f>
        <v/>
      </c>
      <c r="I10" s="13" t="inlineStr">
        <is>
          <t>yes</t>
        </is>
      </c>
      <c r="J10" s="13" t="inlineStr">
        <is>
          <t>Better (GLL) - Islington Tennis Centre</t>
        </is>
      </c>
      <c r="K10" s="14" t="inlineStr">
        <is>
          <t>https://bookings.better.org.uk/location/islington-tennis-centre/market-road</t>
        </is>
      </c>
      <c r="L10" s="13" t="inlineStr">
        <is>
          <t>Better - Islington Tennis Centre / PlayFootball Islington Market Road</t>
        </is>
      </c>
      <c r="M10" s="13" t="n"/>
      <c r="N10" s="13" t="n"/>
      <c r="O10" s="36" t="inlineStr">
        <is>
          <t>Better 5-a-side slots online 6 days ahead. PlayFootball 7-a-side pitch is online. Regular bookings by enquiry via https://www.playfootball.net/contact-us</t>
        </is>
      </c>
      <c r="P10" s="15">
        <f>COUNTIF(Outreach!$M$3:$M$2000,A10)</f>
        <v/>
      </c>
      <c r="Q10" s="15">
        <f>COUNTIF(Outreach!$S$3:$S$2000,A10)</f>
        <v/>
      </c>
    </row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9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6" customWidth="1" min="3" max="3"/>
    <col width="7" customWidth="1" min="4" max="4"/>
    <col width="7" customWidth="1" min="5" max="5"/>
    <col width="20" customWidth="1" min="6" max="6"/>
    <col width="16" customWidth="1" min="7" max="7"/>
    <col width="9" customWidth="1" min="8" max="8"/>
    <col width="16" customWidth="1" min="9" max="9"/>
    <col width="11" customWidth="1" min="10" max="10"/>
    <col width="11" customWidth="1" min="11" max="11"/>
    <col width="10" customWidth="1" min="12" max="12"/>
    <col width="8" customWidth="1" min="13" max="13"/>
    <col width="34" customWidth="1" min="14" max="14"/>
    <col width="40" customWidth="1" min="15" max="15"/>
    <col width="70" customWidth="1" min="16" max="16"/>
    <col width="8" customWidth="1" min="17" max="17"/>
    <col width="30" customWidth="1" min="18" max="18"/>
  </cols>
  <sheetData>
    <row r="1">
      <c r="A1" s="11" t="inlineStr">
        <is>
          <t>Venue</t>
        </is>
      </c>
      <c r="B1" s="11" t="inlineStr">
        <is>
          <t>Date</t>
        </is>
      </c>
      <c r="C1" s="11" t="inlineStr">
        <is>
          <t>Day</t>
        </is>
      </c>
      <c r="D1" s="11" t="inlineStr">
        <is>
          <t>Start</t>
        </is>
      </c>
      <c r="E1" s="11" t="inlineStr">
        <is>
          <t>End</t>
        </is>
      </c>
      <c r="F1" s="11" t="inlineStr">
        <is>
          <t>Slot start</t>
        </is>
      </c>
      <c r="G1" s="11" t="inlineStr">
        <is>
          <t>Format</t>
        </is>
      </c>
      <c r="H1" s="11" t="inlineStr">
        <is>
          <t>Players (full pitch)</t>
        </is>
      </c>
      <c r="I1" s="11" t="inlineStr">
        <is>
          <t>Status</t>
        </is>
      </c>
      <c r="J1" s="11" t="inlineStr">
        <is>
          <t>Hire (£ per slot)</t>
        </is>
      </c>
      <c r="K1" s="11" t="inlineStr">
        <is>
          <t>Venue charges per player (£)</t>
        </is>
      </c>
      <c r="L1" s="11" t="inlineStr">
        <is>
          <t>Cost per player (£)</t>
        </is>
      </c>
      <c r="M1" s="11" t="inlineStr">
        <is>
          <t>Floodlit</t>
        </is>
      </c>
      <c r="N1" s="11" t="inlineStr">
        <is>
          <t>Booking source</t>
        </is>
      </c>
      <c r="O1" s="11" t="inlineStr">
        <is>
          <t>Booking link</t>
        </is>
      </c>
      <c r="P1" s="11" t="inlineStr">
        <is>
          <t>Notes</t>
        </is>
      </c>
      <c r="Q1" s="11" t="inlineStr">
        <is>
          <t>Rank in venue</t>
        </is>
      </c>
      <c r="R1" s="11" t="inlineStr">
        <is>
          <t>Key</t>
        </is>
      </c>
    </row>
    <row r="2">
      <c r="A2" s="29" t="inlineStr">
        <is>
          <t>Haggerston Park</t>
        </is>
      </c>
      <c r="B2" s="50" t="n"/>
      <c r="C2" s="29" t="n"/>
      <c r="D2" s="51" t="n"/>
      <c r="E2" s="51" t="n"/>
      <c r="F2" s="52">
        <f>IF(B2="","",B2+D2)</f>
        <v/>
      </c>
      <c r="G2" s="29" t="inlineStr">
        <is>
          <t>5/7/11-a-side</t>
        </is>
      </c>
      <c r="H2" s="29">
        <f>IFERROR(VALUE(LEFT(G2,FIND("-",G2)-1))*2,"")</f>
        <v/>
      </c>
      <c r="I2" s="29" t="inlineStr">
        <is>
          <t>Contact required</t>
        </is>
      </c>
      <c r="J2" s="53" t="n"/>
      <c r="K2" s="53" t="n"/>
      <c r="L2" s="54">
        <f>IF(J2&lt;&gt;"",IF(H2="","",J2/H2),IF(K2&lt;&gt;"",K2,""))</f>
        <v/>
      </c>
      <c r="M2" s="29" t="inlineStr">
        <is>
          <t>yes</t>
        </is>
      </c>
      <c r="N2" s="29" t="inlineStr">
        <is>
          <t>Hackney Council (GLL)</t>
        </is>
      </c>
      <c r="O2" s="35" t="inlineStr">
        <is>
          <t>https://www.hackney.gov.uk/courts-and-pitches</t>
        </is>
      </c>
      <c r="P2" s="29" t="inlineStr">
        <is>
          <t>No online calendar. Book by phone 020 8986 7955 (Mon-Fri 09:00-15:30) or hackney.marshes@gll.org. Floodlit per Playfinder listing. Playfinder also shows the venue as fully booked</t>
        </is>
      </c>
      <c r="Q2" s="29">
        <f>IF(I2="Available",COUNTIFS($A$2:$A$90,A2,$I$2:$I$90,"Available",$F$2:$F$90,"&lt;"&amp;F2)+1,"")</f>
        <v/>
      </c>
      <c r="R2" s="29">
        <f>IF(Q2="","",A2&amp;"#"&amp;Q2)</f>
        <v/>
      </c>
    </row>
    <row r="3">
      <c r="A3" s="29" t="inlineStr">
        <is>
          <t>Whitechapel</t>
        </is>
      </c>
      <c r="B3" s="50" t="n"/>
      <c r="C3" s="29" t="n"/>
      <c r="D3" s="51" t="n"/>
      <c r="E3" s="51" t="n"/>
      <c r="F3" s="52">
        <f>IF(B3="","",B3+D3)</f>
        <v/>
      </c>
      <c r="G3" s="29" t="inlineStr">
        <is>
          <t>5-a-side</t>
        </is>
      </c>
      <c r="H3" s="29">
        <f>IFERROR(VALUE(LEFT(G3,FIND("-",G3)-1))*2,"")</f>
        <v/>
      </c>
      <c r="I3" s="29" t="inlineStr">
        <is>
          <t>Contact required</t>
        </is>
      </c>
      <c r="J3" s="53" t="n"/>
      <c r="K3" s="53" t="n"/>
      <c r="L3" s="54">
        <f>IF(J3&lt;&gt;"",IF(H3="","",J3/H3),IF(K3&lt;&gt;"",K3,""))</f>
        <v/>
      </c>
      <c r="M3" s="29" t="inlineStr">
        <is>
          <t>yes</t>
        </is>
      </c>
      <c r="N3" s="29" t="inlineStr">
        <is>
          <t>Mulberry Sports &amp; Leisure Centre (Parkwood Leisure)</t>
        </is>
      </c>
      <c r="O3" s="35" t="inlineStr">
        <is>
          <t>https://pitchbooking.com/partners/MULBERRYSPORTSLEISURECENTRE</t>
        </is>
      </c>
      <c r="P3" s="29" t="inlineStr">
        <is>
          <t>Enquiry only. Call 020 7790 3854. Centre is at Richard St E1 2JP (brief says E1 2JR). Weekday hours 18:00-22:00. Powerleague runs Mon and Tue 19:30 leagues here. Floodlit per Powerleague</t>
        </is>
      </c>
      <c r="Q3" s="29">
        <f>IF(I3="Available",COUNTIFS($A$2:$A$90,A3,$I$2:$I$90,"Available",$F$2:$F$90,"&lt;"&amp;F3)+1,"")</f>
        <v/>
      </c>
      <c r="R3" s="29">
        <f>IF(Q3="","",A3&amp;"#"&amp;Q3)</f>
        <v/>
      </c>
    </row>
    <row r="4">
      <c r="A4" s="29" t="inlineStr">
        <is>
          <t>Shoreditch Rooftop</t>
        </is>
      </c>
      <c r="B4" s="50" t="n">
        <v>46293</v>
      </c>
      <c r="C4" s="29" t="inlineStr">
        <is>
          <t>Mon</t>
        </is>
      </c>
      <c r="D4" s="51" t="n">
        <v>0.75</v>
      </c>
      <c r="E4" s="51" t="n">
        <v>0.7916666666666666</v>
      </c>
      <c r="F4" s="52">
        <f>IF(B4="","",B4+D4)</f>
        <v/>
      </c>
      <c r="G4" s="29" t="inlineStr">
        <is>
          <t>5-a-side</t>
        </is>
      </c>
      <c r="H4" s="29">
        <f>IFERROR(VALUE(LEFT(G4,FIND("-",G4)-1))*2,"")</f>
        <v/>
      </c>
      <c r="I4" s="29" t="inlineStr">
        <is>
          <t>Available</t>
        </is>
      </c>
      <c r="J4" s="53" t="n">
        <v>72.2</v>
      </c>
      <c r="K4" s="53" t="n"/>
      <c r="L4" s="54">
        <f>IF(J4&lt;&gt;"",IF(H4="","",J4/H4),IF(K4&lt;&gt;"",K4,""))</f>
        <v/>
      </c>
      <c r="M4" s="29" t="inlineStr">
        <is>
          <t>yes</t>
        </is>
      </c>
      <c r="N4" s="29" t="inlineStr">
        <is>
          <t>Better (GLL)</t>
        </is>
      </c>
      <c r="O4" s="35" t="inlineStr">
        <is>
          <t>https://bookings.better.org.uk/location/britannia-leisure-centre/3g-cage/2026-09-28/by-time</t>
        </is>
      </c>
      <c r="P4" s="29" t="inlineStr">
        <is>
          <t>Football Pitch 2. Better account needed to book. 29 Sep 18:00-21:00 full. Better only releases slots 6 days ahead so 30 Sep onwards not visible yet</t>
        </is>
      </c>
      <c r="Q4" s="29">
        <f>IF(I4="Available",COUNTIFS($A$2:$A$90,A4,$I$2:$I$90,"Available",$F$2:$F$90,"&lt;"&amp;F4)+1,"")</f>
        <v/>
      </c>
      <c r="R4" s="29">
        <f>IF(Q4="","",A4&amp;"#"&amp;Q4)</f>
        <v/>
      </c>
    </row>
    <row r="5">
      <c r="A5" s="29" t="inlineStr">
        <is>
          <t>Rosemary Gardens 3G - Islington</t>
        </is>
      </c>
      <c r="B5" s="50" t="n"/>
      <c r="C5" s="29" t="n"/>
      <c r="D5" s="51" t="n"/>
      <c r="E5" s="51" t="n"/>
      <c r="F5" s="52">
        <f>IF(B5="","",B5+D5)</f>
        <v/>
      </c>
      <c r="G5" s="29" t="inlineStr">
        <is>
          <t>7-a-side (full) / half pitch</t>
        </is>
      </c>
      <c r="H5" s="29">
        <f>IFERROR(VALUE(LEFT(G5,FIND("-",G5)-1))*2,"")</f>
        <v/>
      </c>
      <c r="I5" s="29" t="inlineStr">
        <is>
          <t>No availability</t>
        </is>
      </c>
      <c r="J5" s="53" t="n"/>
      <c r="K5" s="53" t="n"/>
      <c r="L5" s="54">
        <f>IF(J5&lt;&gt;"",IF(H5="","",J5/H5),IF(K5&lt;&gt;"",K5,""))</f>
        <v/>
      </c>
      <c r="M5" s="29" t="inlineStr">
        <is>
          <t>yes</t>
        </is>
      </c>
      <c r="N5" s="29" t="inlineStr">
        <is>
          <t>Better (GLL) - Islington</t>
        </is>
      </c>
      <c r="O5" s="35" t="inlineStr">
        <is>
          <t>https://bookings.better.org.uk/location/islington-tennis-centre/rosemary-gardens-activities</t>
        </is>
      </c>
      <c r="P5" s="29" t="inlineStr">
        <is>
          <t>No evening slots listed for full or half pitch on 28-29 Sep. 30 Sep onwards not released yet (6-day window). Daytime prices shown: full pitch 108.90/hr and half pitch 54.45/hr. Floodlit per Islington Council</t>
        </is>
      </c>
      <c r="Q5" s="29">
        <f>IF(I5="Available",COUNTIFS($A$2:$A$90,A5,$I$2:$I$90,"Available",$F$2:$F$90,"&lt;"&amp;F5)+1,"")</f>
        <v/>
      </c>
      <c r="R5" s="29">
        <f>IF(Q5="","",A5&amp;"#"&amp;Q5)</f>
        <v/>
      </c>
    </row>
    <row r="6">
      <c r="A6" s="29" t="inlineStr">
        <is>
          <t>Stepney 3G</t>
        </is>
      </c>
      <c r="B6" s="50" t="n">
        <v>46293</v>
      </c>
      <c r="C6" s="29" t="inlineStr">
        <is>
          <t>Mon</t>
        </is>
      </c>
      <c r="D6" s="51" t="n">
        <v>0.7291666666666666</v>
      </c>
      <c r="E6" s="51" t="n">
        <v>0.7708333333333334</v>
      </c>
      <c r="F6" s="52">
        <f>IF(B6="","",B6+D6)</f>
        <v/>
      </c>
      <c r="G6" s="29" t="inlineStr">
        <is>
          <t>5-a-side</t>
        </is>
      </c>
      <c r="H6" s="29">
        <f>IFERROR(VALUE(LEFT(G6,FIND("-",G6)-1))*2,"")</f>
        <v/>
      </c>
      <c r="I6" s="29" t="inlineStr">
        <is>
          <t>Available</t>
        </is>
      </c>
      <c r="J6" s="53" t="n"/>
      <c r="K6" s="53" t="n">
        <v>3</v>
      </c>
      <c r="L6" s="54">
        <f>IF(J6&lt;&gt;"",IF(H6="","",J6/H6),IF(K6&lt;&gt;"",K6,""))</f>
        <v/>
      </c>
      <c r="M6" s="29" t="inlineStr">
        <is>
          <t>unknown</t>
        </is>
      </c>
      <c r="N6" s="29" t="inlineStr">
        <is>
          <t>BookMyPitch</t>
        </is>
      </c>
      <c r="O6" s="35" t="inlineStr">
        <is>
          <t>https://bookmypitch.uk/slots/c5d1422b-8c1e-4497-b8a4-13cd96677bdc</t>
        </is>
      </c>
      <c r="P6" s="29" t="inlineStr">
        <is>
          <t>Off-peak 3/player. Priced per player, not per pitch (game is created and charged once full). 4G surface. Calendar only shows up to 7 Oct</t>
        </is>
      </c>
      <c r="Q6" s="29">
        <f>IF(I6="Available",COUNTIFS($A$2:$A$90,A6,$I$2:$I$90,"Available",$F$2:$F$90,"&lt;"&amp;F6)+1,"")</f>
        <v/>
      </c>
      <c r="R6" s="29">
        <f>IF(Q6="","",A6&amp;"#"&amp;Q6)</f>
        <v/>
      </c>
    </row>
    <row r="7">
      <c r="A7" s="29" t="inlineStr">
        <is>
          <t>Stepney 3G</t>
        </is>
      </c>
      <c r="B7" s="50" t="n">
        <v>46293</v>
      </c>
      <c r="C7" s="29" t="inlineStr">
        <is>
          <t>Mon</t>
        </is>
      </c>
      <c r="D7" s="51" t="n">
        <v>0.7708333333333334</v>
      </c>
      <c r="E7" s="51" t="n">
        <v>0.8125</v>
      </c>
      <c r="F7" s="52">
        <f>IF(B7="","",B7+D7)</f>
        <v/>
      </c>
      <c r="G7" s="29" t="inlineStr">
        <is>
          <t>5-a-side</t>
        </is>
      </c>
      <c r="H7" s="29">
        <f>IFERROR(VALUE(LEFT(G7,FIND("-",G7)-1))*2,"")</f>
        <v/>
      </c>
      <c r="I7" s="29" t="inlineStr">
        <is>
          <t>Available</t>
        </is>
      </c>
      <c r="J7" s="53" t="n"/>
      <c r="K7" s="53" t="n">
        <v>5</v>
      </c>
      <c r="L7" s="54">
        <f>IF(J7&lt;&gt;"",IF(H7="","",J7/H7),IF(K7&lt;&gt;"",K7,""))</f>
        <v/>
      </c>
      <c r="M7" s="29" t="inlineStr">
        <is>
          <t>unknown</t>
        </is>
      </c>
      <c r="N7" s="29" t="inlineStr">
        <is>
          <t>BookMyPitch</t>
        </is>
      </c>
      <c r="O7" s="35" t="inlineStr">
        <is>
          <t>https://bookmypitch.uk/slots/c5d1422b-8c1e-4497-b8a4-13cd96677bdc</t>
        </is>
      </c>
      <c r="P7" s="29" t="inlineStr">
        <is>
          <t>Peak 5/player. Priced per player, not per pitch (game is created and charged once full). 4G surface. Calendar only shows up to 7 Oct</t>
        </is>
      </c>
      <c r="Q7" s="29">
        <f>IF(I7="Available",COUNTIFS($A$2:$A$90,A7,$I$2:$I$90,"Available",$F$2:$F$90,"&lt;"&amp;F7)+1,"")</f>
        <v/>
      </c>
      <c r="R7" s="29">
        <f>IF(Q7="","",A7&amp;"#"&amp;Q7)</f>
        <v/>
      </c>
    </row>
    <row r="8">
      <c r="A8" s="29" t="inlineStr">
        <is>
          <t>Stepney 3G</t>
        </is>
      </c>
      <c r="B8" s="50" t="n">
        <v>46293</v>
      </c>
      <c r="C8" s="29" t="inlineStr">
        <is>
          <t>Mon</t>
        </is>
      </c>
      <c r="D8" s="51" t="n">
        <v>0.8125</v>
      </c>
      <c r="E8" s="51" t="n">
        <v>0.8541666666666666</v>
      </c>
      <c r="F8" s="52">
        <f>IF(B8="","",B8+D8)</f>
        <v/>
      </c>
      <c r="G8" s="29" t="inlineStr">
        <is>
          <t>5-a-side</t>
        </is>
      </c>
      <c r="H8" s="29">
        <f>IFERROR(VALUE(LEFT(G8,FIND("-",G8)-1))*2,"")</f>
        <v/>
      </c>
      <c r="I8" s="29" t="inlineStr">
        <is>
          <t>Available</t>
        </is>
      </c>
      <c r="J8" s="53" t="n"/>
      <c r="K8" s="53" t="n">
        <v>5</v>
      </c>
      <c r="L8" s="54">
        <f>IF(J8&lt;&gt;"",IF(H8="","",J8/H8),IF(K8&lt;&gt;"",K8,""))</f>
        <v/>
      </c>
      <c r="M8" s="29" t="inlineStr">
        <is>
          <t>unknown</t>
        </is>
      </c>
      <c r="N8" s="29" t="inlineStr">
        <is>
          <t>BookMyPitch</t>
        </is>
      </c>
      <c r="O8" s="35" t="inlineStr">
        <is>
          <t>https://bookmypitch.uk/slots/c5d1422b-8c1e-4497-b8a4-13cd96677bdc</t>
        </is>
      </c>
      <c r="P8" s="29" t="inlineStr">
        <is>
          <t>Peak 5/player. Priced per player, not per pitch (game is created and charged once full). 4G surface. Calendar only shows up to 7 Oct</t>
        </is>
      </c>
      <c r="Q8" s="29">
        <f>IF(I8="Available",COUNTIFS($A$2:$A$90,A8,$I$2:$I$90,"Available",$F$2:$F$90,"&lt;"&amp;F8)+1,"")</f>
        <v/>
      </c>
      <c r="R8" s="29">
        <f>IF(Q8="","",A8&amp;"#"&amp;Q8)</f>
        <v/>
      </c>
    </row>
    <row r="9">
      <c r="A9" s="29" t="inlineStr">
        <is>
          <t>Stepney 3G</t>
        </is>
      </c>
      <c r="B9" s="50" t="n">
        <v>46293</v>
      </c>
      <c r="C9" s="29" t="inlineStr">
        <is>
          <t>Mon</t>
        </is>
      </c>
      <c r="D9" s="51" t="n">
        <v>0.8541666666666666</v>
      </c>
      <c r="E9" s="51" t="n">
        <v>0.8958333333333334</v>
      </c>
      <c r="F9" s="52">
        <f>IF(B9="","",B9+D9)</f>
        <v/>
      </c>
      <c r="G9" s="29" t="inlineStr">
        <is>
          <t>5-a-side</t>
        </is>
      </c>
      <c r="H9" s="29">
        <f>IFERROR(VALUE(LEFT(G9,FIND("-",G9)-1))*2,"")</f>
        <v/>
      </c>
      <c r="I9" s="29" t="inlineStr">
        <is>
          <t>Available</t>
        </is>
      </c>
      <c r="J9" s="53" t="n"/>
      <c r="K9" s="53" t="n">
        <v>5</v>
      </c>
      <c r="L9" s="54">
        <f>IF(J9&lt;&gt;"",IF(H9="","",J9/H9),IF(K9&lt;&gt;"",K9,""))</f>
        <v/>
      </c>
      <c r="M9" s="29" t="inlineStr">
        <is>
          <t>unknown</t>
        </is>
      </c>
      <c r="N9" s="29" t="inlineStr">
        <is>
          <t>BookMyPitch</t>
        </is>
      </c>
      <c r="O9" s="35" t="inlineStr">
        <is>
          <t>https://bookmypitch.uk/slots/c5d1422b-8c1e-4497-b8a4-13cd96677bdc</t>
        </is>
      </c>
      <c r="P9" s="29" t="inlineStr">
        <is>
          <t>Peak 5/player. Priced per player, not per pitch (game is created and charged once full). 4G surface. Calendar only shows up to 7 Oct</t>
        </is>
      </c>
      <c r="Q9" s="29">
        <f>IF(I9="Available",COUNTIFS($A$2:$A$90,A9,$I$2:$I$90,"Available",$F$2:$F$90,"&lt;"&amp;F9)+1,"")</f>
        <v/>
      </c>
      <c r="R9" s="29">
        <f>IF(Q9="","",A9&amp;"#"&amp;Q9)</f>
        <v/>
      </c>
    </row>
    <row r="10">
      <c r="A10" s="29" t="inlineStr">
        <is>
          <t>Stepney 3G</t>
        </is>
      </c>
      <c r="B10" s="50" t="n">
        <v>46294</v>
      </c>
      <c r="C10" s="29" t="inlineStr">
        <is>
          <t>Tue</t>
        </is>
      </c>
      <c r="D10" s="51" t="n">
        <v>0.7291666666666666</v>
      </c>
      <c r="E10" s="51" t="n">
        <v>0.7708333333333334</v>
      </c>
      <c r="F10" s="52">
        <f>IF(B10="","",B10+D10)</f>
        <v/>
      </c>
      <c r="G10" s="29" t="inlineStr">
        <is>
          <t>5-a-side</t>
        </is>
      </c>
      <c r="H10" s="29">
        <f>IFERROR(VALUE(LEFT(G10,FIND("-",G10)-1))*2,"")</f>
        <v/>
      </c>
      <c r="I10" s="29" t="inlineStr">
        <is>
          <t>Available</t>
        </is>
      </c>
      <c r="J10" s="53" t="n"/>
      <c r="K10" s="53" t="n">
        <v>3</v>
      </c>
      <c r="L10" s="54">
        <f>IF(J10&lt;&gt;"",IF(H10="","",J10/H10),IF(K10&lt;&gt;"",K10,""))</f>
        <v/>
      </c>
      <c r="M10" s="29" t="inlineStr">
        <is>
          <t>unknown</t>
        </is>
      </c>
      <c r="N10" s="29" t="inlineStr">
        <is>
          <t>BookMyPitch</t>
        </is>
      </c>
      <c r="O10" s="35" t="inlineStr">
        <is>
          <t>https://bookmypitch.uk/slots/c5d1422b-8c1e-4497-b8a4-13cd96677bdc</t>
        </is>
      </c>
      <c r="P10" s="29" t="inlineStr">
        <is>
          <t>Off-peak 3/player. Priced per player, not per pitch (game is created and charged once full). 4G surface. Calendar only shows up to 7 Oct</t>
        </is>
      </c>
      <c r="Q10" s="29">
        <f>IF(I10="Available",COUNTIFS($A$2:$A$90,A10,$I$2:$I$90,"Available",$F$2:$F$90,"&lt;"&amp;F10)+1,"")</f>
        <v/>
      </c>
      <c r="R10" s="29">
        <f>IF(Q10="","",A10&amp;"#"&amp;Q10)</f>
        <v/>
      </c>
    </row>
    <row r="11">
      <c r="A11" s="29" t="inlineStr">
        <is>
          <t>Stepney 3G</t>
        </is>
      </c>
      <c r="B11" s="50" t="n">
        <v>46294</v>
      </c>
      <c r="C11" s="29" t="inlineStr">
        <is>
          <t>Tue</t>
        </is>
      </c>
      <c r="D11" s="51" t="n">
        <v>0.7708333333333334</v>
      </c>
      <c r="E11" s="51" t="n">
        <v>0.8125</v>
      </c>
      <c r="F11" s="52">
        <f>IF(B11="","",B11+D11)</f>
        <v/>
      </c>
      <c r="G11" s="29" t="inlineStr">
        <is>
          <t>5-a-side</t>
        </is>
      </c>
      <c r="H11" s="29">
        <f>IFERROR(VALUE(LEFT(G11,FIND("-",G11)-1))*2,"")</f>
        <v/>
      </c>
      <c r="I11" s="29" t="inlineStr">
        <is>
          <t>Available</t>
        </is>
      </c>
      <c r="J11" s="53" t="n"/>
      <c r="K11" s="53" t="n">
        <v>5</v>
      </c>
      <c r="L11" s="54">
        <f>IF(J11&lt;&gt;"",IF(H11="","",J11/H11),IF(K11&lt;&gt;"",K11,""))</f>
        <v/>
      </c>
      <c r="M11" s="29" t="inlineStr">
        <is>
          <t>unknown</t>
        </is>
      </c>
      <c r="N11" s="29" t="inlineStr">
        <is>
          <t>BookMyPitch</t>
        </is>
      </c>
      <c r="O11" s="35" t="inlineStr">
        <is>
          <t>https://bookmypitch.uk/slots/c5d1422b-8c1e-4497-b8a4-13cd96677bdc</t>
        </is>
      </c>
      <c r="P11" s="29" t="inlineStr">
        <is>
          <t>Peak 5/player. Priced per player, not per pitch (game is created and charged once full). 4G surface. Calendar only shows up to 7 Oct</t>
        </is>
      </c>
      <c r="Q11" s="29">
        <f>IF(I11="Available",COUNTIFS($A$2:$A$90,A11,$I$2:$I$90,"Available",$F$2:$F$90,"&lt;"&amp;F11)+1,"")</f>
        <v/>
      </c>
      <c r="R11" s="29">
        <f>IF(Q11="","",A11&amp;"#"&amp;Q11)</f>
        <v/>
      </c>
    </row>
    <row r="12">
      <c r="A12" s="29" t="inlineStr">
        <is>
          <t>Stepney 3G</t>
        </is>
      </c>
      <c r="B12" s="50" t="n">
        <v>46294</v>
      </c>
      <c r="C12" s="29" t="inlineStr">
        <is>
          <t>Tue</t>
        </is>
      </c>
      <c r="D12" s="51" t="n">
        <v>0.8125</v>
      </c>
      <c r="E12" s="51" t="n">
        <v>0.8541666666666666</v>
      </c>
      <c r="F12" s="52">
        <f>IF(B12="","",B12+D12)</f>
        <v/>
      </c>
      <c r="G12" s="29" t="inlineStr">
        <is>
          <t>5-a-side</t>
        </is>
      </c>
      <c r="H12" s="29">
        <f>IFERROR(VALUE(LEFT(G12,FIND("-",G12)-1))*2,"")</f>
        <v/>
      </c>
      <c r="I12" s="29" t="inlineStr">
        <is>
          <t>Available</t>
        </is>
      </c>
      <c r="J12" s="53" t="n"/>
      <c r="K12" s="53" t="n">
        <v>5</v>
      </c>
      <c r="L12" s="54">
        <f>IF(J12&lt;&gt;"",IF(H12="","",J12/H12),IF(K12&lt;&gt;"",K12,""))</f>
        <v/>
      </c>
      <c r="M12" s="29" t="inlineStr">
        <is>
          <t>unknown</t>
        </is>
      </c>
      <c r="N12" s="29" t="inlineStr">
        <is>
          <t>BookMyPitch</t>
        </is>
      </c>
      <c r="O12" s="35" t="inlineStr">
        <is>
          <t>https://bookmypitch.uk/slots/c5d1422b-8c1e-4497-b8a4-13cd96677bdc</t>
        </is>
      </c>
      <c r="P12" s="29" t="inlineStr">
        <is>
          <t>Peak 5/player. Priced per player, not per pitch (game is created and charged once full). 4G surface. Calendar only shows up to 7 Oct</t>
        </is>
      </c>
      <c r="Q12" s="29">
        <f>IF(I12="Available",COUNTIFS($A$2:$A$90,A12,$I$2:$I$90,"Available",$F$2:$F$90,"&lt;"&amp;F12)+1,"")</f>
        <v/>
      </c>
      <c r="R12" s="29">
        <f>IF(Q12="","",A12&amp;"#"&amp;Q12)</f>
        <v/>
      </c>
    </row>
    <row r="13">
      <c r="A13" s="29" t="inlineStr">
        <is>
          <t>Stepney 3G</t>
        </is>
      </c>
      <c r="B13" s="50" t="n">
        <v>46294</v>
      </c>
      <c r="C13" s="29" t="inlineStr">
        <is>
          <t>Tue</t>
        </is>
      </c>
      <c r="D13" s="51" t="n">
        <v>0.8541666666666666</v>
      </c>
      <c r="E13" s="51" t="n">
        <v>0.8958333333333334</v>
      </c>
      <c r="F13" s="52">
        <f>IF(B13="","",B13+D13)</f>
        <v/>
      </c>
      <c r="G13" s="29" t="inlineStr">
        <is>
          <t>5-a-side</t>
        </is>
      </c>
      <c r="H13" s="29">
        <f>IFERROR(VALUE(LEFT(G13,FIND("-",G13)-1))*2,"")</f>
        <v/>
      </c>
      <c r="I13" s="29" t="inlineStr">
        <is>
          <t>Available</t>
        </is>
      </c>
      <c r="J13" s="53" t="n"/>
      <c r="K13" s="53" t="n">
        <v>5</v>
      </c>
      <c r="L13" s="54">
        <f>IF(J13&lt;&gt;"",IF(H13="","",J13/H13),IF(K13&lt;&gt;"",K13,""))</f>
        <v/>
      </c>
      <c r="M13" s="29" t="inlineStr">
        <is>
          <t>unknown</t>
        </is>
      </c>
      <c r="N13" s="29" t="inlineStr">
        <is>
          <t>BookMyPitch</t>
        </is>
      </c>
      <c r="O13" s="35" t="inlineStr">
        <is>
          <t>https://bookmypitch.uk/slots/c5d1422b-8c1e-4497-b8a4-13cd96677bdc</t>
        </is>
      </c>
      <c r="P13" s="29" t="inlineStr">
        <is>
          <t>Peak 5/player. Priced per player, not per pitch (game is created and charged once full). 4G surface. Calendar only shows up to 7 Oct</t>
        </is>
      </c>
      <c r="Q13" s="29">
        <f>IF(I13="Available",COUNTIFS($A$2:$A$90,A13,$I$2:$I$90,"Available",$F$2:$F$90,"&lt;"&amp;F13)+1,"")</f>
        <v/>
      </c>
      <c r="R13" s="29">
        <f>IF(Q13="","",A13&amp;"#"&amp;Q13)</f>
        <v/>
      </c>
    </row>
    <row r="14">
      <c r="A14" s="29" t="inlineStr">
        <is>
          <t>Stepney 3G</t>
        </is>
      </c>
      <c r="B14" s="50" t="n">
        <v>46295</v>
      </c>
      <c r="C14" s="29" t="inlineStr">
        <is>
          <t>Wed</t>
        </is>
      </c>
      <c r="D14" s="51" t="n">
        <v>0.7291666666666666</v>
      </c>
      <c r="E14" s="51" t="n">
        <v>0.7708333333333334</v>
      </c>
      <c r="F14" s="52">
        <f>IF(B14="","",B14+D14)</f>
        <v/>
      </c>
      <c r="G14" s="29" t="inlineStr">
        <is>
          <t>5-a-side</t>
        </is>
      </c>
      <c r="H14" s="29">
        <f>IFERROR(VALUE(LEFT(G14,FIND("-",G14)-1))*2,"")</f>
        <v/>
      </c>
      <c r="I14" s="29" t="inlineStr">
        <is>
          <t>Available</t>
        </is>
      </c>
      <c r="J14" s="53" t="n"/>
      <c r="K14" s="53" t="n">
        <v>3</v>
      </c>
      <c r="L14" s="54">
        <f>IF(J14&lt;&gt;"",IF(H14="","",J14/H14),IF(K14&lt;&gt;"",K14,""))</f>
        <v/>
      </c>
      <c r="M14" s="29" t="inlineStr">
        <is>
          <t>unknown</t>
        </is>
      </c>
      <c r="N14" s="29" t="inlineStr">
        <is>
          <t>BookMyPitch</t>
        </is>
      </c>
      <c r="O14" s="35" t="inlineStr">
        <is>
          <t>https://bookmypitch.uk/slots/c5d1422b-8c1e-4497-b8a4-13cd96677bdc</t>
        </is>
      </c>
      <c r="P14" s="29" t="inlineStr">
        <is>
          <t>Off-peak 3/player. Priced per player, not per pitch (game is created and charged once full). 4G surface. Calendar only shows up to 7 Oct</t>
        </is>
      </c>
      <c r="Q14" s="29">
        <f>IF(I14="Available",COUNTIFS($A$2:$A$90,A14,$I$2:$I$90,"Available",$F$2:$F$90,"&lt;"&amp;F14)+1,"")</f>
        <v/>
      </c>
      <c r="R14" s="29">
        <f>IF(Q14="","",A14&amp;"#"&amp;Q14)</f>
        <v/>
      </c>
    </row>
    <row r="15">
      <c r="A15" s="29" t="inlineStr">
        <is>
          <t>Stepney 3G</t>
        </is>
      </c>
      <c r="B15" s="50" t="n">
        <v>46295</v>
      </c>
      <c r="C15" s="29" t="inlineStr">
        <is>
          <t>Wed</t>
        </is>
      </c>
      <c r="D15" s="51" t="n">
        <v>0.7708333333333334</v>
      </c>
      <c r="E15" s="51" t="n">
        <v>0.8125</v>
      </c>
      <c r="F15" s="52">
        <f>IF(B15="","",B15+D15)</f>
        <v/>
      </c>
      <c r="G15" s="29" t="inlineStr">
        <is>
          <t>5-a-side</t>
        </is>
      </c>
      <c r="H15" s="29">
        <f>IFERROR(VALUE(LEFT(G15,FIND("-",G15)-1))*2,"")</f>
        <v/>
      </c>
      <c r="I15" s="29" t="inlineStr">
        <is>
          <t>Available</t>
        </is>
      </c>
      <c r="J15" s="53" t="n"/>
      <c r="K15" s="53" t="n">
        <v>5</v>
      </c>
      <c r="L15" s="54">
        <f>IF(J15&lt;&gt;"",IF(H15="","",J15/H15),IF(K15&lt;&gt;"",K15,""))</f>
        <v/>
      </c>
      <c r="M15" s="29" t="inlineStr">
        <is>
          <t>unknown</t>
        </is>
      </c>
      <c r="N15" s="29" t="inlineStr">
        <is>
          <t>BookMyPitch</t>
        </is>
      </c>
      <c r="O15" s="35" t="inlineStr">
        <is>
          <t>https://bookmypitch.uk/slots/c5d1422b-8c1e-4497-b8a4-13cd96677bdc</t>
        </is>
      </c>
      <c r="P15" s="29" t="inlineStr">
        <is>
          <t>Peak 5/player. Priced per player, not per pitch (game is created and charged once full). 4G surface. Calendar only shows up to 7 Oct</t>
        </is>
      </c>
      <c r="Q15" s="29">
        <f>IF(I15="Available",COUNTIFS($A$2:$A$90,A15,$I$2:$I$90,"Available",$F$2:$F$90,"&lt;"&amp;F15)+1,"")</f>
        <v/>
      </c>
      <c r="R15" s="29">
        <f>IF(Q15="","",A15&amp;"#"&amp;Q15)</f>
        <v/>
      </c>
    </row>
    <row r="16">
      <c r="A16" s="29" t="inlineStr">
        <is>
          <t>Stepney 3G</t>
        </is>
      </c>
      <c r="B16" s="50" t="n">
        <v>46295</v>
      </c>
      <c r="C16" s="29" t="inlineStr">
        <is>
          <t>Wed</t>
        </is>
      </c>
      <c r="D16" s="51" t="n">
        <v>0.8125</v>
      </c>
      <c r="E16" s="51" t="n">
        <v>0.8541666666666666</v>
      </c>
      <c r="F16" s="52">
        <f>IF(B16="","",B16+D16)</f>
        <v/>
      </c>
      <c r="G16" s="29" t="inlineStr">
        <is>
          <t>5-a-side</t>
        </is>
      </c>
      <c r="H16" s="29">
        <f>IFERROR(VALUE(LEFT(G16,FIND("-",G16)-1))*2,"")</f>
        <v/>
      </c>
      <c r="I16" s="29" t="inlineStr">
        <is>
          <t>Available</t>
        </is>
      </c>
      <c r="J16" s="53" t="n"/>
      <c r="K16" s="53" t="n">
        <v>5</v>
      </c>
      <c r="L16" s="54">
        <f>IF(J16&lt;&gt;"",IF(H16="","",J16/H16),IF(K16&lt;&gt;"",K16,""))</f>
        <v/>
      </c>
      <c r="M16" s="29" t="inlineStr">
        <is>
          <t>unknown</t>
        </is>
      </c>
      <c r="N16" s="29" t="inlineStr">
        <is>
          <t>BookMyPitch</t>
        </is>
      </c>
      <c r="O16" s="35" t="inlineStr">
        <is>
          <t>https://bookmypitch.uk/slots/c5d1422b-8c1e-4497-b8a4-13cd96677bdc</t>
        </is>
      </c>
      <c r="P16" s="29" t="inlineStr">
        <is>
          <t>Peak 5/player. Priced per player, not per pitch (game is created and charged once full). 4G surface. Calendar only shows up to 7 Oct</t>
        </is>
      </c>
      <c r="Q16" s="29">
        <f>IF(I16="Available",COUNTIFS($A$2:$A$90,A16,$I$2:$I$90,"Available",$F$2:$F$90,"&lt;"&amp;F16)+1,"")</f>
        <v/>
      </c>
      <c r="R16" s="29">
        <f>IF(Q16="","",A16&amp;"#"&amp;Q16)</f>
        <v/>
      </c>
    </row>
    <row r="17">
      <c r="A17" s="29" t="inlineStr">
        <is>
          <t>Stepney 3G</t>
        </is>
      </c>
      <c r="B17" s="50" t="n">
        <v>46295</v>
      </c>
      <c r="C17" s="29" t="inlineStr">
        <is>
          <t>Wed</t>
        </is>
      </c>
      <c r="D17" s="51" t="n">
        <v>0.8541666666666666</v>
      </c>
      <c r="E17" s="51" t="n">
        <v>0.8958333333333334</v>
      </c>
      <c r="F17" s="52">
        <f>IF(B17="","",B17+D17)</f>
        <v/>
      </c>
      <c r="G17" s="29" t="inlineStr">
        <is>
          <t>5-a-side</t>
        </is>
      </c>
      <c r="H17" s="29">
        <f>IFERROR(VALUE(LEFT(G17,FIND("-",G17)-1))*2,"")</f>
        <v/>
      </c>
      <c r="I17" s="29" t="inlineStr">
        <is>
          <t>Available</t>
        </is>
      </c>
      <c r="J17" s="53" t="n"/>
      <c r="K17" s="53" t="n">
        <v>5</v>
      </c>
      <c r="L17" s="54">
        <f>IF(J17&lt;&gt;"",IF(H17="","",J17/H17),IF(K17&lt;&gt;"",K17,""))</f>
        <v/>
      </c>
      <c r="M17" s="29" t="inlineStr">
        <is>
          <t>unknown</t>
        </is>
      </c>
      <c r="N17" s="29" t="inlineStr">
        <is>
          <t>BookMyPitch</t>
        </is>
      </c>
      <c r="O17" s="35" t="inlineStr">
        <is>
          <t>https://bookmypitch.uk/slots/c5d1422b-8c1e-4497-b8a4-13cd96677bdc</t>
        </is>
      </c>
      <c r="P17" s="29" t="inlineStr">
        <is>
          <t>Peak 5/player. Priced per player, not per pitch (game is created and charged once full). 4G surface. Calendar only shows up to 7 Oct</t>
        </is>
      </c>
      <c r="Q17" s="29">
        <f>IF(I17="Available",COUNTIFS($A$2:$A$90,A17,$I$2:$I$90,"Available",$F$2:$F$90,"&lt;"&amp;F17)+1,"")</f>
        <v/>
      </c>
      <c r="R17" s="29">
        <f>IF(Q17="","",A17&amp;"#"&amp;Q17)</f>
        <v/>
      </c>
    </row>
    <row r="18">
      <c r="A18" s="29" t="inlineStr">
        <is>
          <t>Stepney 3G</t>
        </is>
      </c>
      <c r="B18" s="50" t="n">
        <v>46296</v>
      </c>
      <c r="C18" s="29" t="inlineStr">
        <is>
          <t>Thu</t>
        </is>
      </c>
      <c r="D18" s="51" t="n">
        <v>0.7291666666666666</v>
      </c>
      <c r="E18" s="51" t="n">
        <v>0.7708333333333334</v>
      </c>
      <c r="F18" s="52">
        <f>IF(B18="","",B18+D18)</f>
        <v/>
      </c>
      <c r="G18" s="29" t="inlineStr">
        <is>
          <t>5-a-side</t>
        </is>
      </c>
      <c r="H18" s="29">
        <f>IFERROR(VALUE(LEFT(G18,FIND("-",G18)-1))*2,"")</f>
        <v/>
      </c>
      <c r="I18" s="29" t="inlineStr">
        <is>
          <t>Available</t>
        </is>
      </c>
      <c r="J18" s="53" t="n"/>
      <c r="K18" s="53" t="n">
        <v>3</v>
      </c>
      <c r="L18" s="54">
        <f>IF(J18&lt;&gt;"",IF(H18="","",J18/H18),IF(K18&lt;&gt;"",K18,""))</f>
        <v/>
      </c>
      <c r="M18" s="29" t="inlineStr">
        <is>
          <t>unknown</t>
        </is>
      </c>
      <c r="N18" s="29" t="inlineStr">
        <is>
          <t>BookMyPitch</t>
        </is>
      </c>
      <c r="O18" s="35" t="inlineStr">
        <is>
          <t>https://bookmypitch.uk/slots/c5d1422b-8c1e-4497-b8a4-13cd96677bdc</t>
        </is>
      </c>
      <c r="P18" s="29" t="inlineStr">
        <is>
          <t>Off-peak 3/player. Priced per player, not per pitch (game is created and charged once full). 4G surface. Calendar only shows up to 7 Oct</t>
        </is>
      </c>
      <c r="Q18" s="29">
        <f>IF(I18="Available",COUNTIFS($A$2:$A$90,A18,$I$2:$I$90,"Available",$F$2:$F$90,"&lt;"&amp;F18)+1,"")</f>
        <v/>
      </c>
      <c r="R18" s="29">
        <f>IF(Q18="","",A18&amp;"#"&amp;Q18)</f>
        <v/>
      </c>
    </row>
    <row r="19">
      <c r="A19" s="29" t="inlineStr">
        <is>
          <t>Stepney 3G</t>
        </is>
      </c>
      <c r="B19" s="50" t="n">
        <v>46296</v>
      </c>
      <c r="C19" s="29" t="inlineStr">
        <is>
          <t>Thu</t>
        </is>
      </c>
      <c r="D19" s="51" t="n">
        <v>0.7708333333333334</v>
      </c>
      <c r="E19" s="51" t="n">
        <v>0.8125</v>
      </c>
      <c r="F19" s="52">
        <f>IF(B19="","",B19+D19)</f>
        <v/>
      </c>
      <c r="G19" s="29" t="inlineStr">
        <is>
          <t>5-a-side</t>
        </is>
      </c>
      <c r="H19" s="29">
        <f>IFERROR(VALUE(LEFT(G19,FIND("-",G19)-1))*2,"")</f>
        <v/>
      </c>
      <c r="I19" s="29" t="inlineStr">
        <is>
          <t>Available</t>
        </is>
      </c>
      <c r="J19" s="53" t="n"/>
      <c r="K19" s="53" t="n">
        <v>5</v>
      </c>
      <c r="L19" s="54">
        <f>IF(J19&lt;&gt;"",IF(H19="","",J19/H19),IF(K19&lt;&gt;"",K19,""))</f>
        <v/>
      </c>
      <c r="M19" s="29" t="inlineStr">
        <is>
          <t>unknown</t>
        </is>
      </c>
      <c r="N19" s="29" t="inlineStr">
        <is>
          <t>BookMyPitch</t>
        </is>
      </c>
      <c r="O19" s="35" t="inlineStr">
        <is>
          <t>https://bookmypitch.uk/slots/c5d1422b-8c1e-4497-b8a4-13cd96677bdc</t>
        </is>
      </c>
      <c r="P19" s="29" t="inlineStr">
        <is>
          <t>Peak 5/player. Priced per player, not per pitch (game is created and charged once full). 4G surface. Calendar only shows up to 7 Oct</t>
        </is>
      </c>
      <c r="Q19" s="29">
        <f>IF(I19="Available",COUNTIFS($A$2:$A$90,A19,$I$2:$I$90,"Available",$F$2:$F$90,"&lt;"&amp;F19)+1,"")</f>
        <v/>
      </c>
      <c r="R19" s="29">
        <f>IF(Q19="","",A19&amp;"#"&amp;Q19)</f>
        <v/>
      </c>
    </row>
    <row r="20">
      <c r="A20" s="29" t="inlineStr">
        <is>
          <t>Stepney 3G</t>
        </is>
      </c>
      <c r="B20" s="50" t="n">
        <v>46296</v>
      </c>
      <c r="C20" s="29" t="inlineStr">
        <is>
          <t>Thu</t>
        </is>
      </c>
      <c r="D20" s="51" t="n">
        <v>0.8125</v>
      </c>
      <c r="E20" s="51" t="n">
        <v>0.8541666666666666</v>
      </c>
      <c r="F20" s="52">
        <f>IF(B20="","",B20+D20)</f>
        <v/>
      </c>
      <c r="G20" s="29" t="inlineStr">
        <is>
          <t>5-a-side</t>
        </is>
      </c>
      <c r="H20" s="29">
        <f>IFERROR(VALUE(LEFT(G20,FIND("-",G20)-1))*2,"")</f>
        <v/>
      </c>
      <c r="I20" s="29" t="inlineStr">
        <is>
          <t>Available</t>
        </is>
      </c>
      <c r="J20" s="53" t="n"/>
      <c r="K20" s="53" t="n">
        <v>5</v>
      </c>
      <c r="L20" s="54">
        <f>IF(J20&lt;&gt;"",IF(H20="","",J20/H20),IF(K20&lt;&gt;"",K20,""))</f>
        <v/>
      </c>
      <c r="M20" s="29" t="inlineStr">
        <is>
          <t>unknown</t>
        </is>
      </c>
      <c r="N20" s="29" t="inlineStr">
        <is>
          <t>BookMyPitch</t>
        </is>
      </c>
      <c r="O20" s="35" t="inlineStr">
        <is>
          <t>https://bookmypitch.uk/slots/c5d1422b-8c1e-4497-b8a4-13cd96677bdc</t>
        </is>
      </c>
      <c r="P20" s="29" t="inlineStr">
        <is>
          <t>Peak 5/player. Priced per player, not per pitch (game is created and charged once full). 4G surface. Calendar only shows up to 7 Oct</t>
        </is>
      </c>
      <c r="Q20" s="29">
        <f>IF(I20="Available",COUNTIFS($A$2:$A$90,A20,$I$2:$I$90,"Available",$F$2:$F$90,"&lt;"&amp;F20)+1,"")</f>
        <v/>
      </c>
      <c r="R20" s="29">
        <f>IF(Q20="","",A20&amp;"#"&amp;Q20)</f>
        <v/>
      </c>
    </row>
    <row r="21">
      <c r="A21" s="29" t="inlineStr">
        <is>
          <t>Stepney 3G</t>
        </is>
      </c>
      <c r="B21" s="50" t="n">
        <v>46296</v>
      </c>
      <c r="C21" s="29" t="inlineStr">
        <is>
          <t>Thu</t>
        </is>
      </c>
      <c r="D21" s="51" t="n">
        <v>0.8541666666666666</v>
      </c>
      <c r="E21" s="51" t="n">
        <v>0.8958333333333334</v>
      </c>
      <c r="F21" s="52">
        <f>IF(B21="","",B21+D21)</f>
        <v/>
      </c>
      <c r="G21" s="29" t="inlineStr">
        <is>
          <t>5-a-side</t>
        </is>
      </c>
      <c r="H21" s="29">
        <f>IFERROR(VALUE(LEFT(G21,FIND("-",G21)-1))*2,"")</f>
        <v/>
      </c>
      <c r="I21" s="29" t="inlineStr">
        <is>
          <t>Available</t>
        </is>
      </c>
      <c r="J21" s="53" t="n"/>
      <c r="K21" s="53" t="n">
        <v>5</v>
      </c>
      <c r="L21" s="54">
        <f>IF(J21&lt;&gt;"",IF(H21="","",J21/H21),IF(K21&lt;&gt;"",K21,""))</f>
        <v/>
      </c>
      <c r="M21" s="29" t="inlineStr">
        <is>
          <t>unknown</t>
        </is>
      </c>
      <c r="N21" s="29" t="inlineStr">
        <is>
          <t>BookMyPitch</t>
        </is>
      </c>
      <c r="O21" s="35" t="inlineStr">
        <is>
          <t>https://bookmypitch.uk/slots/c5d1422b-8c1e-4497-b8a4-13cd96677bdc</t>
        </is>
      </c>
      <c r="P21" s="29" t="inlineStr">
        <is>
          <t>Peak 5/player. Priced per player, not per pitch (game is created and charged once full). 4G surface. Calendar only shows up to 7 Oct</t>
        </is>
      </c>
      <c r="Q21" s="29">
        <f>IF(I21="Available",COUNTIFS($A$2:$A$90,A21,$I$2:$I$90,"Available",$F$2:$F$90,"&lt;"&amp;F21)+1,"")</f>
        <v/>
      </c>
      <c r="R21" s="29">
        <f>IF(Q21="","",A21&amp;"#"&amp;Q21)</f>
        <v/>
      </c>
    </row>
    <row r="22">
      <c r="A22" s="29" t="inlineStr">
        <is>
          <t>Stepney 3G</t>
        </is>
      </c>
      <c r="B22" s="50" t="n">
        <v>46297</v>
      </c>
      <c r="C22" s="29" t="inlineStr">
        <is>
          <t>Fri</t>
        </is>
      </c>
      <c r="D22" s="51" t="n">
        <v>0.7291666666666666</v>
      </c>
      <c r="E22" s="51" t="n">
        <v>0.7708333333333334</v>
      </c>
      <c r="F22" s="52">
        <f>IF(B22="","",B22+D22)</f>
        <v/>
      </c>
      <c r="G22" s="29" t="inlineStr">
        <is>
          <t>5-a-side</t>
        </is>
      </c>
      <c r="H22" s="29">
        <f>IFERROR(VALUE(LEFT(G22,FIND("-",G22)-1))*2,"")</f>
        <v/>
      </c>
      <c r="I22" s="29" t="inlineStr">
        <is>
          <t>Available</t>
        </is>
      </c>
      <c r="J22" s="53" t="n"/>
      <c r="K22" s="53" t="n">
        <v>3</v>
      </c>
      <c r="L22" s="54">
        <f>IF(J22&lt;&gt;"",IF(H22="","",J22/H22),IF(K22&lt;&gt;"",K22,""))</f>
        <v/>
      </c>
      <c r="M22" s="29" t="inlineStr">
        <is>
          <t>unknown</t>
        </is>
      </c>
      <c r="N22" s="29" t="inlineStr">
        <is>
          <t>BookMyPitch</t>
        </is>
      </c>
      <c r="O22" s="35" t="inlineStr">
        <is>
          <t>https://bookmypitch.uk/slots/c5d1422b-8c1e-4497-b8a4-13cd96677bdc</t>
        </is>
      </c>
      <c r="P22" s="29" t="inlineStr">
        <is>
          <t>Off-peak 3/player. Priced per player, not per pitch (game is created and charged once full). 4G surface. Calendar only shows up to 7 Oct</t>
        </is>
      </c>
      <c r="Q22" s="29">
        <f>IF(I22="Available",COUNTIFS($A$2:$A$90,A22,$I$2:$I$90,"Available",$F$2:$F$90,"&lt;"&amp;F22)+1,"")</f>
        <v/>
      </c>
      <c r="R22" s="29">
        <f>IF(Q22="","",A22&amp;"#"&amp;Q22)</f>
        <v/>
      </c>
    </row>
    <row r="23">
      <c r="A23" s="29" t="inlineStr">
        <is>
          <t>Stepney 3G</t>
        </is>
      </c>
      <c r="B23" s="50" t="n">
        <v>46297</v>
      </c>
      <c r="C23" s="29" t="inlineStr">
        <is>
          <t>Fri</t>
        </is>
      </c>
      <c r="D23" s="51" t="n">
        <v>0.7708333333333334</v>
      </c>
      <c r="E23" s="51" t="n">
        <v>0.8125</v>
      </c>
      <c r="F23" s="52">
        <f>IF(B23="","",B23+D23)</f>
        <v/>
      </c>
      <c r="G23" s="29" t="inlineStr">
        <is>
          <t>5-a-side</t>
        </is>
      </c>
      <c r="H23" s="29">
        <f>IFERROR(VALUE(LEFT(G23,FIND("-",G23)-1))*2,"")</f>
        <v/>
      </c>
      <c r="I23" s="29" t="inlineStr">
        <is>
          <t>Available</t>
        </is>
      </c>
      <c r="J23" s="53" t="n"/>
      <c r="K23" s="53" t="n">
        <v>5</v>
      </c>
      <c r="L23" s="54">
        <f>IF(J23&lt;&gt;"",IF(H23="","",J23/H23),IF(K23&lt;&gt;"",K23,""))</f>
        <v/>
      </c>
      <c r="M23" s="29" t="inlineStr">
        <is>
          <t>unknown</t>
        </is>
      </c>
      <c r="N23" s="29" t="inlineStr">
        <is>
          <t>BookMyPitch</t>
        </is>
      </c>
      <c r="O23" s="35" t="inlineStr">
        <is>
          <t>https://bookmypitch.uk/slots/c5d1422b-8c1e-4497-b8a4-13cd96677bdc</t>
        </is>
      </c>
      <c r="P23" s="29" t="inlineStr">
        <is>
          <t>Peak 5/player. Priced per player, not per pitch (game is created and charged once full). 4G surface. Calendar only shows up to 7 Oct</t>
        </is>
      </c>
      <c r="Q23" s="29">
        <f>IF(I23="Available",COUNTIFS($A$2:$A$90,A23,$I$2:$I$90,"Available",$F$2:$F$90,"&lt;"&amp;F23)+1,"")</f>
        <v/>
      </c>
      <c r="R23" s="29">
        <f>IF(Q23="","",A23&amp;"#"&amp;Q23)</f>
        <v/>
      </c>
    </row>
    <row r="24">
      <c r="A24" s="29" t="inlineStr">
        <is>
          <t>Stepney 3G</t>
        </is>
      </c>
      <c r="B24" s="50" t="n">
        <v>46297</v>
      </c>
      <c r="C24" s="29" t="inlineStr">
        <is>
          <t>Fri</t>
        </is>
      </c>
      <c r="D24" s="51" t="n">
        <v>0.8125</v>
      </c>
      <c r="E24" s="51" t="n">
        <v>0.8541666666666666</v>
      </c>
      <c r="F24" s="52">
        <f>IF(B24="","",B24+D24)</f>
        <v/>
      </c>
      <c r="G24" s="29" t="inlineStr">
        <is>
          <t>5-a-side</t>
        </is>
      </c>
      <c r="H24" s="29">
        <f>IFERROR(VALUE(LEFT(G24,FIND("-",G24)-1))*2,"")</f>
        <v/>
      </c>
      <c r="I24" s="29" t="inlineStr">
        <is>
          <t>Available</t>
        </is>
      </c>
      <c r="J24" s="53" t="n"/>
      <c r="K24" s="53" t="n">
        <v>5</v>
      </c>
      <c r="L24" s="54">
        <f>IF(J24&lt;&gt;"",IF(H24="","",J24/H24),IF(K24&lt;&gt;"",K24,""))</f>
        <v/>
      </c>
      <c r="M24" s="29" t="inlineStr">
        <is>
          <t>unknown</t>
        </is>
      </c>
      <c r="N24" s="29" t="inlineStr">
        <is>
          <t>BookMyPitch</t>
        </is>
      </c>
      <c r="O24" s="35" t="inlineStr">
        <is>
          <t>https://bookmypitch.uk/slots/c5d1422b-8c1e-4497-b8a4-13cd96677bdc</t>
        </is>
      </c>
      <c r="P24" s="29" t="inlineStr">
        <is>
          <t>Peak 5/player. Priced per player, not per pitch (game is created and charged once full). 4G surface. Calendar only shows up to 7 Oct</t>
        </is>
      </c>
      <c r="Q24" s="29">
        <f>IF(I24="Available",COUNTIFS($A$2:$A$90,A24,$I$2:$I$90,"Available",$F$2:$F$90,"&lt;"&amp;F24)+1,"")</f>
        <v/>
      </c>
      <c r="R24" s="29">
        <f>IF(Q24="","",A24&amp;"#"&amp;Q24)</f>
        <v/>
      </c>
    </row>
    <row r="25">
      <c r="A25" s="29" t="inlineStr">
        <is>
          <t>Stepney 3G</t>
        </is>
      </c>
      <c r="B25" s="50" t="n">
        <v>46297</v>
      </c>
      <c r="C25" s="29" t="inlineStr">
        <is>
          <t>Fri</t>
        </is>
      </c>
      <c r="D25" s="51" t="n">
        <v>0.8541666666666666</v>
      </c>
      <c r="E25" s="51" t="n">
        <v>0.8958333333333334</v>
      </c>
      <c r="F25" s="52">
        <f>IF(B25="","",B25+D25)</f>
        <v/>
      </c>
      <c r="G25" s="29" t="inlineStr">
        <is>
          <t>5-a-side</t>
        </is>
      </c>
      <c r="H25" s="29">
        <f>IFERROR(VALUE(LEFT(G25,FIND("-",G25)-1))*2,"")</f>
        <v/>
      </c>
      <c r="I25" s="29" t="inlineStr">
        <is>
          <t>Available</t>
        </is>
      </c>
      <c r="J25" s="53" t="n"/>
      <c r="K25" s="53" t="n">
        <v>5</v>
      </c>
      <c r="L25" s="54">
        <f>IF(J25&lt;&gt;"",IF(H25="","",J25/H25),IF(K25&lt;&gt;"",K25,""))</f>
        <v/>
      </c>
      <c r="M25" s="29" t="inlineStr">
        <is>
          <t>unknown</t>
        </is>
      </c>
      <c r="N25" s="29" t="inlineStr">
        <is>
          <t>BookMyPitch</t>
        </is>
      </c>
      <c r="O25" s="35" t="inlineStr">
        <is>
          <t>https://bookmypitch.uk/slots/c5d1422b-8c1e-4497-b8a4-13cd96677bdc</t>
        </is>
      </c>
      <c r="P25" s="29" t="inlineStr">
        <is>
          <t>Peak 5/player. Priced per player, not per pitch (game is created and charged once full). 4G surface. Calendar only shows up to 7 Oct</t>
        </is>
      </c>
      <c r="Q25" s="29">
        <f>IF(I25="Available",COUNTIFS($A$2:$A$90,A25,$I$2:$I$90,"Available",$F$2:$F$90,"&lt;"&amp;F25)+1,"")</f>
        <v/>
      </c>
      <c r="R25" s="29">
        <f>IF(Q25="","",A25&amp;"#"&amp;Q25)</f>
        <v/>
      </c>
    </row>
    <row r="26">
      <c r="A26" s="29" t="inlineStr">
        <is>
          <t>Stepney 3G</t>
        </is>
      </c>
      <c r="B26" s="50" t="n">
        <v>46300</v>
      </c>
      <c r="C26" s="29" t="inlineStr">
        <is>
          <t>Mon</t>
        </is>
      </c>
      <c r="D26" s="51" t="n">
        <v>0.7291666666666666</v>
      </c>
      <c r="E26" s="51" t="n">
        <v>0.7708333333333334</v>
      </c>
      <c r="F26" s="52">
        <f>IF(B26="","",B26+D26)</f>
        <v/>
      </c>
      <c r="G26" s="29" t="inlineStr">
        <is>
          <t>5-a-side</t>
        </is>
      </c>
      <c r="H26" s="29">
        <f>IFERROR(VALUE(LEFT(G26,FIND("-",G26)-1))*2,"")</f>
        <v/>
      </c>
      <c r="I26" s="29" t="inlineStr">
        <is>
          <t>Available</t>
        </is>
      </c>
      <c r="J26" s="53" t="n"/>
      <c r="K26" s="53" t="n">
        <v>3</v>
      </c>
      <c r="L26" s="54">
        <f>IF(J26&lt;&gt;"",IF(H26="","",J26/H26),IF(K26&lt;&gt;"",K26,""))</f>
        <v/>
      </c>
      <c r="M26" s="29" t="inlineStr">
        <is>
          <t>unknown</t>
        </is>
      </c>
      <c r="N26" s="29" t="inlineStr">
        <is>
          <t>BookMyPitch</t>
        </is>
      </c>
      <c r="O26" s="35" t="inlineStr">
        <is>
          <t>https://bookmypitch.uk/slots/c5d1422b-8c1e-4497-b8a4-13cd96677bdc</t>
        </is>
      </c>
      <c r="P26" s="29" t="inlineStr">
        <is>
          <t>Off-peak 3/player. Priced per player, not per pitch (game is created and charged once full). 4G surface. Calendar only shows up to 7 Oct</t>
        </is>
      </c>
      <c r="Q26" s="29">
        <f>IF(I26="Available",COUNTIFS($A$2:$A$90,A26,$I$2:$I$90,"Available",$F$2:$F$90,"&lt;"&amp;F26)+1,"")</f>
        <v/>
      </c>
      <c r="R26" s="29">
        <f>IF(Q26="","",A26&amp;"#"&amp;Q26)</f>
        <v/>
      </c>
    </row>
    <row r="27">
      <c r="A27" s="29" t="inlineStr">
        <is>
          <t>Stepney 3G</t>
        </is>
      </c>
      <c r="B27" s="50" t="n">
        <v>46300</v>
      </c>
      <c r="C27" s="29" t="inlineStr">
        <is>
          <t>Mon</t>
        </is>
      </c>
      <c r="D27" s="51" t="n">
        <v>0.7708333333333334</v>
      </c>
      <c r="E27" s="51" t="n">
        <v>0.8125</v>
      </c>
      <c r="F27" s="52">
        <f>IF(B27="","",B27+D27)</f>
        <v/>
      </c>
      <c r="G27" s="29" t="inlineStr">
        <is>
          <t>5-a-side</t>
        </is>
      </c>
      <c r="H27" s="29">
        <f>IFERROR(VALUE(LEFT(G27,FIND("-",G27)-1))*2,"")</f>
        <v/>
      </c>
      <c r="I27" s="29" t="inlineStr">
        <is>
          <t>Available</t>
        </is>
      </c>
      <c r="J27" s="53" t="n"/>
      <c r="K27" s="53" t="n">
        <v>5</v>
      </c>
      <c r="L27" s="54">
        <f>IF(J27&lt;&gt;"",IF(H27="","",J27/H27),IF(K27&lt;&gt;"",K27,""))</f>
        <v/>
      </c>
      <c r="M27" s="29" t="inlineStr">
        <is>
          <t>unknown</t>
        </is>
      </c>
      <c r="N27" s="29" t="inlineStr">
        <is>
          <t>BookMyPitch</t>
        </is>
      </c>
      <c r="O27" s="35" t="inlineStr">
        <is>
          <t>https://bookmypitch.uk/slots/c5d1422b-8c1e-4497-b8a4-13cd96677bdc</t>
        </is>
      </c>
      <c r="P27" s="29" t="inlineStr">
        <is>
          <t>Peak 5/player. Priced per player, not per pitch (game is created and charged once full). 4G surface. Calendar only shows up to 7 Oct</t>
        </is>
      </c>
      <c r="Q27" s="29">
        <f>IF(I27="Available",COUNTIFS($A$2:$A$90,A27,$I$2:$I$90,"Available",$F$2:$F$90,"&lt;"&amp;F27)+1,"")</f>
        <v/>
      </c>
      <c r="R27" s="29">
        <f>IF(Q27="","",A27&amp;"#"&amp;Q27)</f>
        <v/>
      </c>
    </row>
    <row r="28">
      <c r="A28" s="29" t="inlineStr">
        <is>
          <t>Stepney 3G</t>
        </is>
      </c>
      <c r="B28" s="50" t="n">
        <v>46300</v>
      </c>
      <c r="C28" s="29" t="inlineStr">
        <is>
          <t>Mon</t>
        </is>
      </c>
      <c r="D28" s="51" t="n">
        <v>0.8125</v>
      </c>
      <c r="E28" s="51" t="n">
        <v>0.8541666666666666</v>
      </c>
      <c r="F28" s="52">
        <f>IF(B28="","",B28+D28)</f>
        <v/>
      </c>
      <c r="G28" s="29" t="inlineStr">
        <is>
          <t>5-a-side</t>
        </is>
      </c>
      <c r="H28" s="29">
        <f>IFERROR(VALUE(LEFT(G28,FIND("-",G28)-1))*2,"")</f>
        <v/>
      </c>
      <c r="I28" s="29" t="inlineStr">
        <is>
          <t>Available</t>
        </is>
      </c>
      <c r="J28" s="53" t="n"/>
      <c r="K28" s="53" t="n">
        <v>5</v>
      </c>
      <c r="L28" s="54">
        <f>IF(J28&lt;&gt;"",IF(H28="","",J28/H28),IF(K28&lt;&gt;"",K28,""))</f>
        <v/>
      </c>
      <c r="M28" s="29" t="inlineStr">
        <is>
          <t>unknown</t>
        </is>
      </c>
      <c r="N28" s="29" t="inlineStr">
        <is>
          <t>BookMyPitch</t>
        </is>
      </c>
      <c r="O28" s="35" t="inlineStr">
        <is>
          <t>https://bookmypitch.uk/slots/c5d1422b-8c1e-4497-b8a4-13cd96677bdc</t>
        </is>
      </c>
      <c r="P28" s="29" t="inlineStr">
        <is>
          <t>Peak 5/player. Priced per player, not per pitch (game is created and charged once full). 4G surface. Calendar only shows up to 7 Oct</t>
        </is>
      </c>
      <c r="Q28" s="29">
        <f>IF(I28="Available",COUNTIFS($A$2:$A$90,A28,$I$2:$I$90,"Available",$F$2:$F$90,"&lt;"&amp;F28)+1,"")</f>
        <v/>
      </c>
      <c r="R28" s="29">
        <f>IF(Q28="","",A28&amp;"#"&amp;Q28)</f>
        <v/>
      </c>
    </row>
    <row r="29">
      <c r="A29" s="29" t="inlineStr">
        <is>
          <t>Stepney 3G</t>
        </is>
      </c>
      <c r="B29" s="50" t="n">
        <v>46300</v>
      </c>
      <c r="C29" s="29" t="inlineStr">
        <is>
          <t>Mon</t>
        </is>
      </c>
      <c r="D29" s="51" t="n">
        <v>0.8541666666666666</v>
      </c>
      <c r="E29" s="51" t="n">
        <v>0.8958333333333334</v>
      </c>
      <c r="F29" s="52">
        <f>IF(B29="","",B29+D29)</f>
        <v/>
      </c>
      <c r="G29" s="29" t="inlineStr">
        <is>
          <t>5-a-side</t>
        </is>
      </c>
      <c r="H29" s="29">
        <f>IFERROR(VALUE(LEFT(G29,FIND("-",G29)-1))*2,"")</f>
        <v/>
      </c>
      <c r="I29" s="29" t="inlineStr">
        <is>
          <t>Available</t>
        </is>
      </c>
      <c r="J29" s="53" t="n"/>
      <c r="K29" s="53" t="n">
        <v>5</v>
      </c>
      <c r="L29" s="54">
        <f>IF(J29&lt;&gt;"",IF(H29="","",J29/H29),IF(K29&lt;&gt;"",K29,""))</f>
        <v/>
      </c>
      <c r="M29" s="29" t="inlineStr">
        <is>
          <t>unknown</t>
        </is>
      </c>
      <c r="N29" s="29" t="inlineStr">
        <is>
          <t>BookMyPitch</t>
        </is>
      </c>
      <c r="O29" s="35" t="inlineStr">
        <is>
          <t>https://bookmypitch.uk/slots/c5d1422b-8c1e-4497-b8a4-13cd96677bdc</t>
        </is>
      </c>
      <c r="P29" s="29" t="inlineStr">
        <is>
          <t>Peak 5/player. Priced per player, not per pitch (game is created and charged once full). 4G surface. Calendar only shows up to 7 Oct</t>
        </is>
      </c>
      <c r="Q29" s="29">
        <f>IF(I29="Available",COUNTIFS($A$2:$A$90,A29,$I$2:$I$90,"Available",$F$2:$F$90,"&lt;"&amp;F29)+1,"")</f>
        <v/>
      </c>
      <c r="R29" s="29">
        <f>IF(Q29="","",A29&amp;"#"&amp;Q29)</f>
        <v/>
      </c>
    </row>
    <row r="30">
      <c r="A30" s="29" t="inlineStr">
        <is>
          <t>Stepney 3G</t>
        </is>
      </c>
      <c r="B30" s="50" t="n">
        <v>46301</v>
      </c>
      <c r="C30" s="29" t="inlineStr">
        <is>
          <t>Tue</t>
        </is>
      </c>
      <c r="D30" s="51" t="n">
        <v>0.7291666666666666</v>
      </c>
      <c r="E30" s="51" t="n">
        <v>0.7708333333333334</v>
      </c>
      <c r="F30" s="52">
        <f>IF(B30="","",B30+D30)</f>
        <v/>
      </c>
      <c r="G30" s="29" t="inlineStr">
        <is>
          <t>5-a-side</t>
        </is>
      </c>
      <c r="H30" s="29">
        <f>IFERROR(VALUE(LEFT(G30,FIND("-",G30)-1))*2,"")</f>
        <v/>
      </c>
      <c r="I30" s="29" t="inlineStr">
        <is>
          <t>Available</t>
        </is>
      </c>
      <c r="J30" s="53" t="n"/>
      <c r="K30" s="53" t="n">
        <v>3</v>
      </c>
      <c r="L30" s="54">
        <f>IF(J30&lt;&gt;"",IF(H30="","",J30/H30),IF(K30&lt;&gt;"",K30,""))</f>
        <v/>
      </c>
      <c r="M30" s="29" t="inlineStr">
        <is>
          <t>unknown</t>
        </is>
      </c>
      <c r="N30" s="29" t="inlineStr">
        <is>
          <t>BookMyPitch</t>
        </is>
      </c>
      <c r="O30" s="35" t="inlineStr">
        <is>
          <t>https://bookmypitch.uk/slots/c5d1422b-8c1e-4497-b8a4-13cd96677bdc</t>
        </is>
      </c>
      <c r="P30" s="29" t="inlineStr">
        <is>
          <t>Off-peak 3/player. Priced per player, not per pitch (game is created and charged once full). 4G surface. Calendar only shows up to 7 Oct</t>
        </is>
      </c>
      <c r="Q30" s="29">
        <f>IF(I30="Available",COUNTIFS($A$2:$A$90,A30,$I$2:$I$90,"Available",$F$2:$F$90,"&lt;"&amp;F30)+1,"")</f>
        <v/>
      </c>
      <c r="R30" s="29">
        <f>IF(Q30="","",A30&amp;"#"&amp;Q30)</f>
        <v/>
      </c>
    </row>
    <row r="31">
      <c r="A31" s="29" t="inlineStr">
        <is>
          <t>Stepney 3G</t>
        </is>
      </c>
      <c r="B31" s="50" t="n">
        <v>46301</v>
      </c>
      <c r="C31" s="29" t="inlineStr">
        <is>
          <t>Tue</t>
        </is>
      </c>
      <c r="D31" s="51" t="n">
        <v>0.7708333333333334</v>
      </c>
      <c r="E31" s="51" t="n">
        <v>0.8125</v>
      </c>
      <c r="F31" s="52">
        <f>IF(B31="","",B31+D31)</f>
        <v/>
      </c>
      <c r="G31" s="29" t="inlineStr">
        <is>
          <t>5-a-side</t>
        </is>
      </c>
      <c r="H31" s="29">
        <f>IFERROR(VALUE(LEFT(G31,FIND("-",G31)-1))*2,"")</f>
        <v/>
      </c>
      <c r="I31" s="29" t="inlineStr">
        <is>
          <t>Available</t>
        </is>
      </c>
      <c r="J31" s="53" t="n"/>
      <c r="K31" s="53" t="n">
        <v>5</v>
      </c>
      <c r="L31" s="54">
        <f>IF(J31&lt;&gt;"",IF(H31="","",J31/H31),IF(K31&lt;&gt;"",K31,""))</f>
        <v/>
      </c>
      <c r="M31" s="29" t="inlineStr">
        <is>
          <t>unknown</t>
        </is>
      </c>
      <c r="N31" s="29" t="inlineStr">
        <is>
          <t>BookMyPitch</t>
        </is>
      </c>
      <c r="O31" s="35" t="inlineStr">
        <is>
          <t>https://bookmypitch.uk/slots/c5d1422b-8c1e-4497-b8a4-13cd96677bdc</t>
        </is>
      </c>
      <c r="P31" s="29" t="inlineStr">
        <is>
          <t>Peak 5/player. Priced per player, not per pitch (game is created and charged once full). 4G surface. Calendar only shows up to 7 Oct</t>
        </is>
      </c>
      <c r="Q31" s="29">
        <f>IF(I31="Available",COUNTIFS($A$2:$A$90,A31,$I$2:$I$90,"Available",$F$2:$F$90,"&lt;"&amp;F31)+1,"")</f>
        <v/>
      </c>
      <c r="R31" s="29">
        <f>IF(Q31="","",A31&amp;"#"&amp;Q31)</f>
        <v/>
      </c>
    </row>
    <row r="32">
      <c r="A32" s="29" t="inlineStr">
        <is>
          <t>Stepney 3G</t>
        </is>
      </c>
      <c r="B32" s="50" t="n">
        <v>46301</v>
      </c>
      <c r="C32" s="29" t="inlineStr">
        <is>
          <t>Tue</t>
        </is>
      </c>
      <c r="D32" s="51" t="n">
        <v>0.8125</v>
      </c>
      <c r="E32" s="51" t="n">
        <v>0.8541666666666666</v>
      </c>
      <c r="F32" s="52">
        <f>IF(B32="","",B32+D32)</f>
        <v/>
      </c>
      <c r="G32" s="29" t="inlineStr">
        <is>
          <t>5-a-side</t>
        </is>
      </c>
      <c r="H32" s="29">
        <f>IFERROR(VALUE(LEFT(G32,FIND("-",G32)-1))*2,"")</f>
        <v/>
      </c>
      <c r="I32" s="29" t="inlineStr">
        <is>
          <t>Available</t>
        </is>
      </c>
      <c r="J32" s="53" t="n"/>
      <c r="K32" s="53" t="n">
        <v>5</v>
      </c>
      <c r="L32" s="54">
        <f>IF(J32&lt;&gt;"",IF(H32="","",J32/H32),IF(K32&lt;&gt;"",K32,""))</f>
        <v/>
      </c>
      <c r="M32" s="29" t="inlineStr">
        <is>
          <t>unknown</t>
        </is>
      </c>
      <c r="N32" s="29" t="inlineStr">
        <is>
          <t>BookMyPitch</t>
        </is>
      </c>
      <c r="O32" s="35" t="inlineStr">
        <is>
          <t>https://bookmypitch.uk/slots/c5d1422b-8c1e-4497-b8a4-13cd96677bdc</t>
        </is>
      </c>
      <c r="P32" s="29" t="inlineStr">
        <is>
          <t>Peak 5/player. Priced per player, not per pitch (game is created and charged once full). 4G surface. Calendar only shows up to 7 Oct</t>
        </is>
      </c>
      <c r="Q32" s="29">
        <f>IF(I32="Available",COUNTIFS($A$2:$A$90,A32,$I$2:$I$90,"Available",$F$2:$F$90,"&lt;"&amp;F32)+1,"")</f>
        <v/>
      </c>
      <c r="R32" s="29">
        <f>IF(Q32="","",A32&amp;"#"&amp;Q32)</f>
        <v/>
      </c>
    </row>
    <row r="33">
      <c r="A33" s="29" t="inlineStr">
        <is>
          <t>Stepney 3G</t>
        </is>
      </c>
      <c r="B33" s="50" t="n">
        <v>46301</v>
      </c>
      <c r="C33" s="29" t="inlineStr">
        <is>
          <t>Tue</t>
        </is>
      </c>
      <c r="D33" s="51" t="n">
        <v>0.8541666666666666</v>
      </c>
      <c r="E33" s="51" t="n">
        <v>0.8958333333333334</v>
      </c>
      <c r="F33" s="52">
        <f>IF(B33="","",B33+D33)</f>
        <v/>
      </c>
      <c r="G33" s="29" t="inlineStr">
        <is>
          <t>5-a-side</t>
        </is>
      </c>
      <c r="H33" s="29">
        <f>IFERROR(VALUE(LEFT(G33,FIND("-",G33)-1))*2,"")</f>
        <v/>
      </c>
      <c r="I33" s="29" t="inlineStr">
        <is>
          <t>Available</t>
        </is>
      </c>
      <c r="J33" s="53" t="n"/>
      <c r="K33" s="53" t="n">
        <v>5</v>
      </c>
      <c r="L33" s="54">
        <f>IF(J33&lt;&gt;"",IF(H33="","",J33/H33),IF(K33&lt;&gt;"",K33,""))</f>
        <v/>
      </c>
      <c r="M33" s="29" t="inlineStr">
        <is>
          <t>unknown</t>
        </is>
      </c>
      <c r="N33" s="29" t="inlineStr">
        <is>
          <t>BookMyPitch</t>
        </is>
      </c>
      <c r="O33" s="35" t="inlineStr">
        <is>
          <t>https://bookmypitch.uk/slots/c5d1422b-8c1e-4497-b8a4-13cd96677bdc</t>
        </is>
      </c>
      <c r="P33" s="29" t="inlineStr">
        <is>
          <t>Peak 5/player. Priced per player, not per pitch (game is created and charged once full). 4G surface. Calendar only shows up to 7 Oct</t>
        </is>
      </c>
      <c r="Q33" s="29">
        <f>IF(I33="Available",COUNTIFS($A$2:$A$90,A33,$I$2:$I$90,"Available",$F$2:$F$90,"&lt;"&amp;F33)+1,"")</f>
        <v/>
      </c>
      <c r="R33" s="29">
        <f>IF(Q33="","",A33&amp;"#"&amp;Q33)</f>
        <v/>
      </c>
    </row>
    <row r="34">
      <c r="A34" s="29" t="inlineStr">
        <is>
          <t>Stepney 3G</t>
        </is>
      </c>
      <c r="B34" s="50" t="n">
        <v>46302</v>
      </c>
      <c r="C34" s="29" t="inlineStr">
        <is>
          <t>Wed</t>
        </is>
      </c>
      <c r="D34" s="51" t="n">
        <v>0.7291666666666666</v>
      </c>
      <c r="E34" s="51" t="n">
        <v>0.7708333333333334</v>
      </c>
      <c r="F34" s="52">
        <f>IF(B34="","",B34+D34)</f>
        <v/>
      </c>
      <c r="G34" s="29" t="inlineStr">
        <is>
          <t>5-a-side</t>
        </is>
      </c>
      <c r="H34" s="29">
        <f>IFERROR(VALUE(LEFT(G34,FIND("-",G34)-1))*2,"")</f>
        <v/>
      </c>
      <c r="I34" s="29" t="inlineStr">
        <is>
          <t>Available</t>
        </is>
      </c>
      <c r="J34" s="53" t="n"/>
      <c r="K34" s="53" t="n">
        <v>3</v>
      </c>
      <c r="L34" s="54">
        <f>IF(J34&lt;&gt;"",IF(H34="","",J34/H34),IF(K34&lt;&gt;"",K34,""))</f>
        <v/>
      </c>
      <c r="M34" s="29" t="inlineStr">
        <is>
          <t>unknown</t>
        </is>
      </c>
      <c r="N34" s="29" t="inlineStr">
        <is>
          <t>BookMyPitch</t>
        </is>
      </c>
      <c r="O34" s="35" t="inlineStr">
        <is>
          <t>https://bookmypitch.uk/slots/c5d1422b-8c1e-4497-b8a4-13cd96677bdc</t>
        </is>
      </c>
      <c r="P34" s="29" t="inlineStr">
        <is>
          <t>Off-peak 3/player. Priced per player, not per pitch (game is created and charged once full). 4G surface. Calendar only shows up to 7 Oct</t>
        </is>
      </c>
      <c r="Q34" s="29">
        <f>IF(I34="Available",COUNTIFS($A$2:$A$90,A34,$I$2:$I$90,"Available",$F$2:$F$90,"&lt;"&amp;F34)+1,"")</f>
        <v/>
      </c>
      <c r="R34" s="29">
        <f>IF(Q34="","",A34&amp;"#"&amp;Q34)</f>
        <v/>
      </c>
    </row>
    <row r="35">
      <c r="A35" s="29" t="inlineStr">
        <is>
          <t>Stepney 3G</t>
        </is>
      </c>
      <c r="B35" s="50" t="n">
        <v>46302</v>
      </c>
      <c r="C35" s="29" t="inlineStr">
        <is>
          <t>Wed</t>
        </is>
      </c>
      <c r="D35" s="51" t="n">
        <v>0.7708333333333334</v>
      </c>
      <c r="E35" s="51" t="n">
        <v>0.8125</v>
      </c>
      <c r="F35" s="52">
        <f>IF(B35="","",B35+D35)</f>
        <v/>
      </c>
      <c r="G35" s="29" t="inlineStr">
        <is>
          <t>5-a-side</t>
        </is>
      </c>
      <c r="H35" s="29">
        <f>IFERROR(VALUE(LEFT(G35,FIND("-",G35)-1))*2,"")</f>
        <v/>
      </c>
      <c r="I35" s="29" t="inlineStr">
        <is>
          <t>Available</t>
        </is>
      </c>
      <c r="J35" s="53" t="n"/>
      <c r="K35" s="53" t="n">
        <v>5</v>
      </c>
      <c r="L35" s="54">
        <f>IF(J35&lt;&gt;"",IF(H35="","",J35/H35),IF(K35&lt;&gt;"",K35,""))</f>
        <v/>
      </c>
      <c r="M35" s="29" t="inlineStr">
        <is>
          <t>unknown</t>
        </is>
      </c>
      <c r="N35" s="29" t="inlineStr">
        <is>
          <t>BookMyPitch</t>
        </is>
      </c>
      <c r="O35" s="35" t="inlineStr">
        <is>
          <t>https://bookmypitch.uk/slots/c5d1422b-8c1e-4497-b8a4-13cd96677bdc</t>
        </is>
      </c>
      <c r="P35" s="29" t="inlineStr">
        <is>
          <t>Peak 5/player. Priced per player, not per pitch (game is created and charged once full). 4G surface. Calendar only shows up to 7 Oct</t>
        </is>
      </c>
      <c r="Q35" s="29">
        <f>IF(I35="Available",COUNTIFS($A$2:$A$90,A35,$I$2:$I$90,"Available",$F$2:$F$90,"&lt;"&amp;F35)+1,"")</f>
        <v/>
      </c>
      <c r="R35" s="29">
        <f>IF(Q35="","",A35&amp;"#"&amp;Q35)</f>
        <v/>
      </c>
    </row>
    <row r="36">
      <c r="A36" s="29" t="inlineStr">
        <is>
          <t>Stepney 3G</t>
        </is>
      </c>
      <c r="B36" s="50" t="n">
        <v>46302</v>
      </c>
      <c r="C36" s="29" t="inlineStr">
        <is>
          <t>Wed</t>
        </is>
      </c>
      <c r="D36" s="51" t="n">
        <v>0.8125</v>
      </c>
      <c r="E36" s="51" t="n">
        <v>0.8541666666666666</v>
      </c>
      <c r="F36" s="52">
        <f>IF(B36="","",B36+D36)</f>
        <v/>
      </c>
      <c r="G36" s="29" t="inlineStr">
        <is>
          <t>5-a-side</t>
        </is>
      </c>
      <c r="H36" s="29">
        <f>IFERROR(VALUE(LEFT(G36,FIND("-",G36)-1))*2,"")</f>
        <v/>
      </c>
      <c r="I36" s="29" t="inlineStr">
        <is>
          <t>Available</t>
        </is>
      </c>
      <c r="J36" s="53" t="n"/>
      <c r="K36" s="53" t="n">
        <v>5</v>
      </c>
      <c r="L36" s="54">
        <f>IF(J36&lt;&gt;"",IF(H36="","",J36/H36),IF(K36&lt;&gt;"",K36,""))</f>
        <v/>
      </c>
      <c r="M36" s="29" t="inlineStr">
        <is>
          <t>unknown</t>
        </is>
      </c>
      <c r="N36" s="29" t="inlineStr">
        <is>
          <t>BookMyPitch</t>
        </is>
      </c>
      <c r="O36" s="35" t="inlineStr">
        <is>
          <t>https://bookmypitch.uk/slots/c5d1422b-8c1e-4497-b8a4-13cd96677bdc</t>
        </is>
      </c>
      <c r="P36" s="29" t="inlineStr">
        <is>
          <t>Peak 5/player. Priced per player, not per pitch (game is created and charged once full). 4G surface. Calendar only shows up to 7 Oct</t>
        </is>
      </c>
      <c r="Q36" s="29">
        <f>IF(I36="Available",COUNTIFS($A$2:$A$90,A36,$I$2:$I$90,"Available",$F$2:$F$90,"&lt;"&amp;F36)+1,"")</f>
        <v/>
      </c>
      <c r="R36" s="29">
        <f>IF(Q36="","",A36&amp;"#"&amp;Q36)</f>
        <v/>
      </c>
    </row>
    <row r="37">
      <c r="A37" s="29" t="inlineStr">
        <is>
          <t>Stepney 3G</t>
        </is>
      </c>
      <c r="B37" s="50" t="n">
        <v>46302</v>
      </c>
      <c r="C37" s="29" t="inlineStr">
        <is>
          <t>Wed</t>
        </is>
      </c>
      <c r="D37" s="51" t="n">
        <v>0.8541666666666666</v>
      </c>
      <c r="E37" s="51" t="n">
        <v>0.8958333333333334</v>
      </c>
      <c r="F37" s="52">
        <f>IF(B37="","",B37+D37)</f>
        <v/>
      </c>
      <c r="G37" s="29" t="inlineStr">
        <is>
          <t>5-a-side</t>
        </is>
      </c>
      <c r="H37" s="29">
        <f>IFERROR(VALUE(LEFT(G37,FIND("-",G37)-1))*2,"")</f>
        <v/>
      </c>
      <c r="I37" s="29" t="inlineStr">
        <is>
          <t>Available</t>
        </is>
      </c>
      <c r="J37" s="53" t="n"/>
      <c r="K37" s="53" t="n">
        <v>5</v>
      </c>
      <c r="L37" s="54">
        <f>IF(J37&lt;&gt;"",IF(H37="","",J37/H37),IF(K37&lt;&gt;"",K37,""))</f>
        <v/>
      </c>
      <c r="M37" s="29" t="inlineStr">
        <is>
          <t>unknown</t>
        </is>
      </c>
      <c r="N37" s="29" t="inlineStr">
        <is>
          <t>BookMyPitch</t>
        </is>
      </c>
      <c r="O37" s="35" t="inlineStr">
        <is>
          <t>https://bookmypitch.uk/slots/c5d1422b-8c1e-4497-b8a4-13cd96677bdc</t>
        </is>
      </c>
      <c r="P37" s="29" t="inlineStr">
        <is>
          <t>Peak 5/player. Priced per player, not per pitch (game is created and charged once full). 4G surface. Calendar only shows up to 7 Oct</t>
        </is>
      </c>
      <c r="Q37" s="29">
        <f>IF(I37="Available",COUNTIFS($A$2:$A$90,A37,$I$2:$I$90,"Available",$F$2:$F$90,"&lt;"&amp;F37)+1,"")</f>
        <v/>
      </c>
      <c r="R37" s="29">
        <f>IF(Q37="","",A37&amp;"#"&amp;Q37)</f>
        <v/>
      </c>
    </row>
    <row r="38">
      <c r="A38" s="29" t="inlineStr">
        <is>
          <t>Old St - Moreland Primary School</t>
        </is>
      </c>
      <c r="B38" s="50" t="n">
        <v>46297</v>
      </c>
      <c r="C38" s="29" t="inlineStr">
        <is>
          <t>Fri</t>
        </is>
      </c>
      <c r="D38" s="51" t="n">
        <v>0.8333333333333334</v>
      </c>
      <c r="E38" s="51" t="n">
        <v>0.875</v>
      </c>
      <c r="F38" s="52">
        <f>IF(B38="","",B38+D38)</f>
        <v/>
      </c>
      <c r="G38" s="29" t="inlineStr">
        <is>
          <t>6-a-side</t>
        </is>
      </c>
      <c r="H38" s="29">
        <f>IFERROR(VALUE(LEFT(G38,FIND("-",G38)-1))*2,"")</f>
        <v/>
      </c>
      <c r="I38" s="29" t="inlineStr">
        <is>
          <t>Available</t>
        </is>
      </c>
      <c r="J38" s="53" t="n">
        <v>90</v>
      </c>
      <c r="K38" s="53" t="n"/>
      <c r="L38" s="54">
        <f>IF(J38&lt;&gt;"",IF(H38="","",J38/H38),IF(K38&lt;&gt;"",K38,""))</f>
        <v/>
      </c>
      <c r="M38" s="29" t="inlineStr">
        <is>
          <t>yes</t>
        </is>
      </c>
      <c r="N38" s="29" t="inlineStr">
        <is>
          <t>PlayFootball</t>
        </is>
      </c>
      <c r="O38" s="35" t="inlineStr">
        <is>
          <t>https://www.playfootball.net/venues/old-street-moreland-school/book-a-pitch/87/6-a-side3gpitchhire</t>
        </is>
      </c>
      <c r="P38" s="29" t="n"/>
      <c r="Q38" s="29">
        <f>IF(I38="Available",COUNTIFS($A$2:$A$90,A38,$I$2:$I$90,"Available",$F$2:$F$90,"&lt;"&amp;F38)+1,"")</f>
        <v/>
      </c>
      <c r="R38" s="29">
        <f>IF(Q38="","",A38&amp;"#"&amp;Q38)</f>
        <v/>
      </c>
    </row>
    <row r="39">
      <c r="A39" s="29" t="inlineStr">
        <is>
          <t>Old St - Moreland Primary School</t>
        </is>
      </c>
      <c r="B39" s="50" t="n">
        <v>46304</v>
      </c>
      <c r="C39" s="29" t="inlineStr">
        <is>
          <t>Fri</t>
        </is>
      </c>
      <c r="D39" s="51" t="n">
        <v>0.8333333333333334</v>
      </c>
      <c r="E39" s="51" t="n">
        <v>0.875</v>
      </c>
      <c r="F39" s="52">
        <f>IF(B39="","",B39+D39)</f>
        <v/>
      </c>
      <c r="G39" s="29" t="inlineStr">
        <is>
          <t>6-a-side</t>
        </is>
      </c>
      <c r="H39" s="29">
        <f>IFERROR(VALUE(LEFT(G39,FIND("-",G39)-1))*2,"")</f>
        <v/>
      </c>
      <c r="I39" s="29" t="inlineStr">
        <is>
          <t>Available</t>
        </is>
      </c>
      <c r="J39" s="53" t="n">
        <v>90</v>
      </c>
      <c r="K39" s="53" t="n"/>
      <c r="L39" s="54">
        <f>IF(J39&lt;&gt;"",IF(H39="","",J39/H39),IF(K39&lt;&gt;"",K39,""))</f>
        <v/>
      </c>
      <c r="M39" s="29" t="inlineStr">
        <is>
          <t>yes</t>
        </is>
      </c>
      <c r="N39" s="29" t="inlineStr">
        <is>
          <t>PlayFootball</t>
        </is>
      </c>
      <c r="O39" s="35" t="inlineStr">
        <is>
          <t>https://www.playfootball.net/venues/old-street-moreland-school/book-a-pitch/87/6-a-side3gpitchhire</t>
        </is>
      </c>
      <c r="P39" s="29" t="n"/>
      <c r="Q39" s="29">
        <f>IF(I39="Available",COUNTIFS($A$2:$A$90,A39,$I$2:$I$90,"Available",$F$2:$F$90,"&lt;"&amp;F39)+1,"")</f>
        <v/>
      </c>
      <c r="R39" s="29">
        <f>IF(Q39="","",A39&amp;"#"&amp;Q39)</f>
        <v/>
      </c>
    </row>
    <row r="40">
      <c r="A40" s="29" t="inlineStr">
        <is>
          <t>Old St - Moreland Primary School</t>
        </is>
      </c>
      <c r="B40" s="50" t="n">
        <v>46307</v>
      </c>
      <c r="C40" s="29" t="inlineStr">
        <is>
          <t>Mon</t>
        </is>
      </c>
      <c r="D40" s="51" t="n">
        <v>0.75</v>
      </c>
      <c r="E40" s="51" t="n">
        <v>0.7916666666666666</v>
      </c>
      <c r="F40" s="52">
        <f>IF(B40="","",B40+D40)</f>
        <v/>
      </c>
      <c r="G40" s="29" t="inlineStr">
        <is>
          <t>6-a-side</t>
        </is>
      </c>
      <c r="H40" s="29">
        <f>IFERROR(VALUE(LEFT(G40,FIND("-",G40)-1))*2,"")</f>
        <v/>
      </c>
      <c r="I40" s="29" t="inlineStr">
        <is>
          <t>Available</t>
        </is>
      </c>
      <c r="J40" s="53" t="n">
        <v>90</v>
      </c>
      <c r="K40" s="53" t="n"/>
      <c r="L40" s="54">
        <f>IF(J40&lt;&gt;"",IF(H40="","",J40/H40),IF(K40&lt;&gt;"",K40,""))</f>
        <v/>
      </c>
      <c r="M40" s="29" t="inlineStr">
        <is>
          <t>yes</t>
        </is>
      </c>
      <c r="N40" s="29" t="inlineStr">
        <is>
          <t>PlayFootball</t>
        </is>
      </c>
      <c r="O40" s="35" t="inlineStr">
        <is>
          <t>https://www.playfootball.net/venues/old-street-moreland-school/book-a-pitch/87/6-a-side3gpitchhire</t>
        </is>
      </c>
      <c r="P40" s="29" t="n"/>
      <c r="Q40" s="29">
        <f>IF(I40="Available",COUNTIFS($A$2:$A$90,A40,$I$2:$I$90,"Available",$F$2:$F$90,"&lt;"&amp;F40)+1,"")</f>
        <v/>
      </c>
      <c r="R40" s="29">
        <f>IF(Q40="","",A40&amp;"#"&amp;Q40)</f>
        <v/>
      </c>
    </row>
    <row r="41">
      <c r="A41" s="29" t="inlineStr">
        <is>
          <t>Old St - Moreland Primary School</t>
        </is>
      </c>
      <c r="B41" s="50" t="n">
        <v>46307</v>
      </c>
      <c r="C41" s="29" t="inlineStr">
        <is>
          <t>Mon</t>
        </is>
      </c>
      <c r="D41" s="51" t="n">
        <v>0.7916666666666666</v>
      </c>
      <c r="E41" s="51" t="n">
        <v>0.8333333333333334</v>
      </c>
      <c r="F41" s="52">
        <f>IF(B41="","",B41+D41)</f>
        <v/>
      </c>
      <c r="G41" s="29" t="inlineStr">
        <is>
          <t>6-a-side</t>
        </is>
      </c>
      <c r="H41" s="29">
        <f>IFERROR(VALUE(LEFT(G41,FIND("-",G41)-1))*2,"")</f>
        <v/>
      </c>
      <c r="I41" s="29" t="inlineStr">
        <is>
          <t>Available</t>
        </is>
      </c>
      <c r="J41" s="53" t="n">
        <v>90</v>
      </c>
      <c r="K41" s="53" t="n"/>
      <c r="L41" s="54">
        <f>IF(J41&lt;&gt;"",IF(H41="","",J41/H41),IF(K41&lt;&gt;"",K41,""))</f>
        <v/>
      </c>
      <c r="M41" s="29" t="inlineStr">
        <is>
          <t>yes</t>
        </is>
      </c>
      <c r="N41" s="29" t="inlineStr">
        <is>
          <t>PlayFootball</t>
        </is>
      </c>
      <c r="O41" s="35" t="inlineStr">
        <is>
          <t>https://www.playfootball.net/venues/old-street-moreland-school/book-a-pitch/87/6-a-side3gpitchhire</t>
        </is>
      </c>
      <c r="P41" s="29" t="n"/>
      <c r="Q41" s="29">
        <f>IF(I41="Available",COUNTIFS($A$2:$A$90,A41,$I$2:$I$90,"Available",$F$2:$F$90,"&lt;"&amp;F41)+1,"")</f>
        <v/>
      </c>
      <c r="R41" s="29">
        <f>IF(Q41="","",A41&amp;"#"&amp;Q41)</f>
        <v/>
      </c>
    </row>
    <row r="42">
      <c r="A42" s="29" t="inlineStr">
        <is>
          <t>Old St - Moreland Primary School</t>
        </is>
      </c>
      <c r="B42" s="50" t="n">
        <v>46307</v>
      </c>
      <c r="C42" s="29" t="inlineStr">
        <is>
          <t>Mon</t>
        </is>
      </c>
      <c r="D42" s="51" t="n">
        <v>0.8333333333333334</v>
      </c>
      <c r="E42" s="51" t="n">
        <v>0.875</v>
      </c>
      <c r="F42" s="52">
        <f>IF(B42="","",B42+D42)</f>
        <v/>
      </c>
      <c r="G42" s="29" t="inlineStr">
        <is>
          <t>6-a-side</t>
        </is>
      </c>
      <c r="H42" s="29">
        <f>IFERROR(VALUE(LEFT(G42,FIND("-",G42)-1))*2,"")</f>
        <v/>
      </c>
      <c r="I42" s="29" t="inlineStr">
        <is>
          <t>Available</t>
        </is>
      </c>
      <c r="J42" s="53" t="n">
        <v>90</v>
      </c>
      <c r="K42" s="53" t="n"/>
      <c r="L42" s="54">
        <f>IF(J42&lt;&gt;"",IF(H42="","",J42/H42),IF(K42&lt;&gt;"",K42,""))</f>
        <v/>
      </c>
      <c r="M42" s="29" t="inlineStr">
        <is>
          <t>yes</t>
        </is>
      </c>
      <c r="N42" s="29" t="inlineStr">
        <is>
          <t>PlayFootball</t>
        </is>
      </c>
      <c r="O42" s="35" t="inlineStr">
        <is>
          <t>https://www.playfootball.net/venues/old-street-moreland-school/book-a-pitch/87/6-a-side3gpitchhire</t>
        </is>
      </c>
      <c r="P42" s="29" t="n"/>
      <c r="Q42" s="29">
        <f>IF(I42="Available",COUNTIFS($A$2:$A$90,A42,$I$2:$I$90,"Available",$F$2:$F$90,"&lt;"&amp;F42)+1,"")</f>
        <v/>
      </c>
      <c r="R42" s="29">
        <f>IF(Q42="","",A42&amp;"#"&amp;Q42)</f>
        <v/>
      </c>
    </row>
    <row r="43">
      <c r="A43" s="29" t="inlineStr">
        <is>
          <t>Old St - Moreland Primary School</t>
        </is>
      </c>
      <c r="B43" s="50" t="n">
        <v>46311</v>
      </c>
      <c r="C43" s="29" t="inlineStr">
        <is>
          <t>Fri</t>
        </is>
      </c>
      <c r="D43" s="51" t="n">
        <v>0.8333333333333334</v>
      </c>
      <c r="E43" s="51" t="n">
        <v>0.875</v>
      </c>
      <c r="F43" s="52">
        <f>IF(B43="","",B43+D43)</f>
        <v/>
      </c>
      <c r="G43" s="29" t="inlineStr">
        <is>
          <t>6-a-side</t>
        </is>
      </c>
      <c r="H43" s="29">
        <f>IFERROR(VALUE(LEFT(G43,FIND("-",G43)-1))*2,"")</f>
        <v/>
      </c>
      <c r="I43" s="29" t="inlineStr">
        <is>
          <t>Available</t>
        </is>
      </c>
      <c r="J43" s="53" t="n">
        <v>90</v>
      </c>
      <c r="K43" s="53" t="n"/>
      <c r="L43" s="54">
        <f>IF(J43&lt;&gt;"",IF(H43="","",J43/H43),IF(K43&lt;&gt;"",K43,""))</f>
        <v/>
      </c>
      <c r="M43" s="29" t="inlineStr">
        <is>
          <t>yes</t>
        </is>
      </c>
      <c r="N43" s="29" t="inlineStr">
        <is>
          <t>PlayFootball</t>
        </is>
      </c>
      <c r="O43" s="35" t="inlineStr">
        <is>
          <t>https://www.playfootball.net/venues/old-street-moreland-school/book-a-pitch/87/6-a-side3gpitchhire</t>
        </is>
      </c>
      <c r="P43" s="29" t="n"/>
      <c r="Q43" s="29">
        <f>IF(I43="Available",COUNTIFS($A$2:$A$90,A43,$I$2:$I$90,"Available",$F$2:$F$90,"&lt;"&amp;F43)+1,"")</f>
        <v/>
      </c>
      <c r="R43" s="29">
        <f>IF(Q43="","",A43&amp;"#"&amp;Q43)</f>
        <v/>
      </c>
    </row>
    <row r="44">
      <c r="A44" s="29" t="inlineStr">
        <is>
          <t>Old St - Moreland Primary School</t>
        </is>
      </c>
      <c r="B44" s="50" t="n">
        <v>46314</v>
      </c>
      <c r="C44" s="29" t="inlineStr">
        <is>
          <t>Mon</t>
        </is>
      </c>
      <c r="D44" s="51" t="n">
        <v>0.75</v>
      </c>
      <c r="E44" s="51" t="n">
        <v>0.7916666666666666</v>
      </c>
      <c r="F44" s="52">
        <f>IF(B44="","",B44+D44)</f>
        <v/>
      </c>
      <c r="G44" s="29" t="inlineStr">
        <is>
          <t>6-a-side</t>
        </is>
      </c>
      <c r="H44" s="29">
        <f>IFERROR(VALUE(LEFT(G44,FIND("-",G44)-1))*2,"")</f>
        <v/>
      </c>
      <c r="I44" s="29" t="inlineStr">
        <is>
          <t>Available</t>
        </is>
      </c>
      <c r="J44" s="53" t="n">
        <v>90</v>
      </c>
      <c r="K44" s="53" t="n"/>
      <c r="L44" s="54">
        <f>IF(J44&lt;&gt;"",IF(H44="","",J44/H44),IF(K44&lt;&gt;"",K44,""))</f>
        <v/>
      </c>
      <c r="M44" s="29" t="inlineStr">
        <is>
          <t>yes</t>
        </is>
      </c>
      <c r="N44" s="29" t="inlineStr">
        <is>
          <t>PlayFootball</t>
        </is>
      </c>
      <c r="O44" s="35" t="inlineStr">
        <is>
          <t>https://www.playfootball.net/venues/old-street-moreland-school/book-a-pitch/87/6-a-side3gpitchhire</t>
        </is>
      </c>
      <c r="P44" s="29" t="inlineStr">
        <is>
          <t>Bookable 30 days ahead so 21-23 Oct not open yet</t>
        </is>
      </c>
      <c r="Q44" s="29">
        <f>IF(I44="Available",COUNTIFS($A$2:$A$90,A44,$I$2:$I$90,"Available",$F$2:$F$90,"&lt;"&amp;F44)+1,"")</f>
        <v/>
      </c>
      <c r="R44" s="29">
        <f>IF(Q44="","",A44&amp;"#"&amp;Q44)</f>
        <v/>
      </c>
    </row>
    <row r="45">
      <c r="A45" s="29" t="inlineStr">
        <is>
          <t>Old St - Moreland Primary School</t>
        </is>
      </c>
      <c r="B45" s="50" t="n">
        <v>46314</v>
      </c>
      <c r="C45" s="29" t="inlineStr">
        <is>
          <t>Mon</t>
        </is>
      </c>
      <c r="D45" s="51" t="n">
        <v>0.7916666666666666</v>
      </c>
      <c r="E45" s="51" t="n">
        <v>0.8333333333333334</v>
      </c>
      <c r="F45" s="52">
        <f>IF(B45="","",B45+D45)</f>
        <v/>
      </c>
      <c r="G45" s="29" t="inlineStr">
        <is>
          <t>6-a-side</t>
        </is>
      </c>
      <c r="H45" s="29">
        <f>IFERROR(VALUE(LEFT(G45,FIND("-",G45)-1))*2,"")</f>
        <v/>
      </c>
      <c r="I45" s="29" t="inlineStr">
        <is>
          <t>Available</t>
        </is>
      </c>
      <c r="J45" s="53" t="n">
        <v>90</v>
      </c>
      <c r="K45" s="53" t="n"/>
      <c r="L45" s="54">
        <f>IF(J45&lt;&gt;"",IF(H45="","",J45/H45),IF(K45&lt;&gt;"",K45,""))</f>
        <v/>
      </c>
      <c r="M45" s="29" t="inlineStr">
        <is>
          <t>yes</t>
        </is>
      </c>
      <c r="N45" s="29" t="inlineStr">
        <is>
          <t>PlayFootball</t>
        </is>
      </c>
      <c r="O45" s="35" t="inlineStr">
        <is>
          <t>https://www.playfootball.net/venues/old-street-moreland-school/book-a-pitch/87/6-a-side3gpitchhire</t>
        </is>
      </c>
      <c r="P45" s="29" t="inlineStr">
        <is>
          <t>Bookable 30 days ahead so 21-23 Oct not open yet</t>
        </is>
      </c>
      <c r="Q45" s="29">
        <f>IF(I45="Available",COUNTIFS($A$2:$A$90,A45,$I$2:$I$90,"Available",$F$2:$F$90,"&lt;"&amp;F45)+1,"")</f>
        <v/>
      </c>
      <c r="R45" s="29">
        <f>IF(Q45="","",A45&amp;"#"&amp;Q45)</f>
        <v/>
      </c>
    </row>
    <row r="46">
      <c r="A46" s="29" t="inlineStr">
        <is>
          <t>Old St - Moreland Primary School</t>
        </is>
      </c>
      <c r="B46" s="50" t="n">
        <v>46314</v>
      </c>
      <c r="C46" s="29" t="inlineStr">
        <is>
          <t>Mon</t>
        </is>
      </c>
      <c r="D46" s="51" t="n">
        <v>0.8333333333333334</v>
      </c>
      <c r="E46" s="51" t="n">
        <v>0.875</v>
      </c>
      <c r="F46" s="52">
        <f>IF(B46="","",B46+D46)</f>
        <v/>
      </c>
      <c r="G46" s="29" t="inlineStr">
        <is>
          <t>6-a-side</t>
        </is>
      </c>
      <c r="H46" s="29">
        <f>IFERROR(VALUE(LEFT(G46,FIND("-",G46)-1))*2,"")</f>
        <v/>
      </c>
      <c r="I46" s="29" t="inlineStr">
        <is>
          <t>Available</t>
        </is>
      </c>
      <c r="J46" s="53" t="n">
        <v>90</v>
      </c>
      <c r="K46" s="53" t="n"/>
      <c r="L46" s="54">
        <f>IF(J46&lt;&gt;"",IF(H46="","",J46/H46),IF(K46&lt;&gt;"",K46,""))</f>
        <v/>
      </c>
      <c r="M46" s="29" t="inlineStr">
        <is>
          <t>yes</t>
        </is>
      </c>
      <c r="N46" s="29" t="inlineStr">
        <is>
          <t>PlayFootball</t>
        </is>
      </c>
      <c r="O46" s="35" t="inlineStr">
        <is>
          <t>https://www.playfootball.net/venues/old-street-moreland-school/book-a-pitch/87/6-a-side3gpitchhire</t>
        </is>
      </c>
      <c r="P46" s="29" t="inlineStr">
        <is>
          <t>Bookable 30 days ahead so 21-23 Oct not open yet</t>
        </is>
      </c>
      <c r="Q46" s="29">
        <f>IF(I46="Available",COUNTIFS($A$2:$A$90,A46,$I$2:$I$90,"Available",$F$2:$F$90,"&lt;"&amp;F46)+1,"")</f>
        <v/>
      </c>
      <c r="R46" s="29">
        <f>IF(Q46="","",A46&amp;"#"&amp;Q46)</f>
        <v/>
      </c>
    </row>
    <row r="47">
      <c r="A47" s="29" t="inlineStr">
        <is>
          <t>Old St - Moreland Primary School</t>
        </is>
      </c>
      <c r="B47" s="50" t="n">
        <v>46315</v>
      </c>
      <c r="C47" s="29" t="inlineStr">
        <is>
          <t>Tue</t>
        </is>
      </c>
      <c r="D47" s="51" t="n">
        <v>0.75</v>
      </c>
      <c r="E47" s="51" t="n">
        <v>0.7916666666666666</v>
      </c>
      <c r="F47" s="52">
        <f>IF(B47="","",B47+D47)</f>
        <v/>
      </c>
      <c r="G47" s="29" t="inlineStr">
        <is>
          <t>6-a-side</t>
        </is>
      </c>
      <c r="H47" s="29">
        <f>IFERROR(VALUE(LEFT(G47,FIND("-",G47)-1))*2,"")</f>
        <v/>
      </c>
      <c r="I47" s="29" t="inlineStr">
        <is>
          <t>Available</t>
        </is>
      </c>
      <c r="J47" s="53" t="n">
        <v>90</v>
      </c>
      <c r="K47" s="53" t="n"/>
      <c r="L47" s="54">
        <f>IF(J47&lt;&gt;"",IF(H47="","",J47/H47),IF(K47&lt;&gt;"",K47,""))</f>
        <v/>
      </c>
      <c r="M47" s="29" t="inlineStr">
        <is>
          <t>yes</t>
        </is>
      </c>
      <c r="N47" s="29" t="inlineStr">
        <is>
          <t>PlayFootball</t>
        </is>
      </c>
      <c r="O47" s="35" t="inlineStr">
        <is>
          <t>https://www.playfootball.net/venues/old-street-moreland-school/book-a-pitch/87/6-a-side3gpitchhire</t>
        </is>
      </c>
      <c r="P47" s="29" t="inlineStr">
        <is>
          <t>Bookable 30 days ahead so 21-23 Oct not open yet</t>
        </is>
      </c>
      <c r="Q47" s="29">
        <f>IF(I47="Available",COUNTIFS($A$2:$A$90,A47,$I$2:$I$90,"Available",$F$2:$F$90,"&lt;"&amp;F47)+1,"")</f>
        <v/>
      </c>
      <c r="R47" s="29">
        <f>IF(Q47="","",A47&amp;"#"&amp;Q47)</f>
        <v/>
      </c>
    </row>
    <row r="48">
      <c r="A48" s="29" t="inlineStr">
        <is>
          <t>Old St - Moreland Primary School</t>
        </is>
      </c>
      <c r="B48" s="50" t="n">
        <v>46315</v>
      </c>
      <c r="C48" s="29" t="inlineStr">
        <is>
          <t>Tue</t>
        </is>
      </c>
      <c r="D48" s="51" t="n">
        <v>0.7916666666666666</v>
      </c>
      <c r="E48" s="51" t="n">
        <v>0.8333333333333334</v>
      </c>
      <c r="F48" s="52">
        <f>IF(B48="","",B48+D48)</f>
        <v/>
      </c>
      <c r="G48" s="29" t="inlineStr">
        <is>
          <t>6-a-side</t>
        </is>
      </c>
      <c r="H48" s="29">
        <f>IFERROR(VALUE(LEFT(G48,FIND("-",G48)-1))*2,"")</f>
        <v/>
      </c>
      <c r="I48" s="29" t="inlineStr">
        <is>
          <t>Available</t>
        </is>
      </c>
      <c r="J48" s="53" t="n">
        <v>90</v>
      </c>
      <c r="K48" s="53" t="n"/>
      <c r="L48" s="54">
        <f>IF(J48&lt;&gt;"",IF(H48="","",J48/H48),IF(K48&lt;&gt;"",K48,""))</f>
        <v/>
      </c>
      <c r="M48" s="29" t="inlineStr">
        <is>
          <t>yes</t>
        </is>
      </c>
      <c r="N48" s="29" t="inlineStr">
        <is>
          <t>PlayFootball</t>
        </is>
      </c>
      <c r="O48" s="35" t="inlineStr">
        <is>
          <t>https://www.playfootball.net/venues/old-street-moreland-school/book-a-pitch/87/6-a-side3gpitchhire</t>
        </is>
      </c>
      <c r="P48" s="29" t="inlineStr">
        <is>
          <t>Bookable 30 days ahead so 21-23 Oct not open yet</t>
        </is>
      </c>
      <c r="Q48" s="29">
        <f>IF(I48="Available",COUNTIFS($A$2:$A$90,A48,$I$2:$I$90,"Available",$F$2:$F$90,"&lt;"&amp;F48)+1,"")</f>
        <v/>
      </c>
      <c r="R48" s="29">
        <f>IF(Q48="","",A48&amp;"#"&amp;Q48)</f>
        <v/>
      </c>
    </row>
    <row r="49">
      <c r="A49" s="29" t="inlineStr">
        <is>
          <t>Old St - Moreland Primary School</t>
        </is>
      </c>
      <c r="B49" s="50" t="n">
        <v>46315</v>
      </c>
      <c r="C49" s="29" t="inlineStr">
        <is>
          <t>Tue</t>
        </is>
      </c>
      <c r="D49" s="51" t="n">
        <v>0.8333333333333334</v>
      </c>
      <c r="E49" s="51" t="n">
        <v>0.875</v>
      </c>
      <c r="F49" s="52">
        <f>IF(B49="","",B49+D49)</f>
        <v/>
      </c>
      <c r="G49" s="29" t="inlineStr">
        <is>
          <t>6-a-side</t>
        </is>
      </c>
      <c r="H49" s="29">
        <f>IFERROR(VALUE(LEFT(G49,FIND("-",G49)-1))*2,"")</f>
        <v/>
      </c>
      <c r="I49" s="29" t="inlineStr">
        <is>
          <t>Available</t>
        </is>
      </c>
      <c r="J49" s="53" t="n">
        <v>90</v>
      </c>
      <c r="K49" s="53" t="n"/>
      <c r="L49" s="54">
        <f>IF(J49&lt;&gt;"",IF(H49="","",J49/H49),IF(K49&lt;&gt;"",K49,""))</f>
        <v/>
      </c>
      <c r="M49" s="29" t="inlineStr">
        <is>
          <t>yes</t>
        </is>
      </c>
      <c r="N49" s="29" t="inlineStr">
        <is>
          <t>PlayFootball</t>
        </is>
      </c>
      <c r="O49" s="35" t="inlineStr">
        <is>
          <t>https://www.playfootball.net/venues/old-street-moreland-school/book-a-pitch/87/6-a-side3gpitchhire</t>
        </is>
      </c>
      <c r="P49" s="29" t="inlineStr">
        <is>
          <t>Bookable 30 days ahead so 21-23 Oct not open yet</t>
        </is>
      </c>
      <c r="Q49" s="29">
        <f>IF(I49="Available",COUNTIFS($A$2:$A$90,A49,$I$2:$I$90,"Available",$F$2:$F$90,"&lt;"&amp;F49)+1,"")</f>
        <v/>
      </c>
      <c r="R49" s="29">
        <f>IF(Q49="","",A49&amp;"#"&amp;Q49)</f>
        <v/>
      </c>
    </row>
    <row r="50">
      <c r="A50" s="29" t="inlineStr">
        <is>
          <t>Hackney</t>
        </is>
      </c>
      <c r="B50" s="50" t="n">
        <v>46297</v>
      </c>
      <c r="C50" s="29" t="inlineStr">
        <is>
          <t>Fri</t>
        </is>
      </c>
      <c r="D50" s="51" t="n">
        <v>0.8333333333333334</v>
      </c>
      <c r="E50" s="51" t="n">
        <v>0.875</v>
      </c>
      <c r="F50" s="52">
        <f>IF(B50="","",B50+D50)</f>
        <v/>
      </c>
      <c r="G50" s="29" t="inlineStr">
        <is>
          <t>7-a-side</t>
        </is>
      </c>
      <c r="H50" s="29">
        <f>IFERROR(VALUE(LEFT(G50,FIND("-",G50)-1))*2,"")</f>
        <v/>
      </c>
      <c r="I50" s="29" t="inlineStr">
        <is>
          <t>Available</t>
        </is>
      </c>
      <c r="J50" s="53" t="n">
        <v>97.54000000000001</v>
      </c>
      <c r="K50" s="53" t="n"/>
      <c r="L50" s="54">
        <f>IF(J50&lt;&gt;"",IF(H50="","",J50/H50),IF(K50&lt;&gt;"",K50,""))</f>
        <v/>
      </c>
      <c r="M50" s="29" t="inlineStr">
        <is>
          <t>yes</t>
        </is>
      </c>
      <c r="N50" s="29" t="inlineStr">
        <is>
          <t>enni.space (The City Academy Hackney)</t>
        </is>
      </c>
      <c r="O50" s="35" t="inlineStr">
        <is>
          <t>https://enni.space/search/2872-city-academy-hackney-3g-pitch</t>
        </is>
      </c>
      <c r="P50" s="29" t="inlineStr">
        <is>
          <t>Pitch free 20:00-22:00. Listed as price-from per hour. Booked by request, not instant. Floodlit per school site</t>
        </is>
      </c>
      <c r="Q50" s="29">
        <f>IF(I50="Available",COUNTIFS($A$2:$A$90,A50,$I$2:$I$90,"Available",$F$2:$F$90,"&lt;"&amp;F50)+1,"")</f>
        <v/>
      </c>
      <c r="R50" s="29">
        <f>IF(Q50="","",A50&amp;"#"&amp;Q50)</f>
        <v/>
      </c>
    </row>
    <row r="51">
      <c r="A51" s="29" t="inlineStr">
        <is>
          <t>Hackney</t>
        </is>
      </c>
      <c r="B51" s="50" t="n">
        <v>46304</v>
      </c>
      <c r="C51" s="29" t="inlineStr">
        <is>
          <t>Fri</t>
        </is>
      </c>
      <c r="D51" s="51" t="n">
        <v>0.8333333333333334</v>
      </c>
      <c r="E51" s="51" t="n">
        <v>0.875</v>
      </c>
      <c r="F51" s="52">
        <f>IF(B51="","",B51+D51)</f>
        <v/>
      </c>
      <c r="G51" s="29" t="inlineStr">
        <is>
          <t>7-a-side</t>
        </is>
      </c>
      <c r="H51" s="29">
        <f>IFERROR(VALUE(LEFT(G51,FIND("-",G51)-1))*2,"")</f>
        <v/>
      </c>
      <c r="I51" s="29" t="inlineStr">
        <is>
          <t>Available</t>
        </is>
      </c>
      <c r="J51" s="53" t="n">
        <v>97.54000000000001</v>
      </c>
      <c r="K51" s="53" t="n"/>
      <c r="L51" s="54">
        <f>IF(J51&lt;&gt;"",IF(H51="","",J51/H51),IF(K51&lt;&gt;"",K51,""))</f>
        <v/>
      </c>
      <c r="M51" s="29" t="inlineStr">
        <is>
          <t>yes</t>
        </is>
      </c>
      <c r="N51" s="29" t="inlineStr">
        <is>
          <t>enni.space (The City Academy Hackney)</t>
        </is>
      </c>
      <c r="O51" s="35" t="inlineStr">
        <is>
          <t>https://enni.space/search/2872-city-academy-hackney-3g-pitch</t>
        </is>
      </c>
      <c r="P51" s="29" t="inlineStr">
        <is>
          <t>Pitch free 20:00-22:00. Listed as price-from per hour. Booked by request, not instant. Floodlit per school site</t>
        </is>
      </c>
      <c r="Q51" s="29">
        <f>IF(I51="Available",COUNTIFS($A$2:$A$90,A51,$I$2:$I$90,"Available",$F$2:$F$90,"&lt;"&amp;F51)+1,"")</f>
        <v/>
      </c>
      <c r="R51" s="29">
        <f>IF(Q51="","",A51&amp;"#"&amp;Q51)</f>
        <v/>
      </c>
    </row>
    <row r="52">
      <c r="A52" s="29" t="inlineStr">
        <is>
          <t>Hackney</t>
        </is>
      </c>
      <c r="B52" s="50" t="n">
        <v>46311</v>
      </c>
      <c r="C52" s="29" t="inlineStr">
        <is>
          <t>Fri</t>
        </is>
      </c>
      <c r="D52" s="51" t="n">
        <v>0.8333333333333334</v>
      </c>
      <c r="E52" s="51" t="n">
        <v>0.875</v>
      </c>
      <c r="F52" s="52">
        <f>IF(B52="","",B52+D52)</f>
        <v/>
      </c>
      <c r="G52" s="29" t="inlineStr">
        <is>
          <t>7-a-side</t>
        </is>
      </c>
      <c r="H52" s="29">
        <f>IFERROR(VALUE(LEFT(G52,FIND("-",G52)-1))*2,"")</f>
        <v/>
      </c>
      <c r="I52" s="29" t="inlineStr">
        <is>
          <t>Available</t>
        </is>
      </c>
      <c r="J52" s="53" t="n">
        <v>97.54000000000001</v>
      </c>
      <c r="K52" s="53" t="n"/>
      <c r="L52" s="54">
        <f>IF(J52&lt;&gt;"",IF(H52="","",J52/H52),IF(K52&lt;&gt;"",K52,""))</f>
        <v/>
      </c>
      <c r="M52" s="29" t="inlineStr">
        <is>
          <t>yes</t>
        </is>
      </c>
      <c r="N52" s="29" t="inlineStr">
        <is>
          <t>enni.space (The City Academy Hackney)</t>
        </is>
      </c>
      <c r="O52" s="35" t="inlineStr">
        <is>
          <t>https://enni.space/search/2872-city-academy-hackney-3g-pitch</t>
        </is>
      </c>
      <c r="P52" s="29" t="inlineStr">
        <is>
          <t>Pitch free 20:00-22:00. Listed as price-from per hour. Booked by request, not instant. Floodlit per school site</t>
        </is>
      </c>
      <c r="Q52" s="29">
        <f>IF(I52="Available",COUNTIFS($A$2:$A$90,A52,$I$2:$I$90,"Available",$F$2:$F$90,"&lt;"&amp;F52)+1,"")</f>
        <v/>
      </c>
      <c r="R52" s="29">
        <f>IF(Q52="","",A52&amp;"#"&amp;Q52)</f>
        <v/>
      </c>
    </row>
    <row r="53">
      <c r="A53" s="29" t="inlineStr">
        <is>
          <t>Hackney</t>
        </is>
      </c>
      <c r="B53" s="50" t="n">
        <v>46318</v>
      </c>
      <c r="C53" s="29" t="inlineStr">
        <is>
          <t>Fri</t>
        </is>
      </c>
      <c r="D53" s="51" t="n">
        <v>0.8333333333333334</v>
      </c>
      <c r="E53" s="51" t="n">
        <v>0.875</v>
      </c>
      <c r="F53" s="52">
        <f>IF(B53="","",B53+D53)</f>
        <v/>
      </c>
      <c r="G53" s="29" t="inlineStr">
        <is>
          <t>7-a-side</t>
        </is>
      </c>
      <c r="H53" s="29">
        <f>IFERROR(VALUE(LEFT(G53,FIND("-",G53)-1))*2,"")</f>
        <v/>
      </c>
      <c r="I53" s="29" t="inlineStr">
        <is>
          <t>Available</t>
        </is>
      </c>
      <c r="J53" s="53" t="n">
        <v>97.54000000000001</v>
      </c>
      <c r="K53" s="53" t="n"/>
      <c r="L53" s="54">
        <f>IF(J53&lt;&gt;"",IF(H53="","",J53/H53),IF(K53&lt;&gt;"",K53,""))</f>
        <v/>
      </c>
      <c r="M53" s="29" t="inlineStr">
        <is>
          <t>yes</t>
        </is>
      </c>
      <c r="N53" s="29" t="inlineStr">
        <is>
          <t>enni.space (The City Academy Hackney)</t>
        </is>
      </c>
      <c r="O53" s="35" t="inlineStr">
        <is>
          <t>https://enni.space/search/2872-city-academy-hackney-3g-pitch</t>
        </is>
      </c>
      <c r="P53" s="29" t="inlineStr">
        <is>
          <t>Pitch free 20:00-22:00. Listed as price-from per hour. Booked by request, not instant. Floodlit per school site</t>
        </is>
      </c>
      <c r="Q53" s="29">
        <f>IF(I53="Available",COUNTIFS($A$2:$A$90,A53,$I$2:$I$90,"Available",$F$2:$F$90,"&lt;"&amp;F53)+1,"")</f>
        <v/>
      </c>
      <c r="R53" s="29">
        <f>IF(Q53="","",A53&amp;"#"&amp;Q53)</f>
        <v/>
      </c>
    </row>
    <row r="54">
      <c r="A54" s="29" t="inlineStr">
        <is>
          <t>COLA Shoreditch Park</t>
        </is>
      </c>
      <c r="B54" s="50" t="n">
        <v>46294</v>
      </c>
      <c r="C54" s="29" t="inlineStr">
        <is>
          <t>Tue</t>
        </is>
      </c>
      <c r="D54" s="51" t="n">
        <v>0.7291666666666666</v>
      </c>
      <c r="E54" s="51" t="n">
        <v>0.7708333333333334</v>
      </c>
      <c r="F54" s="52">
        <f>IF(B54="","",B54+D54)</f>
        <v/>
      </c>
      <c r="G54" s="29" t="inlineStr">
        <is>
          <t>5-a-side</t>
        </is>
      </c>
      <c r="H54" s="29">
        <f>IFERROR(VALUE(LEFT(G54,FIND("-",G54)-1))*2,"")</f>
        <v/>
      </c>
      <c r="I54" s="29" t="inlineStr">
        <is>
          <t>Available</t>
        </is>
      </c>
      <c r="J54" s="53" t="n">
        <v>90.97</v>
      </c>
      <c r="K54" s="53" t="n"/>
      <c r="L54" s="54">
        <f>IF(J54&lt;&gt;"",IF(H54="","",J54/H54),IF(K54&lt;&gt;"",K54,""))</f>
        <v/>
      </c>
      <c r="M54" s="29" t="inlineStr">
        <is>
          <t>unknown</t>
        </is>
      </c>
      <c r="N54" s="29" t="inlineStr">
        <is>
          <t>enni.space (City of London Academy Shoreditch Park)</t>
        </is>
      </c>
      <c r="O54" s="35" t="inlineStr">
        <is>
          <t>https://enni.space/search/21782-cola-shoreditch-park-3g-5-a-side-pitch</t>
        </is>
      </c>
      <c r="P54" s="29" t="inlineStr">
        <is>
          <t>Pitch free 17:30-19:00. Rooftop 3G. Price-from per hour</t>
        </is>
      </c>
      <c r="Q54" s="29">
        <f>IF(I54="Available",COUNTIFS($A$2:$A$90,A54,$I$2:$I$90,"Available",$F$2:$F$90,"&lt;"&amp;F54)+1,"")</f>
        <v/>
      </c>
      <c r="R54" s="29">
        <f>IF(Q54="","",A54&amp;"#"&amp;Q54)</f>
        <v/>
      </c>
    </row>
    <row r="55">
      <c r="A55" s="29" t="inlineStr">
        <is>
          <t>COLA Shoreditch Park</t>
        </is>
      </c>
      <c r="B55" s="50" t="n">
        <v>46301</v>
      </c>
      <c r="C55" s="29" t="inlineStr">
        <is>
          <t>Tue</t>
        </is>
      </c>
      <c r="D55" s="51" t="n">
        <v>0.7291666666666666</v>
      </c>
      <c r="E55" s="51" t="n">
        <v>0.7708333333333334</v>
      </c>
      <c r="F55" s="52">
        <f>IF(B55="","",B55+D55)</f>
        <v/>
      </c>
      <c r="G55" s="29" t="inlineStr">
        <is>
          <t>5-a-side</t>
        </is>
      </c>
      <c r="H55" s="29">
        <f>IFERROR(VALUE(LEFT(G55,FIND("-",G55)-1))*2,"")</f>
        <v/>
      </c>
      <c r="I55" s="29" t="inlineStr">
        <is>
          <t>Available</t>
        </is>
      </c>
      <c r="J55" s="53" t="n">
        <v>90.97</v>
      </c>
      <c r="K55" s="53" t="n"/>
      <c r="L55" s="54">
        <f>IF(J55&lt;&gt;"",IF(H55="","",J55/H55),IF(K55&lt;&gt;"",K55,""))</f>
        <v/>
      </c>
      <c r="M55" s="29" t="inlineStr">
        <is>
          <t>unknown</t>
        </is>
      </c>
      <c r="N55" s="29" t="inlineStr">
        <is>
          <t>enni.space (City of London Academy Shoreditch Park)</t>
        </is>
      </c>
      <c r="O55" s="35" t="inlineStr">
        <is>
          <t>https://enni.space/search/21782-cola-shoreditch-park-3g-5-a-side-pitch</t>
        </is>
      </c>
      <c r="P55" s="29" t="inlineStr">
        <is>
          <t>Pitch free 17:30-19:00. Rooftop 3G. Price-from per hour</t>
        </is>
      </c>
      <c r="Q55" s="29">
        <f>IF(I55="Available",COUNTIFS($A$2:$A$90,A55,$I$2:$I$90,"Available",$F$2:$F$90,"&lt;"&amp;F55)+1,"")</f>
        <v/>
      </c>
      <c r="R55" s="29">
        <f>IF(Q55="","",A55&amp;"#"&amp;Q55)</f>
        <v/>
      </c>
    </row>
    <row r="56">
      <c r="A56" s="29" t="inlineStr">
        <is>
          <t>COLA Shoreditch Park</t>
        </is>
      </c>
      <c r="B56" s="50" t="n">
        <v>46308</v>
      </c>
      <c r="C56" s="29" t="inlineStr">
        <is>
          <t>Tue</t>
        </is>
      </c>
      <c r="D56" s="51" t="n">
        <v>0.7291666666666666</v>
      </c>
      <c r="E56" s="51" t="n">
        <v>0.7708333333333334</v>
      </c>
      <c r="F56" s="52">
        <f>IF(B56="","",B56+D56)</f>
        <v/>
      </c>
      <c r="G56" s="29" t="inlineStr">
        <is>
          <t>5-a-side</t>
        </is>
      </c>
      <c r="H56" s="29">
        <f>IFERROR(VALUE(LEFT(G56,FIND("-",G56)-1))*2,"")</f>
        <v/>
      </c>
      <c r="I56" s="29" t="inlineStr">
        <is>
          <t>Available</t>
        </is>
      </c>
      <c r="J56" s="53" t="n">
        <v>90.97</v>
      </c>
      <c r="K56" s="53" t="n"/>
      <c r="L56" s="54">
        <f>IF(J56&lt;&gt;"",IF(H56="","",J56/H56),IF(K56&lt;&gt;"",K56,""))</f>
        <v/>
      </c>
      <c r="M56" s="29" t="inlineStr">
        <is>
          <t>unknown</t>
        </is>
      </c>
      <c r="N56" s="29" t="inlineStr">
        <is>
          <t>enni.space (City of London Academy Shoreditch Park)</t>
        </is>
      </c>
      <c r="O56" s="35" t="inlineStr">
        <is>
          <t>https://enni.space/search/21782-cola-shoreditch-park-3g-5-a-side-pitch</t>
        </is>
      </c>
      <c r="P56" s="29" t="inlineStr">
        <is>
          <t>Pitch free 17:30-19:00. Rooftop 3G. Price-from per hour</t>
        </is>
      </c>
      <c r="Q56" s="29">
        <f>IF(I56="Available",COUNTIFS($A$2:$A$90,A56,$I$2:$I$90,"Available",$F$2:$F$90,"&lt;"&amp;F56)+1,"")</f>
        <v/>
      </c>
      <c r="R56" s="29">
        <f>IF(Q56="","",A56&amp;"#"&amp;Q56)</f>
        <v/>
      </c>
    </row>
    <row r="57">
      <c r="A57" s="29" t="inlineStr">
        <is>
          <t>COLA Shoreditch Park</t>
        </is>
      </c>
      <c r="B57" s="50" t="n">
        <v>46315</v>
      </c>
      <c r="C57" s="29" t="inlineStr">
        <is>
          <t>Tue</t>
        </is>
      </c>
      <c r="D57" s="51" t="n">
        <v>0.7291666666666666</v>
      </c>
      <c r="E57" s="51" t="n">
        <v>0.7708333333333334</v>
      </c>
      <c r="F57" s="52">
        <f>IF(B57="","",B57+D57)</f>
        <v/>
      </c>
      <c r="G57" s="29" t="inlineStr">
        <is>
          <t>5-a-side</t>
        </is>
      </c>
      <c r="H57" s="29">
        <f>IFERROR(VALUE(LEFT(G57,FIND("-",G57)-1))*2,"")</f>
        <v/>
      </c>
      <c r="I57" s="29" t="inlineStr">
        <is>
          <t>Available</t>
        </is>
      </c>
      <c r="J57" s="53" t="n">
        <v>90.97</v>
      </c>
      <c r="K57" s="53" t="n"/>
      <c r="L57" s="54">
        <f>IF(J57&lt;&gt;"",IF(H57="","",J57/H57),IF(K57&lt;&gt;"",K57,""))</f>
        <v/>
      </c>
      <c r="M57" s="29" t="inlineStr">
        <is>
          <t>unknown</t>
        </is>
      </c>
      <c r="N57" s="29" t="inlineStr">
        <is>
          <t>enni.space (City of London Academy Shoreditch Park)</t>
        </is>
      </c>
      <c r="O57" s="35" t="inlineStr">
        <is>
          <t>https://enni.space/search/21782-cola-shoreditch-park-3g-5-a-side-pitch</t>
        </is>
      </c>
      <c r="P57" s="29" t="inlineStr">
        <is>
          <t>Pitch free 17:30-19:00. Rooftop 3G. Price-from per hour</t>
        </is>
      </c>
      <c r="Q57" s="29">
        <f>IF(I57="Available",COUNTIFS($A$2:$A$90,A57,$I$2:$I$90,"Available",$F$2:$F$90,"&lt;"&amp;F57)+1,"")</f>
        <v/>
      </c>
      <c r="R57" s="29">
        <f>IF(Q57="","",A57&amp;"#"&amp;Q57)</f>
        <v/>
      </c>
    </row>
    <row r="58">
      <c r="A58" s="29" t="inlineStr">
        <is>
          <t>COLA Shoreditch Park</t>
        </is>
      </c>
      <c r="B58" s="50" t="n">
        <v>46296</v>
      </c>
      <c r="C58" s="29" t="inlineStr">
        <is>
          <t>Thu</t>
        </is>
      </c>
      <c r="D58" s="51" t="n">
        <v>0.7291666666666666</v>
      </c>
      <c r="E58" s="51" t="n">
        <v>0.7708333333333334</v>
      </c>
      <c r="F58" s="52">
        <f>IF(B58="","",B58+D58)</f>
        <v/>
      </c>
      <c r="G58" s="29" t="inlineStr">
        <is>
          <t>5-a-side</t>
        </is>
      </c>
      <c r="H58" s="29">
        <f>IFERROR(VALUE(LEFT(G58,FIND("-",G58)-1))*2,"")</f>
        <v/>
      </c>
      <c r="I58" s="29" t="inlineStr">
        <is>
          <t>Available</t>
        </is>
      </c>
      <c r="J58" s="53" t="n">
        <v>90.97</v>
      </c>
      <c r="K58" s="53" t="n"/>
      <c r="L58" s="54">
        <f>IF(J58&lt;&gt;"",IF(H58="","",J58/H58),IF(K58&lt;&gt;"",K58,""))</f>
        <v/>
      </c>
      <c r="M58" s="29" t="inlineStr">
        <is>
          <t>unknown</t>
        </is>
      </c>
      <c r="N58" s="29" t="inlineStr">
        <is>
          <t>enni.space (City of London Academy Shoreditch Park)</t>
        </is>
      </c>
      <c r="O58" s="35" t="inlineStr">
        <is>
          <t>https://enni.space/search/21782-cola-shoreditch-park-3g-5-a-side-pitch</t>
        </is>
      </c>
      <c r="P58" s="29" t="inlineStr">
        <is>
          <t>Pitch free 17:30-22:00. Rooftop 3G. Price-from per hour</t>
        </is>
      </c>
      <c r="Q58" s="29">
        <f>IF(I58="Available",COUNTIFS($A$2:$A$90,A58,$I$2:$I$90,"Available",$F$2:$F$90,"&lt;"&amp;F58)+1,"")</f>
        <v/>
      </c>
      <c r="R58" s="29">
        <f>IF(Q58="","",A58&amp;"#"&amp;Q58)</f>
        <v/>
      </c>
    </row>
    <row r="59">
      <c r="A59" s="29" t="inlineStr">
        <is>
          <t>COLA Shoreditch Park</t>
        </is>
      </c>
      <c r="B59" s="50" t="n">
        <v>46296</v>
      </c>
      <c r="C59" s="29" t="inlineStr">
        <is>
          <t>Thu</t>
        </is>
      </c>
      <c r="D59" s="51" t="n">
        <v>0.7708333333333334</v>
      </c>
      <c r="E59" s="51" t="n">
        <v>0.8125</v>
      </c>
      <c r="F59" s="52">
        <f>IF(B59="","",B59+D59)</f>
        <v/>
      </c>
      <c r="G59" s="29" t="inlineStr">
        <is>
          <t>5-a-side</t>
        </is>
      </c>
      <c r="H59" s="29">
        <f>IFERROR(VALUE(LEFT(G59,FIND("-",G59)-1))*2,"")</f>
        <v/>
      </c>
      <c r="I59" s="29" t="inlineStr">
        <is>
          <t>Available</t>
        </is>
      </c>
      <c r="J59" s="53" t="n">
        <v>90.97</v>
      </c>
      <c r="K59" s="53" t="n"/>
      <c r="L59" s="54">
        <f>IF(J59&lt;&gt;"",IF(H59="","",J59/H59),IF(K59&lt;&gt;"",K59,""))</f>
        <v/>
      </c>
      <c r="M59" s="29" t="inlineStr">
        <is>
          <t>unknown</t>
        </is>
      </c>
      <c r="N59" s="29" t="inlineStr">
        <is>
          <t>enni.space (City of London Academy Shoreditch Park)</t>
        </is>
      </c>
      <c r="O59" s="35" t="inlineStr">
        <is>
          <t>https://enni.space/search/21782-cola-shoreditch-park-3g-5-a-side-pitch</t>
        </is>
      </c>
      <c r="P59" s="29" t="inlineStr">
        <is>
          <t>Pitch free 17:30-22:00. Rooftop 3G. Price-from per hour</t>
        </is>
      </c>
      <c r="Q59" s="29">
        <f>IF(I59="Available",COUNTIFS($A$2:$A$90,A59,$I$2:$I$90,"Available",$F$2:$F$90,"&lt;"&amp;F59)+1,"")</f>
        <v/>
      </c>
      <c r="R59" s="29">
        <f>IF(Q59="","",A59&amp;"#"&amp;Q59)</f>
        <v/>
      </c>
    </row>
    <row r="60">
      <c r="A60" s="29" t="inlineStr">
        <is>
          <t>COLA Shoreditch Park</t>
        </is>
      </c>
      <c r="B60" s="50" t="n">
        <v>46296</v>
      </c>
      <c r="C60" s="29" t="inlineStr">
        <is>
          <t>Thu</t>
        </is>
      </c>
      <c r="D60" s="51" t="n">
        <v>0.8125</v>
      </c>
      <c r="E60" s="51" t="n">
        <v>0.8541666666666666</v>
      </c>
      <c r="F60" s="52">
        <f>IF(B60="","",B60+D60)</f>
        <v/>
      </c>
      <c r="G60" s="29" t="inlineStr">
        <is>
          <t>5-a-side</t>
        </is>
      </c>
      <c r="H60" s="29">
        <f>IFERROR(VALUE(LEFT(G60,FIND("-",G60)-1))*2,"")</f>
        <v/>
      </c>
      <c r="I60" s="29" t="inlineStr">
        <is>
          <t>Available</t>
        </is>
      </c>
      <c r="J60" s="53" t="n">
        <v>90.97</v>
      </c>
      <c r="K60" s="53" t="n"/>
      <c r="L60" s="54">
        <f>IF(J60&lt;&gt;"",IF(H60="","",J60/H60),IF(K60&lt;&gt;"",K60,""))</f>
        <v/>
      </c>
      <c r="M60" s="29" t="inlineStr">
        <is>
          <t>unknown</t>
        </is>
      </c>
      <c r="N60" s="29" t="inlineStr">
        <is>
          <t>enni.space (City of London Academy Shoreditch Park)</t>
        </is>
      </c>
      <c r="O60" s="35" t="inlineStr">
        <is>
          <t>https://enni.space/search/21782-cola-shoreditch-park-3g-5-a-side-pitch</t>
        </is>
      </c>
      <c r="P60" s="29" t="inlineStr">
        <is>
          <t>Pitch free 17:30-22:00. Rooftop 3G. Price-from per hour</t>
        </is>
      </c>
      <c r="Q60" s="29">
        <f>IF(I60="Available",COUNTIFS($A$2:$A$90,A60,$I$2:$I$90,"Available",$F$2:$F$90,"&lt;"&amp;F60)+1,"")</f>
        <v/>
      </c>
      <c r="R60" s="29">
        <f>IF(Q60="","",A60&amp;"#"&amp;Q60)</f>
        <v/>
      </c>
    </row>
    <row r="61">
      <c r="A61" s="29" t="inlineStr">
        <is>
          <t>COLA Shoreditch Park</t>
        </is>
      </c>
      <c r="B61" s="50" t="n">
        <v>46296</v>
      </c>
      <c r="C61" s="29" t="inlineStr">
        <is>
          <t>Thu</t>
        </is>
      </c>
      <c r="D61" s="51" t="n">
        <v>0.8541666666666666</v>
      </c>
      <c r="E61" s="51" t="n">
        <v>0.8958333333333334</v>
      </c>
      <c r="F61" s="52">
        <f>IF(B61="","",B61+D61)</f>
        <v/>
      </c>
      <c r="G61" s="29" t="inlineStr">
        <is>
          <t>5-a-side</t>
        </is>
      </c>
      <c r="H61" s="29">
        <f>IFERROR(VALUE(LEFT(G61,FIND("-",G61)-1))*2,"")</f>
        <v/>
      </c>
      <c r="I61" s="29" t="inlineStr">
        <is>
          <t>Available</t>
        </is>
      </c>
      <c r="J61" s="53" t="n">
        <v>90.97</v>
      </c>
      <c r="K61" s="53" t="n"/>
      <c r="L61" s="54">
        <f>IF(J61&lt;&gt;"",IF(H61="","",J61/H61),IF(K61&lt;&gt;"",K61,""))</f>
        <v/>
      </c>
      <c r="M61" s="29" t="inlineStr">
        <is>
          <t>unknown</t>
        </is>
      </c>
      <c r="N61" s="29" t="inlineStr">
        <is>
          <t>enni.space (City of London Academy Shoreditch Park)</t>
        </is>
      </c>
      <c r="O61" s="35" t="inlineStr">
        <is>
          <t>https://enni.space/search/21782-cola-shoreditch-park-3g-5-a-side-pitch</t>
        </is>
      </c>
      <c r="P61" s="29" t="inlineStr">
        <is>
          <t>Pitch free 17:30-22:00. Rooftop 3G. Price-from per hour</t>
        </is>
      </c>
      <c r="Q61" s="29">
        <f>IF(I61="Available",COUNTIFS($A$2:$A$90,A61,$I$2:$I$90,"Available",$F$2:$F$90,"&lt;"&amp;F61)+1,"")</f>
        <v/>
      </c>
      <c r="R61" s="29">
        <f>IF(Q61="","",A61&amp;"#"&amp;Q61)</f>
        <v/>
      </c>
    </row>
    <row r="62">
      <c r="A62" s="29" t="inlineStr">
        <is>
          <t>COLA Shoreditch Park</t>
        </is>
      </c>
      <c r="B62" s="50" t="n">
        <v>46297</v>
      </c>
      <c r="C62" s="29" t="inlineStr">
        <is>
          <t>Fri</t>
        </is>
      </c>
      <c r="D62" s="51" t="n">
        <v>0.7291666666666666</v>
      </c>
      <c r="E62" s="51" t="n">
        <v>0.7708333333333334</v>
      </c>
      <c r="F62" s="52">
        <f>IF(B62="","",B62+D62)</f>
        <v/>
      </c>
      <c r="G62" s="29" t="inlineStr">
        <is>
          <t>5-a-side</t>
        </is>
      </c>
      <c r="H62" s="29">
        <f>IFERROR(VALUE(LEFT(G62,FIND("-",G62)-1))*2,"")</f>
        <v/>
      </c>
      <c r="I62" s="29" t="inlineStr">
        <is>
          <t>Available</t>
        </is>
      </c>
      <c r="J62" s="53" t="n">
        <v>90.97</v>
      </c>
      <c r="K62" s="53" t="n"/>
      <c r="L62" s="54">
        <f>IF(J62&lt;&gt;"",IF(H62="","",J62/H62),IF(K62&lt;&gt;"",K62,""))</f>
        <v/>
      </c>
      <c r="M62" s="29" t="inlineStr">
        <is>
          <t>unknown</t>
        </is>
      </c>
      <c r="N62" s="29" t="inlineStr">
        <is>
          <t>enni.space (City of London Academy Shoreditch Park)</t>
        </is>
      </c>
      <c r="O62" s="35" t="inlineStr">
        <is>
          <t>https://enni.space/search/21782-cola-shoreditch-park-3g-5-a-side-pitch</t>
        </is>
      </c>
      <c r="P62" s="29" t="inlineStr">
        <is>
          <t>Pitch free 17:30-22:00. Rooftop 3G. Price-from per hour</t>
        </is>
      </c>
      <c r="Q62" s="29">
        <f>IF(I62="Available",COUNTIFS($A$2:$A$90,A62,$I$2:$I$90,"Available",$F$2:$F$90,"&lt;"&amp;F62)+1,"")</f>
        <v/>
      </c>
      <c r="R62" s="29">
        <f>IF(Q62="","",A62&amp;"#"&amp;Q62)</f>
        <v/>
      </c>
    </row>
    <row r="63">
      <c r="A63" s="29" t="inlineStr">
        <is>
          <t>COLA Shoreditch Park</t>
        </is>
      </c>
      <c r="B63" s="50" t="n">
        <v>46297</v>
      </c>
      <c r="C63" s="29" t="inlineStr">
        <is>
          <t>Fri</t>
        </is>
      </c>
      <c r="D63" s="51" t="n">
        <v>0.7708333333333334</v>
      </c>
      <c r="E63" s="51" t="n">
        <v>0.8125</v>
      </c>
      <c r="F63" s="52">
        <f>IF(B63="","",B63+D63)</f>
        <v/>
      </c>
      <c r="G63" s="29" t="inlineStr">
        <is>
          <t>5-a-side</t>
        </is>
      </c>
      <c r="H63" s="29">
        <f>IFERROR(VALUE(LEFT(G63,FIND("-",G63)-1))*2,"")</f>
        <v/>
      </c>
      <c r="I63" s="29" t="inlineStr">
        <is>
          <t>Available</t>
        </is>
      </c>
      <c r="J63" s="53" t="n">
        <v>90.97</v>
      </c>
      <c r="K63" s="53" t="n"/>
      <c r="L63" s="54">
        <f>IF(J63&lt;&gt;"",IF(H63="","",J63/H63),IF(K63&lt;&gt;"",K63,""))</f>
        <v/>
      </c>
      <c r="M63" s="29" t="inlineStr">
        <is>
          <t>unknown</t>
        </is>
      </c>
      <c r="N63" s="29" t="inlineStr">
        <is>
          <t>enni.space (City of London Academy Shoreditch Park)</t>
        </is>
      </c>
      <c r="O63" s="35" t="inlineStr">
        <is>
          <t>https://enni.space/search/21782-cola-shoreditch-park-3g-5-a-side-pitch</t>
        </is>
      </c>
      <c r="P63" s="29" t="inlineStr">
        <is>
          <t>Pitch free 17:30-22:00. Rooftop 3G. Price-from per hour</t>
        </is>
      </c>
      <c r="Q63" s="29">
        <f>IF(I63="Available",COUNTIFS($A$2:$A$90,A63,$I$2:$I$90,"Available",$F$2:$F$90,"&lt;"&amp;F63)+1,"")</f>
        <v/>
      </c>
      <c r="R63" s="29">
        <f>IF(Q63="","",A63&amp;"#"&amp;Q63)</f>
        <v/>
      </c>
    </row>
    <row r="64">
      <c r="A64" s="29" t="inlineStr">
        <is>
          <t>COLA Shoreditch Park</t>
        </is>
      </c>
      <c r="B64" s="50" t="n">
        <v>46297</v>
      </c>
      <c r="C64" s="29" t="inlineStr">
        <is>
          <t>Fri</t>
        </is>
      </c>
      <c r="D64" s="51" t="n">
        <v>0.8125</v>
      </c>
      <c r="E64" s="51" t="n">
        <v>0.8541666666666666</v>
      </c>
      <c r="F64" s="52">
        <f>IF(B64="","",B64+D64)</f>
        <v/>
      </c>
      <c r="G64" s="29" t="inlineStr">
        <is>
          <t>5-a-side</t>
        </is>
      </c>
      <c r="H64" s="29">
        <f>IFERROR(VALUE(LEFT(G64,FIND("-",G64)-1))*2,"")</f>
        <v/>
      </c>
      <c r="I64" s="29" t="inlineStr">
        <is>
          <t>Available</t>
        </is>
      </c>
      <c r="J64" s="53" t="n">
        <v>90.97</v>
      </c>
      <c r="K64" s="53" t="n"/>
      <c r="L64" s="54">
        <f>IF(J64&lt;&gt;"",IF(H64="","",J64/H64),IF(K64&lt;&gt;"",K64,""))</f>
        <v/>
      </c>
      <c r="M64" s="29" t="inlineStr">
        <is>
          <t>unknown</t>
        </is>
      </c>
      <c r="N64" s="29" t="inlineStr">
        <is>
          <t>enni.space (City of London Academy Shoreditch Park)</t>
        </is>
      </c>
      <c r="O64" s="35" t="inlineStr">
        <is>
          <t>https://enni.space/search/21782-cola-shoreditch-park-3g-5-a-side-pitch</t>
        </is>
      </c>
      <c r="P64" s="29" t="inlineStr">
        <is>
          <t>Pitch free 17:30-22:00. Rooftop 3G. Price-from per hour</t>
        </is>
      </c>
      <c r="Q64" s="29">
        <f>IF(I64="Available",COUNTIFS($A$2:$A$90,A64,$I$2:$I$90,"Available",$F$2:$F$90,"&lt;"&amp;F64)+1,"")</f>
        <v/>
      </c>
      <c r="R64" s="29">
        <f>IF(Q64="","",A64&amp;"#"&amp;Q64)</f>
        <v/>
      </c>
    </row>
    <row r="65">
      <c r="A65" s="29" t="inlineStr">
        <is>
          <t>COLA Shoreditch Park</t>
        </is>
      </c>
      <c r="B65" s="50" t="n">
        <v>46297</v>
      </c>
      <c r="C65" s="29" t="inlineStr">
        <is>
          <t>Fri</t>
        </is>
      </c>
      <c r="D65" s="51" t="n">
        <v>0.8541666666666666</v>
      </c>
      <c r="E65" s="51" t="n">
        <v>0.8958333333333334</v>
      </c>
      <c r="F65" s="52">
        <f>IF(B65="","",B65+D65)</f>
        <v/>
      </c>
      <c r="G65" s="29" t="inlineStr">
        <is>
          <t>5-a-side</t>
        </is>
      </c>
      <c r="H65" s="29">
        <f>IFERROR(VALUE(LEFT(G65,FIND("-",G65)-1))*2,"")</f>
        <v/>
      </c>
      <c r="I65" s="29" t="inlineStr">
        <is>
          <t>Available</t>
        </is>
      </c>
      <c r="J65" s="53" t="n">
        <v>90.97</v>
      </c>
      <c r="K65" s="53" t="n"/>
      <c r="L65" s="54">
        <f>IF(J65&lt;&gt;"",IF(H65="","",J65/H65),IF(K65&lt;&gt;"",K65,""))</f>
        <v/>
      </c>
      <c r="M65" s="29" t="inlineStr">
        <is>
          <t>unknown</t>
        </is>
      </c>
      <c r="N65" s="29" t="inlineStr">
        <is>
          <t>enni.space (City of London Academy Shoreditch Park)</t>
        </is>
      </c>
      <c r="O65" s="35" t="inlineStr">
        <is>
          <t>https://enni.space/search/21782-cola-shoreditch-park-3g-5-a-side-pitch</t>
        </is>
      </c>
      <c r="P65" s="29" t="inlineStr">
        <is>
          <t>Pitch free 17:30-22:00. Rooftop 3G. Price-from per hour</t>
        </is>
      </c>
      <c r="Q65" s="29">
        <f>IF(I65="Available",COUNTIFS($A$2:$A$90,A65,$I$2:$I$90,"Available",$F$2:$F$90,"&lt;"&amp;F65)+1,"")</f>
        <v/>
      </c>
      <c r="R65" s="29">
        <f>IF(Q65="","",A65&amp;"#"&amp;Q65)</f>
        <v/>
      </c>
    </row>
    <row r="66">
      <c r="A66" s="29" t="inlineStr">
        <is>
          <t>COLA Shoreditch Park</t>
        </is>
      </c>
      <c r="B66" s="50" t="n">
        <v>46303</v>
      </c>
      <c r="C66" s="29" t="inlineStr">
        <is>
          <t>Thu</t>
        </is>
      </c>
      <c r="D66" s="51" t="n">
        <v>0.7291666666666666</v>
      </c>
      <c r="E66" s="51" t="n">
        <v>0.7708333333333334</v>
      </c>
      <c r="F66" s="52">
        <f>IF(B66="","",B66+D66)</f>
        <v/>
      </c>
      <c r="G66" s="29" t="inlineStr">
        <is>
          <t>5-a-side</t>
        </is>
      </c>
      <c r="H66" s="29">
        <f>IFERROR(VALUE(LEFT(G66,FIND("-",G66)-1))*2,"")</f>
        <v/>
      </c>
      <c r="I66" s="29" t="inlineStr">
        <is>
          <t>Available</t>
        </is>
      </c>
      <c r="J66" s="53" t="n">
        <v>90.97</v>
      </c>
      <c r="K66" s="53" t="n"/>
      <c r="L66" s="54">
        <f>IF(J66&lt;&gt;"",IF(H66="","",J66/H66),IF(K66&lt;&gt;"",K66,""))</f>
        <v/>
      </c>
      <c r="M66" s="29" t="inlineStr">
        <is>
          <t>unknown</t>
        </is>
      </c>
      <c r="N66" s="29" t="inlineStr">
        <is>
          <t>enni.space (City of London Academy Shoreditch Park)</t>
        </is>
      </c>
      <c r="O66" s="35" t="inlineStr">
        <is>
          <t>https://enni.space/search/21782-cola-shoreditch-park-3g-5-a-side-pitch</t>
        </is>
      </c>
      <c r="P66" s="29" t="inlineStr">
        <is>
          <t>Pitch free 17:30-22:00. Rooftop 3G. Price-from per hour</t>
        </is>
      </c>
      <c r="Q66" s="29">
        <f>IF(I66="Available",COUNTIFS($A$2:$A$90,A66,$I$2:$I$90,"Available",$F$2:$F$90,"&lt;"&amp;F66)+1,"")</f>
        <v/>
      </c>
      <c r="R66" s="29">
        <f>IF(Q66="","",A66&amp;"#"&amp;Q66)</f>
        <v/>
      </c>
    </row>
    <row r="67">
      <c r="A67" s="29" t="inlineStr">
        <is>
          <t>COLA Shoreditch Park</t>
        </is>
      </c>
      <c r="B67" s="50" t="n">
        <v>46303</v>
      </c>
      <c r="C67" s="29" t="inlineStr">
        <is>
          <t>Thu</t>
        </is>
      </c>
      <c r="D67" s="51" t="n">
        <v>0.7708333333333334</v>
      </c>
      <c r="E67" s="51" t="n">
        <v>0.8125</v>
      </c>
      <c r="F67" s="52">
        <f>IF(B67="","",B67+D67)</f>
        <v/>
      </c>
      <c r="G67" s="29" t="inlineStr">
        <is>
          <t>5-a-side</t>
        </is>
      </c>
      <c r="H67" s="29">
        <f>IFERROR(VALUE(LEFT(G67,FIND("-",G67)-1))*2,"")</f>
        <v/>
      </c>
      <c r="I67" s="29" t="inlineStr">
        <is>
          <t>Available</t>
        </is>
      </c>
      <c r="J67" s="53" t="n">
        <v>90.97</v>
      </c>
      <c r="K67" s="53" t="n"/>
      <c r="L67" s="54">
        <f>IF(J67&lt;&gt;"",IF(H67="","",J67/H67),IF(K67&lt;&gt;"",K67,""))</f>
        <v/>
      </c>
      <c r="M67" s="29" t="inlineStr">
        <is>
          <t>unknown</t>
        </is>
      </c>
      <c r="N67" s="29" t="inlineStr">
        <is>
          <t>enni.space (City of London Academy Shoreditch Park)</t>
        </is>
      </c>
      <c r="O67" s="35" t="inlineStr">
        <is>
          <t>https://enni.space/search/21782-cola-shoreditch-park-3g-5-a-side-pitch</t>
        </is>
      </c>
      <c r="P67" s="29" t="inlineStr">
        <is>
          <t>Pitch free 17:30-22:00. Rooftop 3G. Price-from per hour</t>
        </is>
      </c>
      <c r="Q67" s="29">
        <f>IF(I67="Available",COUNTIFS($A$2:$A$90,A67,$I$2:$I$90,"Available",$F$2:$F$90,"&lt;"&amp;F67)+1,"")</f>
        <v/>
      </c>
      <c r="R67" s="29">
        <f>IF(Q67="","",A67&amp;"#"&amp;Q67)</f>
        <v/>
      </c>
    </row>
    <row r="68">
      <c r="A68" s="29" t="inlineStr">
        <is>
          <t>COLA Shoreditch Park</t>
        </is>
      </c>
      <c r="B68" s="50" t="n">
        <v>46303</v>
      </c>
      <c r="C68" s="29" t="inlineStr">
        <is>
          <t>Thu</t>
        </is>
      </c>
      <c r="D68" s="51" t="n">
        <v>0.8125</v>
      </c>
      <c r="E68" s="51" t="n">
        <v>0.8541666666666666</v>
      </c>
      <c r="F68" s="52">
        <f>IF(B68="","",B68+D68)</f>
        <v/>
      </c>
      <c r="G68" s="29" t="inlineStr">
        <is>
          <t>5-a-side</t>
        </is>
      </c>
      <c r="H68" s="29">
        <f>IFERROR(VALUE(LEFT(G68,FIND("-",G68)-1))*2,"")</f>
        <v/>
      </c>
      <c r="I68" s="29" t="inlineStr">
        <is>
          <t>Available</t>
        </is>
      </c>
      <c r="J68" s="53" t="n">
        <v>90.97</v>
      </c>
      <c r="K68" s="53" t="n"/>
      <c r="L68" s="54">
        <f>IF(J68&lt;&gt;"",IF(H68="","",J68/H68),IF(K68&lt;&gt;"",K68,""))</f>
        <v/>
      </c>
      <c r="M68" s="29" t="inlineStr">
        <is>
          <t>unknown</t>
        </is>
      </c>
      <c r="N68" s="29" t="inlineStr">
        <is>
          <t>enni.space (City of London Academy Shoreditch Park)</t>
        </is>
      </c>
      <c r="O68" s="35" t="inlineStr">
        <is>
          <t>https://enni.space/search/21782-cola-shoreditch-park-3g-5-a-side-pitch</t>
        </is>
      </c>
      <c r="P68" s="29" t="inlineStr">
        <is>
          <t>Pitch free 17:30-22:00. Rooftop 3G. Price-from per hour</t>
        </is>
      </c>
      <c r="Q68" s="29">
        <f>IF(I68="Available",COUNTIFS($A$2:$A$90,A68,$I$2:$I$90,"Available",$F$2:$F$90,"&lt;"&amp;F68)+1,"")</f>
        <v/>
      </c>
      <c r="R68" s="29">
        <f>IF(Q68="","",A68&amp;"#"&amp;Q68)</f>
        <v/>
      </c>
    </row>
    <row r="69">
      <c r="A69" s="29" t="inlineStr">
        <is>
          <t>COLA Shoreditch Park</t>
        </is>
      </c>
      <c r="B69" s="50" t="n">
        <v>46303</v>
      </c>
      <c r="C69" s="29" t="inlineStr">
        <is>
          <t>Thu</t>
        </is>
      </c>
      <c r="D69" s="51" t="n">
        <v>0.8541666666666666</v>
      </c>
      <c r="E69" s="51" t="n">
        <v>0.8958333333333334</v>
      </c>
      <c r="F69" s="52">
        <f>IF(B69="","",B69+D69)</f>
        <v/>
      </c>
      <c r="G69" s="29" t="inlineStr">
        <is>
          <t>5-a-side</t>
        </is>
      </c>
      <c r="H69" s="29">
        <f>IFERROR(VALUE(LEFT(G69,FIND("-",G69)-1))*2,"")</f>
        <v/>
      </c>
      <c r="I69" s="29" t="inlineStr">
        <is>
          <t>Available</t>
        </is>
      </c>
      <c r="J69" s="53" t="n">
        <v>90.97</v>
      </c>
      <c r="K69" s="53" t="n"/>
      <c r="L69" s="54">
        <f>IF(J69&lt;&gt;"",IF(H69="","",J69/H69),IF(K69&lt;&gt;"",K69,""))</f>
        <v/>
      </c>
      <c r="M69" s="29" t="inlineStr">
        <is>
          <t>unknown</t>
        </is>
      </c>
      <c r="N69" s="29" t="inlineStr">
        <is>
          <t>enni.space (City of London Academy Shoreditch Park)</t>
        </is>
      </c>
      <c r="O69" s="35" t="inlineStr">
        <is>
          <t>https://enni.space/search/21782-cola-shoreditch-park-3g-5-a-side-pitch</t>
        </is>
      </c>
      <c r="P69" s="29" t="inlineStr">
        <is>
          <t>Pitch free 17:30-22:00. Rooftop 3G. Price-from per hour</t>
        </is>
      </c>
      <c r="Q69" s="29">
        <f>IF(I69="Available",COUNTIFS($A$2:$A$90,A69,$I$2:$I$90,"Available",$F$2:$F$90,"&lt;"&amp;F69)+1,"")</f>
        <v/>
      </c>
      <c r="R69" s="29">
        <f>IF(Q69="","",A69&amp;"#"&amp;Q69)</f>
        <v/>
      </c>
    </row>
    <row r="70">
      <c r="A70" s="29" t="inlineStr">
        <is>
          <t>COLA Shoreditch Park</t>
        </is>
      </c>
      <c r="B70" s="50" t="n">
        <v>46304</v>
      </c>
      <c r="C70" s="29" t="inlineStr">
        <is>
          <t>Fri</t>
        </is>
      </c>
      <c r="D70" s="51" t="n">
        <v>0.7291666666666666</v>
      </c>
      <c r="E70" s="51" t="n">
        <v>0.7708333333333334</v>
      </c>
      <c r="F70" s="52">
        <f>IF(B70="","",B70+D70)</f>
        <v/>
      </c>
      <c r="G70" s="29" t="inlineStr">
        <is>
          <t>5-a-side</t>
        </is>
      </c>
      <c r="H70" s="29">
        <f>IFERROR(VALUE(LEFT(G70,FIND("-",G70)-1))*2,"")</f>
        <v/>
      </c>
      <c r="I70" s="29" t="inlineStr">
        <is>
          <t>Available</t>
        </is>
      </c>
      <c r="J70" s="53" t="n">
        <v>90.97</v>
      </c>
      <c r="K70" s="53" t="n"/>
      <c r="L70" s="54">
        <f>IF(J70&lt;&gt;"",IF(H70="","",J70/H70),IF(K70&lt;&gt;"",K70,""))</f>
        <v/>
      </c>
      <c r="M70" s="29" t="inlineStr">
        <is>
          <t>unknown</t>
        </is>
      </c>
      <c r="N70" s="29" t="inlineStr">
        <is>
          <t>enni.space (City of London Academy Shoreditch Park)</t>
        </is>
      </c>
      <c r="O70" s="35" t="inlineStr">
        <is>
          <t>https://enni.space/search/21782-cola-shoreditch-park-3g-5-a-side-pitch</t>
        </is>
      </c>
      <c r="P70" s="29" t="inlineStr">
        <is>
          <t>Pitch free 17:30-22:00. Rooftop 3G. Price-from per hour</t>
        </is>
      </c>
      <c r="Q70" s="29">
        <f>IF(I70="Available",COUNTIFS($A$2:$A$90,A70,$I$2:$I$90,"Available",$F$2:$F$90,"&lt;"&amp;F70)+1,"")</f>
        <v/>
      </c>
      <c r="R70" s="29">
        <f>IF(Q70="","",A70&amp;"#"&amp;Q70)</f>
        <v/>
      </c>
    </row>
    <row r="71">
      <c r="A71" s="29" t="inlineStr">
        <is>
          <t>COLA Shoreditch Park</t>
        </is>
      </c>
      <c r="B71" s="50" t="n">
        <v>46304</v>
      </c>
      <c r="C71" s="29" t="inlineStr">
        <is>
          <t>Fri</t>
        </is>
      </c>
      <c r="D71" s="51" t="n">
        <v>0.7708333333333334</v>
      </c>
      <c r="E71" s="51" t="n">
        <v>0.8125</v>
      </c>
      <c r="F71" s="52">
        <f>IF(B71="","",B71+D71)</f>
        <v/>
      </c>
      <c r="G71" s="29" t="inlineStr">
        <is>
          <t>5-a-side</t>
        </is>
      </c>
      <c r="H71" s="29">
        <f>IFERROR(VALUE(LEFT(G71,FIND("-",G71)-1))*2,"")</f>
        <v/>
      </c>
      <c r="I71" s="29" t="inlineStr">
        <is>
          <t>Available</t>
        </is>
      </c>
      <c r="J71" s="53" t="n">
        <v>90.97</v>
      </c>
      <c r="K71" s="53" t="n"/>
      <c r="L71" s="54">
        <f>IF(J71&lt;&gt;"",IF(H71="","",J71/H71),IF(K71&lt;&gt;"",K71,""))</f>
        <v/>
      </c>
      <c r="M71" s="29" t="inlineStr">
        <is>
          <t>unknown</t>
        </is>
      </c>
      <c r="N71" s="29" t="inlineStr">
        <is>
          <t>enni.space (City of London Academy Shoreditch Park)</t>
        </is>
      </c>
      <c r="O71" s="35" t="inlineStr">
        <is>
          <t>https://enni.space/search/21782-cola-shoreditch-park-3g-5-a-side-pitch</t>
        </is>
      </c>
      <c r="P71" s="29" t="inlineStr">
        <is>
          <t>Pitch free 17:30-22:00. Rooftop 3G. Price-from per hour</t>
        </is>
      </c>
      <c r="Q71" s="29">
        <f>IF(I71="Available",COUNTIFS($A$2:$A$90,A71,$I$2:$I$90,"Available",$F$2:$F$90,"&lt;"&amp;F71)+1,"")</f>
        <v/>
      </c>
      <c r="R71" s="29">
        <f>IF(Q71="","",A71&amp;"#"&amp;Q71)</f>
        <v/>
      </c>
    </row>
    <row r="72">
      <c r="A72" s="29" t="inlineStr">
        <is>
          <t>COLA Shoreditch Park</t>
        </is>
      </c>
      <c r="B72" s="50" t="n">
        <v>46304</v>
      </c>
      <c r="C72" s="29" t="inlineStr">
        <is>
          <t>Fri</t>
        </is>
      </c>
      <c r="D72" s="51" t="n">
        <v>0.8125</v>
      </c>
      <c r="E72" s="51" t="n">
        <v>0.8541666666666666</v>
      </c>
      <c r="F72" s="52">
        <f>IF(B72="","",B72+D72)</f>
        <v/>
      </c>
      <c r="G72" s="29" t="inlineStr">
        <is>
          <t>5-a-side</t>
        </is>
      </c>
      <c r="H72" s="29">
        <f>IFERROR(VALUE(LEFT(G72,FIND("-",G72)-1))*2,"")</f>
        <v/>
      </c>
      <c r="I72" s="29" t="inlineStr">
        <is>
          <t>Available</t>
        </is>
      </c>
      <c r="J72" s="53" t="n">
        <v>90.97</v>
      </c>
      <c r="K72" s="53" t="n"/>
      <c r="L72" s="54">
        <f>IF(J72&lt;&gt;"",IF(H72="","",J72/H72),IF(K72&lt;&gt;"",K72,""))</f>
        <v/>
      </c>
      <c r="M72" s="29" t="inlineStr">
        <is>
          <t>unknown</t>
        </is>
      </c>
      <c r="N72" s="29" t="inlineStr">
        <is>
          <t>enni.space (City of London Academy Shoreditch Park)</t>
        </is>
      </c>
      <c r="O72" s="35" t="inlineStr">
        <is>
          <t>https://enni.space/search/21782-cola-shoreditch-park-3g-5-a-side-pitch</t>
        </is>
      </c>
      <c r="P72" s="29" t="inlineStr">
        <is>
          <t>Pitch free 17:30-22:00. Rooftop 3G. Price-from per hour</t>
        </is>
      </c>
      <c r="Q72" s="29">
        <f>IF(I72="Available",COUNTIFS($A$2:$A$90,A72,$I$2:$I$90,"Available",$F$2:$F$90,"&lt;"&amp;F72)+1,"")</f>
        <v/>
      </c>
      <c r="R72" s="29">
        <f>IF(Q72="","",A72&amp;"#"&amp;Q72)</f>
        <v/>
      </c>
    </row>
    <row r="73">
      <c r="A73" s="29" t="inlineStr">
        <is>
          <t>COLA Shoreditch Park</t>
        </is>
      </c>
      <c r="B73" s="50" t="n">
        <v>46304</v>
      </c>
      <c r="C73" s="29" t="inlineStr">
        <is>
          <t>Fri</t>
        </is>
      </c>
      <c r="D73" s="51" t="n">
        <v>0.8541666666666666</v>
      </c>
      <c r="E73" s="51" t="n">
        <v>0.8958333333333334</v>
      </c>
      <c r="F73" s="52">
        <f>IF(B73="","",B73+D73)</f>
        <v/>
      </c>
      <c r="G73" s="29" t="inlineStr">
        <is>
          <t>5-a-side</t>
        </is>
      </c>
      <c r="H73" s="29">
        <f>IFERROR(VALUE(LEFT(G73,FIND("-",G73)-1))*2,"")</f>
        <v/>
      </c>
      <c r="I73" s="29" t="inlineStr">
        <is>
          <t>Available</t>
        </is>
      </c>
      <c r="J73" s="53" t="n">
        <v>90.97</v>
      </c>
      <c r="K73" s="53" t="n"/>
      <c r="L73" s="54">
        <f>IF(J73&lt;&gt;"",IF(H73="","",J73/H73),IF(K73&lt;&gt;"",K73,""))</f>
        <v/>
      </c>
      <c r="M73" s="29" t="inlineStr">
        <is>
          <t>unknown</t>
        </is>
      </c>
      <c r="N73" s="29" t="inlineStr">
        <is>
          <t>enni.space (City of London Academy Shoreditch Park)</t>
        </is>
      </c>
      <c r="O73" s="35" t="inlineStr">
        <is>
          <t>https://enni.space/search/21782-cola-shoreditch-park-3g-5-a-side-pitch</t>
        </is>
      </c>
      <c r="P73" s="29" t="inlineStr">
        <is>
          <t>Pitch free 17:30-22:00. Rooftop 3G. Price-from per hour</t>
        </is>
      </c>
      <c r="Q73" s="29">
        <f>IF(I73="Available",COUNTIFS($A$2:$A$90,A73,$I$2:$I$90,"Available",$F$2:$F$90,"&lt;"&amp;F73)+1,"")</f>
        <v/>
      </c>
      <c r="R73" s="29">
        <f>IF(Q73="","",A73&amp;"#"&amp;Q73)</f>
        <v/>
      </c>
    </row>
    <row r="74">
      <c r="A74" s="29" t="inlineStr">
        <is>
          <t>COLA Shoreditch Park</t>
        </is>
      </c>
      <c r="B74" s="50" t="n">
        <v>46310</v>
      </c>
      <c r="C74" s="29" t="inlineStr">
        <is>
          <t>Thu</t>
        </is>
      </c>
      <c r="D74" s="51" t="n">
        <v>0.7291666666666666</v>
      </c>
      <c r="E74" s="51" t="n">
        <v>0.7708333333333334</v>
      </c>
      <c r="F74" s="52">
        <f>IF(B74="","",B74+D74)</f>
        <v/>
      </c>
      <c r="G74" s="29" t="inlineStr">
        <is>
          <t>5-a-side</t>
        </is>
      </c>
      <c r="H74" s="29">
        <f>IFERROR(VALUE(LEFT(G74,FIND("-",G74)-1))*2,"")</f>
        <v/>
      </c>
      <c r="I74" s="29" t="inlineStr">
        <is>
          <t>Available</t>
        </is>
      </c>
      <c r="J74" s="53" t="n">
        <v>90.97</v>
      </c>
      <c r="K74" s="53" t="n"/>
      <c r="L74" s="54">
        <f>IF(J74&lt;&gt;"",IF(H74="","",J74/H74),IF(K74&lt;&gt;"",K74,""))</f>
        <v/>
      </c>
      <c r="M74" s="29" t="inlineStr">
        <is>
          <t>unknown</t>
        </is>
      </c>
      <c r="N74" s="29" t="inlineStr">
        <is>
          <t>enni.space (City of London Academy Shoreditch Park)</t>
        </is>
      </c>
      <c r="O74" s="35" t="inlineStr">
        <is>
          <t>https://enni.space/search/21782-cola-shoreditch-park-3g-5-a-side-pitch</t>
        </is>
      </c>
      <c r="P74" s="29" t="inlineStr">
        <is>
          <t>Pitch free 17:30-22:00. Rooftop 3G. Price-from per hour</t>
        </is>
      </c>
      <c r="Q74" s="29">
        <f>IF(I74="Available",COUNTIFS($A$2:$A$90,A74,$I$2:$I$90,"Available",$F$2:$F$90,"&lt;"&amp;F74)+1,"")</f>
        <v/>
      </c>
      <c r="R74" s="29">
        <f>IF(Q74="","",A74&amp;"#"&amp;Q74)</f>
        <v/>
      </c>
    </row>
    <row r="75">
      <c r="A75" s="29" t="inlineStr">
        <is>
          <t>COLA Shoreditch Park</t>
        </is>
      </c>
      <c r="B75" s="50" t="n">
        <v>46310</v>
      </c>
      <c r="C75" s="29" t="inlineStr">
        <is>
          <t>Thu</t>
        </is>
      </c>
      <c r="D75" s="51" t="n">
        <v>0.7708333333333334</v>
      </c>
      <c r="E75" s="51" t="n">
        <v>0.8125</v>
      </c>
      <c r="F75" s="52">
        <f>IF(B75="","",B75+D75)</f>
        <v/>
      </c>
      <c r="G75" s="29" t="inlineStr">
        <is>
          <t>5-a-side</t>
        </is>
      </c>
      <c r="H75" s="29">
        <f>IFERROR(VALUE(LEFT(G75,FIND("-",G75)-1))*2,"")</f>
        <v/>
      </c>
      <c r="I75" s="29" t="inlineStr">
        <is>
          <t>Available</t>
        </is>
      </c>
      <c r="J75" s="53" t="n">
        <v>90.97</v>
      </c>
      <c r="K75" s="53" t="n"/>
      <c r="L75" s="54">
        <f>IF(J75&lt;&gt;"",IF(H75="","",J75/H75),IF(K75&lt;&gt;"",K75,""))</f>
        <v/>
      </c>
      <c r="M75" s="29" t="inlineStr">
        <is>
          <t>unknown</t>
        </is>
      </c>
      <c r="N75" s="29" t="inlineStr">
        <is>
          <t>enni.space (City of London Academy Shoreditch Park)</t>
        </is>
      </c>
      <c r="O75" s="35" t="inlineStr">
        <is>
          <t>https://enni.space/search/21782-cola-shoreditch-park-3g-5-a-side-pitch</t>
        </is>
      </c>
      <c r="P75" s="29" t="inlineStr">
        <is>
          <t>Pitch free 17:30-22:00. Rooftop 3G. Price-from per hour</t>
        </is>
      </c>
      <c r="Q75" s="29">
        <f>IF(I75="Available",COUNTIFS($A$2:$A$90,A75,$I$2:$I$90,"Available",$F$2:$F$90,"&lt;"&amp;F75)+1,"")</f>
        <v/>
      </c>
      <c r="R75" s="29">
        <f>IF(Q75="","",A75&amp;"#"&amp;Q75)</f>
        <v/>
      </c>
    </row>
    <row r="76">
      <c r="A76" s="29" t="inlineStr">
        <is>
          <t>COLA Shoreditch Park</t>
        </is>
      </c>
      <c r="B76" s="50" t="n">
        <v>46310</v>
      </c>
      <c r="C76" s="29" t="inlineStr">
        <is>
          <t>Thu</t>
        </is>
      </c>
      <c r="D76" s="51" t="n">
        <v>0.8125</v>
      </c>
      <c r="E76" s="51" t="n">
        <v>0.8541666666666666</v>
      </c>
      <c r="F76" s="52">
        <f>IF(B76="","",B76+D76)</f>
        <v/>
      </c>
      <c r="G76" s="29" t="inlineStr">
        <is>
          <t>5-a-side</t>
        </is>
      </c>
      <c r="H76" s="29">
        <f>IFERROR(VALUE(LEFT(G76,FIND("-",G76)-1))*2,"")</f>
        <v/>
      </c>
      <c r="I76" s="29" t="inlineStr">
        <is>
          <t>Available</t>
        </is>
      </c>
      <c r="J76" s="53" t="n">
        <v>90.97</v>
      </c>
      <c r="K76" s="53" t="n"/>
      <c r="L76" s="54">
        <f>IF(J76&lt;&gt;"",IF(H76="","",J76/H76),IF(K76&lt;&gt;"",K76,""))</f>
        <v/>
      </c>
      <c r="M76" s="29" t="inlineStr">
        <is>
          <t>unknown</t>
        </is>
      </c>
      <c r="N76" s="29" t="inlineStr">
        <is>
          <t>enni.space (City of London Academy Shoreditch Park)</t>
        </is>
      </c>
      <c r="O76" s="35" t="inlineStr">
        <is>
          <t>https://enni.space/search/21782-cola-shoreditch-park-3g-5-a-side-pitch</t>
        </is>
      </c>
      <c r="P76" s="29" t="inlineStr">
        <is>
          <t>Pitch free 17:30-22:00. Rooftop 3G. Price-from per hour</t>
        </is>
      </c>
      <c r="Q76" s="29">
        <f>IF(I76="Available",COUNTIFS($A$2:$A$90,A76,$I$2:$I$90,"Available",$F$2:$F$90,"&lt;"&amp;F76)+1,"")</f>
        <v/>
      </c>
      <c r="R76" s="29">
        <f>IF(Q76="","",A76&amp;"#"&amp;Q76)</f>
        <v/>
      </c>
    </row>
    <row r="77">
      <c r="A77" s="29" t="inlineStr">
        <is>
          <t>COLA Shoreditch Park</t>
        </is>
      </c>
      <c r="B77" s="50" t="n">
        <v>46310</v>
      </c>
      <c r="C77" s="29" t="inlineStr">
        <is>
          <t>Thu</t>
        </is>
      </c>
      <c r="D77" s="51" t="n">
        <v>0.8541666666666666</v>
      </c>
      <c r="E77" s="51" t="n">
        <v>0.8958333333333334</v>
      </c>
      <c r="F77" s="52">
        <f>IF(B77="","",B77+D77)</f>
        <v/>
      </c>
      <c r="G77" s="29" t="inlineStr">
        <is>
          <t>5-a-side</t>
        </is>
      </c>
      <c r="H77" s="29">
        <f>IFERROR(VALUE(LEFT(G77,FIND("-",G77)-1))*2,"")</f>
        <v/>
      </c>
      <c r="I77" s="29" t="inlineStr">
        <is>
          <t>Available</t>
        </is>
      </c>
      <c r="J77" s="53" t="n">
        <v>90.97</v>
      </c>
      <c r="K77" s="53" t="n"/>
      <c r="L77" s="54">
        <f>IF(J77&lt;&gt;"",IF(H77="","",J77/H77),IF(K77&lt;&gt;"",K77,""))</f>
        <v/>
      </c>
      <c r="M77" s="29" t="inlineStr">
        <is>
          <t>unknown</t>
        </is>
      </c>
      <c r="N77" s="29" t="inlineStr">
        <is>
          <t>enni.space (City of London Academy Shoreditch Park)</t>
        </is>
      </c>
      <c r="O77" s="35" t="inlineStr">
        <is>
          <t>https://enni.space/search/21782-cola-shoreditch-park-3g-5-a-side-pitch</t>
        </is>
      </c>
      <c r="P77" s="29" t="inlineStr">
        <is>
          <t>Pitch free 17:30-22:00. Rooftop 3G. Price-from per hour</t>
        </is>
      </c>
      <c r="Q77" s="29">
        <f>IF(I77="Available",COUNTIFS($A$2:$A$90,A77,$I$2:$I$90,"Available",$F$2:$F$90,"&lt;"&amp;F77)+1,"")</f>
        <v/>
      </c>
      <c r="R77" s="29">
        <f>IF(Q77="","",A77&amp;"#"&amp;Q77)</f>
        <v/>
      </c>
    </row>
    <row r="78">
      <c r="A78" s="29" t="inlineStr">
        <is>
          <t>COLA Shoreditch Park</t>
        </is>
      </c>
      <c r="B78" s="50" t="n">
        <v>46311</v>
      </c>
      <c r="C78" s="29" t="inlineStr">
        <is>
          <t>Fri</t>
        </is>
      </c>
      <c r="D78" s="51" t="n">
        <v>0.7291666666666666</v>
      </c>
      <c r="E78" s="51" t="n">
        <v>0.7708333333333334</v>
      </c>
      <c r="F78" s="52">
        <f>IF(B78="","",B78+D78)</f>
        <v/>
      </c>
      <c r="G78" s="29" t="inlineStr">
        <is>
          <t>5-a-side</t>
        </is>
      </c>
      <c r="H78" s="29">
        <f>IFERROR(VALUE(LEFT(G78,FIND("-",G78)-1))*2,"")</f>
        <v/>
      </c>
      <c r="I78" s="29" t="inlineStr">
        <is>
          <t>Available</t>
        </is>
      </c>
      <c r="J78" s="53" t="n">
        <v>90.97</v>
      </c>
      <c r="K78" s="53" t="n"/>
      <c r="L78" s="54">
        <f>IF(J78&lt;&gt;"",IF(H78="","",J78/H78),IF(K78&lt;&gt;"",K78,""))</f>
        <v/>
      </c>
      <c r="M78" s="29" t="inlineStr">
        <is>
          <t>unknown</t>
        </is>
      </c>
      <c r="N78" s="29" t="inlineStr">
        <is>
          <t>enni.space (City of London Academy Shoreditch Park)</t>
        </is>
      </c>
      <c r="O78" s="35" t="inlineStr">
        <is>
          <t>https://enni.space/search/21782-cola-shoreditch-park-3g-5-a-side-pitch</t>
        </is>
      </c>
      <c r="P78" s="29" t="inlineStr">
        <is>
          <t>Pitch free 17:30-22:00. Rooftop 3G. Price-from per hour</t>
        </is>
      </c>
      <c r="Q78" s="29">
        <f>IF(I78="Available",COUNTIFS($A$2:$A$90,A78,$I$2:$I$90,"Available",$F$2:$F$90,"&lt;"&amp;F78)+1,"")</f>
        <v/>
      </c>
      <c r="R78" s="29">
        <f>IF(Q78="","",A78&amp;"#"&amp;Q78)</f>
        <v/>
      </c>
    </row>
    <row r="79">
      <c r="A79" s="29" t="inlineStr">
        <is>
          <t>COLA Shoreditch Park</t>
        </is>
      </c>
      <c r="B79" s="50" t="n">
        <v>46311</v>
      </c>
      <c r="C79" s="29" t="inlineStr">
        <is>
          <t>Fri</t>
        </is>
      </c>
      <c r="D79" s="51" t="n">
        <v>0.7708333333333334</v>
      </c>
      <c r="E79" s="51" t="n">
        <v>0.8125</v>
      </c>
      <c r="F79" s="52">
        <f>IF(B79="","",B79+D79)</f>
        <v/>
      </c>
      <c r="G79" s="29" t="inlineStr">
        <is>
          <t>5-a-side</t>
        </is>
      </c>
      <c r="H79" s="29">
        <f>IFERROR(VALUE(LEFT(G79,FIND("-",G79)-1))*2,"")</f>
        <v/>
      </c>
      <c r="I79" s="29" t="inlineStr">
        <is>
          <t>Available</t>
        </is>
      </c>
      <c r="J79" s="53" t="n">
        <v>90.97</v>
      </c>
      <c r="K79" s="53" t="n"/>
      <c r="L79" s="54">
        <f>IF(J79&lt;&gt;"",IF(H79="","",J79/H79),IF(K79&lt;&gt;"",K79,""))</f>
        <v/>
      </c>
      <c r="M79" s="29" t="inlineStr">
        <is>
          <t>unknown</t>
        </is>
      </c>
      <c r="N79" s="29" t="inlineStr">
        <is>
          <t>enni.space (City of London Academy Shoreditch Park)</t>
        </is>
      </c>
      <c r="O79" s="35" t="inlineStr">
        <is>
          <t>https://enni.space/search/21782-cola-shoreditch-park-3g-5-a-side-pitch</t>
        </is>
      </c>
      <c r="P79" s="29" t="inlineStr">
        <is>
          <t>Pitch free 17:30-22:00. Rooftop 3G. Price-from per hour</t>
        </is>
      </c>
      <c r="Q79" s="29">
        <f>IF(I79="Available",COUNTIFS($A$2:$A$90,A79,$I$2:$I$90,"Available",$F$2:$F$90,"&lt;"&amp;F79)+1,"")</f>
        <v/>
      </c>
      <c r="R79" s="29">
        <f>IF(Q79="","",A79&amp;"#"&amp;Q79)</f>
        <v/>
      </c>
    </row>
    <row r="80">
      <c r="A80" s="29" t="inlineStr">
        <is>
          <t>COLA Shoreditch Park</t>
        </is>
      </c>
      <c r="B80" s="50" t="n">
        <v>46311</v>
      </c>
      <c r="C80" s="29" t="inlineStr">
        <is>
          <t>Fri</t>
        </is>
      </c>
      <c r="D80" s="51" t="n">
        <v>0.8125</v>
      </c>
      <c r="E80" s="51" t="n">
        <v>0.8541666666666666</v>
      </c>
      <c r="F80" s="52">
        <f>IF(B80="","",B80+D80)</f>
        <v/>
      </c>
      <c r="G80" s="29" t="inlineStr">
        <is>
          <t>5-a-side</t>
        </is>
      </c>
      <c r="H80" s="29">
        <f>IFERROR(VALUE(LEFT(G80,FIND("-",G80)-1))*2,"")</f>
        <v/>
      </c>
      <c r="I80" s="29" t="inlineStr">
        <is>
          <t>Available</t>
        </is>
      </c>
      <c r="J80" s="53" t="n">
        <v>90.97</v>
      </c>
      <c r="K80" s="53" t="n"/>
      <c r="L80" s="54">
        <f>IF(J80&lt;&gt;"",IF(H80="","",J80/H80),IF(K80&lt;&gt;"",K80,""))</f>
        <v/>
      </c>
      <c r="M80" s="29" t="inlineStr">
        <is>
          <t>unknown</t>
        </is>
      </c>
      <c r="N80" s="29" t="inlineStr">
        <is>
          <t>enni.space (City of London Academy Shoreditch Park)</t>
        </is>
      </c>
      <c r="O80" s="35" t="inlineStr">
        <is>
          <t>https://enni.space/search/21782-cola-shoreditch-park-3g-5-a-side-pitch</t>
        </is>
      </c>
      <c r="P80" s="29" t="inlineStr">
        <is>
          <t>Pitch free 17:30-22:00. Rooftop 3G. Price-from per hour</t>
        </is>
      </c>
      <c r="Q80" s="29">
        <f>IF(I80="Available",COUNTIFS($A$2:$A$90,A80,$I$2:$I$90,"Available",$F$2:$F$90,"&lt;"&amp;F80)+1,"")</f>
        <v/>
      </c>
      <c r="R80" s="29">
        <f>IF(Q80="","",A80&amp;"#"&amp;Q80)</f>
        <v/>
      </c>
    </row>
    <row r="81">
      <c r="A81" s="29" t="inlineStr">
        <is>
          <t>COLA Shoreditch Park</t>
        </is>
      </c>
      <c r="B81" s="50" t="n">
        <v>46311</v>
      </c>
      <c r="C81" s="29" t="inlineStr">
        <is>
          <t>Fri</t>
        </is>
      </c>
      <c r="D81" s="51" t="n">
        <v>0.8541666666666666</v>
      </c>
      <c r="E81" s="51" t="n">
        <v>0.8958333333333334</v>
      </c>
      <c r="F81" s="52">
        <f>IF(B81="","",B81+D81)</f>
        <v/>
      </c>
      <c r="G81" s="29" t="inlineStr">
        <is>
          <t>5-a-side</t>
        </is>
      </c>
      <c r="H81" s="29">
        <f>IFERROR(VALUE(LEFT(G81,FIND("-",G81)-1))*2,"")</f>
        <v/>
      </c>
      <c r="I81" s="29" t="inlineStr">
        <is>
          <t>Available</t>
        </is>
      </c>
      <c r="J81" s="53" t="n">
        <v>90.97</v>
      </c>
      <c r="K81" s="53" t="n"/>
      <c r="L81" s="54">
        <f>IF(J81&lt;&gt;"",IF(H81="","",J81/H81),IF(K81&lt;&gt;"",K81,""))</f>
        <v/>
      </c>
      <c r="M81" s="29" t="inlineStr">
        <is>
          <t>unknown</t>
        </is>
      </c>
      <c r="N81" s="29" t="inlineStr">
        <is>
          <t>enni.space (City of London Academy Shoreditch Park)</t>
        </is>
      </c>
      <c r="O81" s="35" t="inlineStr">
        <is>
          <t>https://enni.space/search/21782-cola-shoreditch-park-3g-5-a-side-pitch</t>
        </is>
      </c>
      <c r="P81" s="29" t="inlineStr">
        <is>
          <t>Pitch free 17:30-22:00. Rooftop 3G. Price-from per hour</t>
        </is>
      </c>
      <c r="Q81" s="29">
        <f>IF(I81="Available",COUNTIFS($A$2:$A$90,A81,$I$2:$I$90,"Available",$F$2:$F$90,"&lt;"&amp;F81)+1,"")</f>
        <v/>
      </c>
      <c r="R81" s="29">
        <f>IF(Q81="","",A81&amp;"#"&amp;Q81)</f>
        <v/>
      </c>
    </row>
    <row r="82">
      <c r="A82" s="29" t="inlineStr">
        <is>
          <t>COLA Shoreditch Park</t>
        </is>
      </c>
      <c r="B82" s="50" t="n">
        <v>46317</v>
      </c>
      <c r="C82" s="29" t="inlineStr">
        <is>
          <t>Thu</t>
        </is>
      </c>
      <c r="D82" s="51" t="n">
        <v>0.7291666666666666</v>
      </c>
      <c r="E82" s="51" t="n">
        <v>0.7708333333333334</v>
      </c>
      <c r="F82" s="52">
        <f>IF(B82="","",B82+D82)</f>
        <v/>
      </c>
      <c r="G82" s="29" t="inlineStr">
        <is>
          <t>5-a-side</t>
        </is>
      </c>
      <c r="H82" s="29">
        <f>IFERROR(VALUE(LEFT(G82,FIND("-",G82)-1))*2,"")</f>
        <v/>
      </c>
      <c r="I82" s="29" t="inlineStr">
        <is>
          <t>Available</t>
        </is>
      </c>
      <c r="J82" s="53" t="n">
        <v>90.97</v>
      </c>
      <c r="K82" s="53" t="n"/>
      <c r="L82" s="54">
        <f>IF(J82&lt;&gt;"",IF(H82="","",J82/H82),IF(K82&lt;&gt;"",K82,""))</f>
        <v/>
      </c>
      <c r="M82" s="29" t="inlineStr">
        <is>
          <t>unknown</t>
        </is>
      </c>
      <c r="N82" s="29" t="inlineStr">
        <is>
          <t>enni.space (City of London Academy Shoreditch Park)</t>
        </is>
      </c>
      <c r="O82" s="35" t="inlineStr">
        <is>
          <t>https://enni.space/search/21782-cola-shoreditch-park-3g-5-a-side-pitch</t>
        </is>
      </c>
      <c r="P82" s="29" t="inlineStr">
        <is>
          <t>Pitch free 17:30-22:00. Rooftop 3G. Price-from per hour</t>
        </is>
      </c>
      <c r="Q82" s="29">
        <f>IF(I82="Available",COUNTIFS($A$2:$A$90,A82,$I$2:$I$90,"Available",$F$2:$F$90,"&lt;"&amp;F82)+1,"")</f>
        <v/>
      </c>
      <c r="R82" s="29">
        <f>IF(Q82="","",A82&amp;"#"&amp;Q82)</f>
        <v/>
      </c>
    </row>
    <row r="83">
      <c r="A83" s="29" t="inlineStr">
        <is>
          <t>COLA Shoreditch Park</t>
        </is>
      </c>
      <c r="B83" s="50" t="n">
        <v>46317</v>
      </c>
      <c r="C83" s="29" t="inlineStr">
        <is>
          <t>Thu</t>
        </is>
      </c>
      <c r="D83" s="51" t="n">
        <v>0.7708333333333334</v>
      </c>
      <c r="E83" s="51" t="n">
        <v>0.8125</v>
      </c>
      <c r="F83" s="52">
        <f>IF(B83="","",B83+D83)</f>
        <v/>
      </c>
      <c r="G83" s="29" t="inlineStr">
        <is>
          <t>5-a-side</t>
        </is>
      </c>
      <c r="H83" s="29">
        <f>IFERROR(VALUE(LEFT(G83,FIND("-",G83)-1))*2,"")</f>
        <v/>
      </c>
      <c r="I83" s="29" t="inlineStr">
        <is>
          <t>Available</t>
        </is>
      </c>
      <c r="J83" s="53" t="n">
        <v>90.97</v>
      </c>
      <c r="K83" s="53" t="n"/>
      <c r="L83" s="54">
        <f>IF(J83&lt;&gt;"",IF(H83="","",J83/H83),IF(K83&lt;&gt;"",K83,""))</f>
        <v/>
      </c>
      <c r="M83" s="29" t="inlineStr">
        <is>
          <t>unknown</t>
        </is>
      </c>
      <c r="N83" s="29" t="inlineStr">
        <is>
          <t>enni.space (City of London Academy Shoreditch Park)</t>
        </is>
      </c>
      <c r="O83" s="35" t="inlineStr">
        <is>
          <t>https://enni.space/search/21782-cola-shoreditch-park-3g-5-a-side-pitch</t>
        </is>
      </c>
      <c r="P83" s="29" t="inlineStr">
        <is>
          <t>Pitch free 17:30-22:00. Rooftop 3G. Price-from per hour</t>
        </is>
      </c>
      <c r="Q83" s="29">
        <f>IF(I83="Available",COUNTIFS($A$2:$A$90,A83,$I$2:$I$90,"Available",$F$2:$F$90,"&lt;"&amp;F83)+1,"")</f>
        <v/>
      </c>
      <c r="R83" s="29">
        <f>IF(Q83="","",A83&amp;"#"&amp;Q83)</f>
        <v/>
      </c>
    </row>
    <row r="84">
      <c r="A84" s="29" t="inlineStr">
        <is>
          <t>COLA Shoreditch Park</t>
        </is>
      </c>
      <c r="B84" s="50" t="n">
        <v>46317</v>
      </c>
      <c r="C84" s="29" t="inlineStr">
        <is>
          <t>Thu</t>
        </is>
      </c>
      <c r="D84" s="51" t="n">
        <v>0.8125</v>
      </c>
      <c r="E84" s="51" t="n">
        <v>0.8541666666666666</v>
      </c>
      <c r="F84" s="52">
        <f>IF(B84="","",B84+D84)</f>
        <v/>
      </c>
      <c r="G84" s="29" t="inlineStr">
        <is>
          <t>5-a-side</t>
        </is>
      </c>
      <c r="H84" s="29">
        <f>IFERROR(VALUE(LEFT(G84,FIND("-",G84)-1))*2,"")</f>
        <v/>
      </c>
      <c r="I84" s="29" t="inlineStr">
        <is>
          <t>Available</t>
        </is>
      </c>
      <c r="J84" s="53" t="n">
        <v>90.97</v>
      </c>
      <c r="K84" s="53" t="n"/>
      <c r="L84" s="54">
        <f>IF(J84&lt;&gt;"",IF(H84="","",J84/H84),IF(K84&lt;&gt;"",K84,""))</f>
        <v/>
      </c>
      <c r="M84" s="29" t="inlineStr">
        <is>
          <t>unknown</t>
        </is>
      </c>
      <c r="N84" s="29" t="inlineStr">
        <is>
          <t>enni.space (City of London Academy Shoreditch Park)</t>
        </is>
      </c>
      <c r="O84" s="35" t="inlineStr">
        <is>
          <t>https://enni.space/search/21782-cola-shoreditch-park-3g-5-a-side-pitch</t>
        </is>
      </c>
      <c r="P84" s="29" t="inlineStr">
        <is>
          <t>Pitch free 17:30-22:00. Rooftop 3G. Price-from per hour</t>
        </is>
      </c>
      <c r="Q84" s="29">
        <f>IF(I84="Available",COUNTIFS($A$2:$A$90,A84,$I$2:$I$90,"Available",$F$2:$F$90,"&lt;"&amp;F84)+1,"")</f>
        <v/>
      </c>
      <c r="R84" s="29">
        <f>IF(Q84="","",A84&amp;"#"&amp;Q84)</f>
        <v/>
      </c>
    </row>
    <row r="85">
      <c r="A85" s="29" t="inlineStr">
        <is>
          <t>COLA Shoreditch Park</t>
        </is>
      </c>
      <c r="B85" s="50" t="n">
        <v>46317</v>
      </c>
      <c r="C85" s="29" t="inlineStr">
        <is>
          <t>Thu</t>
        </is>
      </c>
      <c r="D85" s="51" t="n">
        <v>0.8541666666666666</v>
      </c>
      <c r="E85" s="51" t="n">
        <v>0.8958333333333334</v>
      </c>
      <c r="F85" s="52">
        <f>IF(B85="","",B85+D85)</f>
        <v/>
      </c>
      <c r="G85" s="29" t="inlineStr">
        <is>
          <t>5-a-side</t>
        </is>
      </c>
      <c r="H85" s="29">
        <f>IFERROR(VALUE(LEFT(G85,FIND("-",G85)-1))*2,"")</f>
        <v/>
      </c>
      <c r="I85" s="29" t="inlineStr">
        <is>
          <t>Available</t>
        </is>
      </c>
      <c r="J85" s="53" t="n">
        <v>90.97</v>
      </c>
      <c r="K85" s="53" t="n"/>
      <c r="L85" s="54">
        <f>IF(J85&lt;&gt;"",IF(H85="","",J85/H85),IF(K85&lt;&gt;"",K85,""))</f>
        <v/>
      </c>
      <c r="M85" s="29" t="inlineStr">
        <is>
          <t>unknown</t>
        </is>
      </c>
      <c r="N85" s="29" t="inlineStr">
        <is>
          <t>enni.space (City of London Academy Shoreditch Park)</t>
        </is>
      </c>
      <c r="O85" s="35" t="inlineStr">
        <is>
          <t>https://enni.space/search/21782-cola-shoreditch-park-3g-5-a-side-pitch</t>
        </is>
      </c>
      <c r="P85" s="29" t="inlineStr">
        <is>
          <t>Pitch free 17:30-22:00. Rooftop 3G. Price-from per hour</t>
        </is>
      </c>
      <c r="Q85" s="29">
        <f>IF(I85="Available",COUNTIFS($A$2:$A$90,A85,$I$2:$I$90,"Available",$F$2:$F$90,"&lt;"&amp;F85)+1,"")</f>
        <v/>
      </c>
      <c r="R85" s="29">
        <f>IF(Q85="","",A85&amp;"#"&amp;Q85)</f>
        <v/>
      </c>
    </row>
    <row r="86">
      <c r="A86" s="29" t="inlineStr">
        <is>
          <t>COLA Shoreditch Park</t>
        </is>
      </c>
      <c r="B86" s="50" t="n">
        <v>46318</v>
      </c>
      <c r="C86" s="29" t="inlineStr">
        <is>
          <t>Fri</t>
        </is>
      </c>
      <c r="D86" s="51" t="n">
        <v>0.7291666666666666</v>
      </c>
      <c r="E86" s="51" t="n">
        <v>0.7708333333333334</v>
      </c>
      <c r="F86" s="52">
        <f>IF(B86="","",B86+D86)</f>
        <v/>
      </c>
      <c r="G86" s="29" t="inlineStr">
        <is>
          <t>5-a-side</t>
        </is>
      </c>
      <c r="H86" s="29">
        <f>IFERROR(VALUE(LEFT(G86,FIND("-",G86)-1))*2,"")</f>
        <v/>
      </c>
      <c r="I86" s="29" t="inlineStr">
        <is>
          <t>Available</t>
        </is>
      </c>
      <c r="J86" s="53" t="n">
        <v>90.97</v>
      </c>
      <c r="K86" s="53" t="n"/>
      <c r="L86" s="54">
        <f>IF(J86&lt;&gt;"",IF(H86="","",J86/H86),IF(K86&lt;&gt;"",K86,""))</f>
        <v/>
      </c>
      <c r="M86" s="29" t="inlineStr">
        <is>
          <t>unknown</t>
        </is>
      </c>
      <c r="N86" s="29" t="inlineStr">
        <is>
          <t>enni.space (City of London Academy Shoreditch Park)</t>
        </is>
      </c>
      <c r="O86" s="35" t="inlineStr">
        <is>
          <t>https://enni.space/search/21782-cola-shoreditch-park-3g-5-a-side-pitch</t>
        </is>
      </c>
      <c r="P86" s="29" t="inlineStr">
        <is>
          <t>Pitch free 17:30-22:00. Rooftop 3G. Price-from per hour</t>
        </is>
      </c>
      <c r="Q86" s="29">
        <f>IF(I86="Available",COUNTIFS($A$2:$A$90,A86,$I$2:$I$90,"Available",$F$2:$F$90,"&lt;"&amp;F86)+1,"")</f>
        <v/>
      </c>
      <c r="R86" s="29">
        <f>IF(Q86="","",A86&amp;"#"&amp;Q86)</f>
        <v/>
      </c>
    </row>
    <row r="87">
      <c r="A87" s="29" t="inlineStr">
        <is>
          <t>COLA Shoreditch Park</t>
        </is>
      </c>
      <c r="B87" s="50" t="n">
        <v>46318</v>
      </c>
      <c r="C87" s="29" t="inlineStr">
        <is>
          <t>Fri</t>
        </is>
      </c>
      <c r="D87" s="51" t="n">
        <v>0.7708333333333334</v>
      </c>
      <c r="E87" s="51" t="n">
        <v>0.8125</v>
      </c>
      <c r="F87" s="52">
        <f>IF(B87="","",B87+D87)</f>
        <v/>
      </c>
      <c r="G87" s="29" t="inlineStr">
        <is>
          <t>5-a-side</t>
        </is>
      </c>
      <c r="H87" s="29">
        <f>IFERROR(VALUE(LEFT(G87,FIND("-",G87)-1))*2,"")</f>
        <v/>
      </c>
      <c r="I87" s="29" t="inlineStr">
        <is>
          <t>Available</t>
        </is>
      </c>
      <c r="J87" s="53" t="n">
        <v>90.97</v>
      </c>
      <c r="K87" s="53" t="n"/>
      <c r="L87" s="54">
        <f>IF(J87&lt;&gt;"",IF(H87="","",J87/H87),IF(K87&lt;&gt;"",K87,""))</f>
        <v/>
      </c>
      <c r="M87" s="29" t="inlineStr">
        <is>
          <t>unknown</t>
        </is>
      </c>
      <c r="N87" s="29" t="inlineStr">
        <is>
          <t>enni.space (City of London Academy Shoreditch Park)</t>
        </is>
      </c>
      <c r="O87" s="35" t="inlineStr">
        <is>
          <t>https://enni.space/search/21782-cola-shoreditch-park-3g-5-a-side-pitch</t>
        </is>
      </c>
      <c r="P87" s="29" t="inlineStr">
        <is>
          <t>Pitch free 17:30-22:00. Rooftop 3G. Price-from per hour</t>
        </is>
      </c>
      <c r="Q87" s="29">
        <f>IF(I87="Available",COUNTIFS($A$2:$A$90,A87,$I$2:$I$90,"Available",$F$2:$F$90,"&lt;"&amp;F87)+1,"")</f>
        <v/>
      </c>
      <c r="R87" s="29">
        <f>IF(Q87="","",A87&amp;"#"&amp;Q87)</f>
        <v/>
      </c>
    </row>
    <row r="88">
      <c r="A88" s="29" t="inlineStr">
        <is>
          <t>COLA Shoreditch Park</t>
        </is>
      </c>
      <c r="B88" s="50" t="n">
        <v>46318</v>
      </c>
      <c r="C88" s="29" t="inlineStr">
        <is>
          <t>Fri</t>
        </is>
      </c>
      <c r="D88" s="51" t="n">
        <v>0.8125</v>
      </c>
      <c r="E88" s="51" t="n">
        <v>0.8541666666666666</v>
      </c>
      <c r="F88" s="52">
        <f>IF(B88="","",B88+D88)</f>
        <v/>
      </c>
      <c r="G88" s="29" t="inlineStr">
        <is>
          <t>5-a-side</t>
        </is>
      </c>
      <c r="H88" s="29">
        <f>IFERROR(VALUE(LEFT(G88,FIND("-",G88)-1))*2,"")</f>
        <v/>
      </c>
      <c r="I88" s="29" t="inlineStr">
        <is>
          <t>Available</t>
        </is>
      </c>
      <c r="J88" s="53" t="n">
        <v>90.97</v>
      </c>
      <c r="K88" s="53" t="n"/>
      <c r="L88" s="54">
        <f>IF(J88&lt;&gt;"",IF(H88="","",J88/H88),IF(K88&lt;&gt;"",K88,""))</f>
        <v/>
      </c>
      <c r="M88" s="29" t="inlineStr">
        <is>
          <t>unknown</t>
        </is>
      </c>
      <c r="N88" s="29" t="inlineStr">
        <is>
          <t>enni.space (City of London Academy Shoreditch Park)</t>
        </is>
      </c>
      <c r="O88" s="35" t="inlineStr">
        <is>
          <t>https://enni.space/search/21782-cola-shoreditch-park-3g-5-a-side-pitch</t>
        </is>
      </c>
      <c r="P88" s="29" t="inlineStr">
        <is>
          <t>Pitch free 17:30-22:00. Rooftop 3G. Price-from per hour</t>
        </is>
      </c>
      <c r="Q88" s="29">
        <f>IF(I88="Available",COUNTIFS($A$2:$A$90,A88,$I$2:$I$90,"Available",$F$2:$F$90,"&lt;"&amp;F88)+1,"")</f>
        <v/>
      </c>
      <c r="R88" s="29">
        <f>IF(Q88="","",A88&amp;"#"&amp;Q88)</f>
        <v/>
      </c>
    </row>
    <row r="89">
      <c r="A89" s="29" t="inlineStr">
        <is>
          <t>COLA Shoreditch Park</t>
        </is>
      </c>
      <c r="B89" s="50" t="n">
        <v>46318</v>
      </c>
      <c r="C89" s="29" t="inlineStr">
        <is>
          <t>Fri</t>
        </is>
      </c>
      <c r="D89" s="51" t="n">
        <v>0.8541666666666666</v>
      </c>
      <c r="E89" s="51" t="n">
        <v>0.8958333333333334</v>
      </c>
      <c r="F89" s="52">
        <f>IF(B89="","",B89+D89)</f>
        <v/>
      </c>
      <c r="G89" s="29" t="inlineStr">
        <is>
          <t>5-a-side</t>
        </is>
      </c>
      <c r="H89" s="29">
        <f>IFERROR(VALUE(LEFT(G89,FIND("-",G89)-1))*2,"")</f>
        <v/>
      </c>
      <c r="I89" s="29" t="inlineStr">
        <is>
          <t>Available</t>
        </is>
      </c>
      <c r="J89" s="53" t="n">
        <v>90.97</v>
      </c>
      <c r="K89" s="53" t="n"/>
      <c r="L89" s="54">
        <f>IF(J89&lt;&gt;"",IF(H89="","",J89/H89),IF(K89&lt;&gt;"",K89,""))</f>
        <v/>
      </c>
      <c r="M89" s="29" t="inlineStr">
        <is>
          <t>unknown</t>
        </is>
      </c>
      <c r="N89" s="29" t="inlineStr">
        <is>
          <t>enni.space (City of London Academy Shoreditch Park)</t>
        </is>
      </c>
      <c r="O89" s="35" t="inlineStr">
        <is>
          <t>https://enni.space/search/21782-cola-shoreditch-park-3g-5-a-side-pitch</t>
        </is>
      </c>
      <c r="P89" s="29" t="inlineStr">
        <is>
          <t>Pitch free 17:30-22:00. Rooftop 3G. Price-from per hour</t>
        </is>
      </c>
      <c r="Q89" s="29">
        <f>IF(I89="Available",COUNTIFS($A$2:$A$90,A89,$I$2:$I$90,"Available",$F$2:$F$90,"&lt;"&amp;F89)+1,"")</f>
        <v/>
      </c>
      <c r="R89" s="29">
        <f>IF(Q89="","",A89&amp;"#"&amp;Q89)</f>
        <v/>
      </c>
    </row>
    <row r="90">
      <c r="A90" s="29" t="inlineStr">
        <is>
          <t>Market Road</t>
        </is>
      </c>
      <c r="B90" s="50" t="n">
        <v>46293</v>
      </c>
      <c r="C90" s="29" t="inlineStr">
        <is>
          <t>Mon</t>
        </is>
      </c>
      <c r="D90" s="51" t="n">
        <v>0.75</v>
      </c>
      <c r="E90" s="51" t="n">
        <v>0.7916666666666666</v>
      </c>
      <c r="F90" s="52">
        <f>IF(B90="","",B90+D90)</f>
        <v/>
      </c>
      <c r="G90" s="29" t="inlineStr">
        <is>
          <t>5-a-side</t>
        </is>
      </c>
      <c r="H90" s="29">
        <f>IFERROR(VALUE(LEFT(G90,FIND("-",G90)-1))*2,"")</f>
        <v/>
      </c>
      <c r="I90" s="29" t="inlineStr">
        <is>
          <t>Available</t>
        </is>
      </c>
      <c r="J90" s="53" t="n">
        <v>110.3</v>
      </c>
      <c r="K90" s="53" t="n"/>
      <c r="L90" s="54">
        <f>IF(J90&lt;&gt;"",IF(H90="","",J90/H90),IF(K90&lt;&gt;"",K90,""))</f>
        <v/>
      </c>
      <c r="M90" s="29" t="inlineStr">
        <is>
          <t>yes</t>
        </is>
      </c>
      <c r="N90" s="29" t="inlineStr">
        <is>
          <t>Better (GLL) - Islington Tennis Centre</t>
        </is>
      </c>
      <c r="O90" s="35" t="inlineStr">
        <is>
          <t>https://bookings.better.org.uk/location/islington-tennis-centre/market-road</t>
        </is>
      </c>
      <c r="P90" s="29" t="inlineStr">
        <is>
          <t>1 of 3 pitches left. 29 Sep 18:00 full. 30 Sep onwards not released yet (6-day window). PlayFootball 7-a-side is fully booked 17:00-21:00 on 28 Sep and later dates are not open online</t>
        </is>
      </c>
      <c r="Q90" s="29">
        <f>IF(I90="Available",COUNTIFS($A$2:$A$90,A90,$I$2:$I$90,"Available",$F$2:$F$90,"&lt;"&amp;F90)+1,"")</f>
        <v/>
      </c>
      <c r="R90" s="29">
        <f>IF(Q90="","",A90&amp;"#"&amp;Q90)</f>
        <v/>
      </c>
    </row>
  </sheetData>
  <autoFilter ref="A1:R90"/>
  <hyperlinks>
    <hyperlink xmlns:r="http://schemas.openxmlformats.org/officeDocument/2006/relationships" ref="O2" r:id="rId1"/>
    <hyperlink xmlns:r="http://schemas.openxmlformats.org/officeDocument/2006/relationships" ref="O3" r:id="rId2"/>
    <hyperlink xmlns:r="http://schemas.openxmlformats.org/officeDocument/2006/relationships" ref="O4" r:id="rId3"/>
    <hyperlink xmlns:r="http://schemas.openxmlformats.org/officeDocument/2006/relationships" ref="O5" r:id="rId4"/>
    <hyperlink xmlns:r="http://schemas.openxmlformats.org/officeDocument/2006/relationships" ref="O6" r:id="rId5"/>
    <hyperlink xmlns:r="http://schemas.openxmlformats.org/officeDocument/2006/relationships" ref="O7" r:id="rId6"/>
    <hyperlink xmlns:r="http://schemas.openxmlformats.org/officeDocument/2006/relationships" ref="O8" r:id="rId7"/>
    <hyperlink xmlns:r="http://schemas.openxmlformats.org/officeDocument/2006/relationships" ref="O9" r:id="rId8"/>
    <hyperlink xmlns:r="http://schemas.openxmlformats.org/officeDocument/2006/relationships" ref="O10" r:id="rId9"/>
    <hyperlink xmlns:r="http://schemas.openxmlformats.org/officeDocument/2006/relationships" ref="O11" r:id="rId10"/>
    <hyperlink xmlns:r="http://schemas.openxmlformats.org/officeDocument/2006/relationships" ref="O12" r:id="rId11"/>
    <hyperlink xmlns:r="http://schemas.openxmlformats.org/officeDocument/2006/relationships" ref="O13" r:id="rId12"/>
    <hyperlink xmlns:r="http://schemas.openxmlformats.org/officeDocument/2006/relationships" ref="O14" r:id="rId13"/>
    <hyperlink xmlns:r="http://schemas.openxmlformats.org/officeDocument/2006/relationships" ref="O15" r:id="rId14"/>
    <hyperlink xmlns:r="http://schemas.openxmlformats.org/officeDocument/2006/relationships" ref="O16" r:id="rId15"/>
    <hyperlink xmlns:r="http://schemas.openxmlformats.org/officeDocument/2006/relationships" ref="O17" r:id="rId16"/>
    <hyperlink xmlns:r="http://schemas.openxmlformats.org/officeDocument/2006/relationships" ref="O18" r:id="rId17"/>
    <hyperlink xmlns:r="http://schemas.openxmlformats.org/officeDocument/2006/relationships" ref="O19" r:id="rId18"/>
    <hyperlink xmlns:r="http://schemas.openxmlformats.org/officeDocument/2006/relationships" ref="O20" r:id="rId19"/>
    <hyperlink xmlns:r="http://schemas.openxmlformats.org/officeDocument/2006/relationships" ref="O21" r:id="rId20"/>
    <hyperlink xmlns:r="http://schemas.openxmlformats.org/officeDocument/2006/relationships" ref="O22" r:id="rId21"/>
    <hyperlink xmlns:r="http://schemas.openxmlformats.org/officeDocument/2006/relationships" ref="O23" r:id="rId22"/>
    <hyperlink xmlns:r="http://schemas.openxmlformats.org/officeDocument/2006/relationships" ref="O24" r:id="rId23"/>
    <hyperlink xmlns:r="http://schemas.openxmlformats.org/officeDocument/2006/relationships" ref="O25" r:id="rId24"/>
    <hyperlink xmlns:r="http://schemas.openxmlformats.org/officeDocument/2006/relationships" ref="O26" r:id="rId25"/>
    <hyperlink xmlns:r="http://schemas.openxmlformats.org/officeDocument/2006/relationships" ref="O27" r:id="rId26"/>
    <hyperlink xmlns:r="http://schemas.openxmlformats.org/officeDocument/2006/relationships" ref="O28" r:id="rId27"/>
    <hyperlink xmlns:r="http://schemas.openxmlformats.org/officeDocument/2006/relationships" ref="O29" r:id="rId28"/>
    <hyperlink xmlns:r="http://schemas.openxmlformats.org/officeDocument/2006/relationships" ref="O30" r:id="rId29"/>
    <hyperlink xmlns:r="http://schemas.openxmlformats.org/officeDocument/2006/relationships" ref="O31" r:id="rId30"/>
    <hyperlink xmlns:r="http://schemas.openxmlformats.org/officeDocument/2006/relationships" ref="O32" r:id="rId31"/>
    <hyperlink xmlns:r="http://schemas.openxmlformats.org/officeDocument/2006/relationships" ref="O33" r:id="rId32"/>
    <hyperlink xmlns:r="http://schemas.openxmlformats.org/officeDocument/2006/relationships" ref="O34" r:id="rId33"/>
    <hyperlink xmlns:r="http://schemas.openxmlformats.org/officeDocument/2006/relationships" ref="O35" r:id="rId34"/>
    <hyperlink xmlns:r="http://schemas.openxmlformats.org/officeDocument/2006/relationships" ref="O36" r:id="rId35"/>
    <hyperlink xmlns:r="http://schemas.openxmlformats.org/officeDocument/2006/relationships" ref="O37" r:id="rId36"/>
    <hyperlink xmlns:r="http://schemas.openxmlformats.org/officeDocument/2006/relationships" ref="O38" r:id="rId37"/>
    <hyperlink xmlns:r="http://schemas.openxmlformats.org/officeDocument/2006/relationships" ref="O39" r:id="rId38"/>
    <hyperlink xmlns:r="http://schemas.openxmlformats.org/officeDocument/2006/relationships" ref="O40" r:id="rId39"/>
    <hyperlink xmlns:r="http://schemas.openxmlformats.org/officeDocument/2006/relationships" ref="O41" r:id="rId40"/>
    <hyperlink xmlns:r="http://schemas.openxmlformats.org/officeDocument/2006/relationships" ref="O42" r:id="rId41"/>
    <hyperlink xmlns:r="http://schemas.openxmlformats.org/officeDocument/2006/relationships" ref="O43" r:id="rId42"/>
    <hyperlink xmlns:r="http://schemas.openxmlformats.org/officeDocument/2006/relationships" ref="O44" r:id="rId43"/>
    <hyperlink xmlns:r="http://schemas.openxmlformats.org/officeDocument/2006/relationships" ref="O45" r:id="rId44"/>
    <hyperlink xmlns:r="http://schemas.openxmlformats.org/officeDocument/2006/relationships" ref="O46" r:id="rId45"/>
    <hyperlink xmlns:r="http://schemas.openxmlformats.org/officeDocument/2006/relationships" ref="O47" r:id="rId46"/>
    <hyperlink xmlns:r="http://schemas.openxmlformats.org/officeDocument/2006/relationships" ref="O48" r:id="rId47"/>
    <hyperlink xmlns:r="http://schemas.openxmlformats.org/officeDocument/2006/relationships" ref="O49" r:id="rId48"/>
    <hyperlink xmlns:r="http://schemas.openxmlformats.org/officeDocument/2006/relationships" ref="O50" r:id="rId49"/>
    <hyperlink xmlns:r="http://schemas.openxmlformats.org/officeDocument/2006/relationships" ref="O51" r:id="rId50"/>
    <hyperlink xmlns:r="http://schemas.openxmlformats.org/officeDocument/2006/relationships" ref="O52" r:id="rId51"/>
    <hyperlink xmlns:r="http://schemas.openxmlformats.org/officeDocument/2006/relationships" ref="O53" r:id="rId52"/>
    <hyperlink xmlns:r="http://schemas.openxmlformats.org/officeDocument/2006/relationships" ref="O54" r:id="rId53"/>
    <hyperlink xmlns:r="http://schemas.openxmlformats.org/officeDocument/2006/relationships" ref="O55" r:id="rId54"/>
    <hyperlink xmlns:r="http://schemas.openxmlformats.org/officeDocument/2006/relationships" ref="O56" r:id="rId55"/>
    <hyperlink xmlns:r="http://schemas.openxmlformats.org/officeDocument/2006/relationships" ref="O57" r:id="rId56"/>
    <hyperlink xmlns:r="http://schemas.openxmlformats.org/officeDocument/2006/relationships" ref="O58" r:id="rId57"/>
    <hyperlink xmlns:r="http://schemas.openxmlformats.org/officeDocument/2006/relationships" ref="O59" r:id="rId58"/>
    <hyperlink xmlns:r="http://schemas.openxmlformats.org/officeDocument/2006/relationships" ref="O60" r:id="rId59"/>
    <hyperlink xmlns:r="http://schemas.openxmlformats.org/officeDocument/2006/relationships" ref="O61" r:id="rId60"/>
    <hyperlink xmlns:r="http://schemas.openxmlformats.org/officeDocument/2006/relationships" ref="O62" r:id="rId61"/>
    <hyperlink xmlns:r="http://schemas.openxmlformats.org/officeDocument/2006/relationships" ref="O63" r:id="rId62"/>
    <hyperlink xmlns:r="http://schemas.openxmlformats.org/officeDocument/2006/relationships" ref="O64" r:id="rId63"/>
    <hyperlink xmlns:r="http://schemas.openxmlformats.org/officeDocument/2006/relationships" ref="O65" r:id="rId64"/>
    <hyperlink xmlns:r="http://schemas.openxmlformats.org/officeDocument/2006/relationships" ref="O66" r:id="rId65"/>
    <hyperlink xmlns:r="http://schemas.openxmlformats.org/officeDocument/2006/relationships" ref="O67" r:id="rId66"/>
    <hyperlink xmlns:r="http://schemas.openxmlformats.org/officeDocument/2006/relationships" ref="O68" r:id="rId67"/>
    <hyperlink xmlns:r="http://schemas.openxmlformats.org/officeDocument/2006/relationships" ref="O69" r:id="rId68"/>
    <hyperlink xmlns:r="http://schemas.openxmlformats.org/officeDocument/2006/relationships" ref="O70" r:id="rId69"/>
    <hyperlink xmlns:r="http://schemas.openxmlformats.org/officeDocument/2006/relationships" ref="O71" r:id="rId70"/>
    <hyperlink xmlns:r="http://schemas.openxmlformats.org/officeDocument/2006/relationships" ref="O72" r:id="rId71"/>
    <hyperlink xmlns:r="http://schemas.openxmlformats.org/officeDocument/2006/relationships" ref="O73" r:id="rId72"/>
    <hyperlink xmlns:r="http://schemas.openxmlformats.org/officeDocument/2006/relationships" ref="O74" r:id="rId73"/>
    <hyperlink xmlns:r="http://schemas.openxmlformats.org/officeDocument/2006/relationships" ref="O75" r:id="rId74"/>
    <hyperlink xmlns:r="http://schemas.openxmlformats.org/officeDocument/2006/relationships" ref="O76" r:id="rId75"/>
    <hyperlink xmlns:r="http://schemas.openxmlformats.org/officeDocument/2006/relationships" ref="O77" r:id="rId76"/>
    <hyperlink xmlns:r="http://schemas.openxmlformats.org/officeDocument/2006/relationships" ref="O78" r:id="rId77"/>
    <hyperlink xmlns:r="http://schemas.openxmlformats.org/officeDocument/2006/relationships" ref="O79" r:id="rId78"/>
    <hyperlink xmlns:r="http://schemas.openxmlformats.org/officeDocument/2006/relationships" ref="O80" r:id="rId79"/>
    <hyperlink xmlns:r="http://schemas.openxmlformats.org/officeDocument/2006/relationships" ref="O81" r:id="rId80"/>
    <hyperlink xmlns:r="http://schemas.openxmlformats.org/officeDocument/2006/relationships" ref="O82" r:id="rId81"/>
    <hyperlink xmlns:r="http://schemas.openxmlformats.org/officeDocument/2006/relationships" ref="O83" r:id="rId82"/>
    <hyperlink xmlns:r="http://schemas.openxmlformats.org/officeDocument/2006/relationships" ref="O84" r:id="rId83"/>
    <hyperlink xmlns:r="http://schemas.openxmlformats.org/officeDocument/2006/relationships" ref="O85" r:id="rId84"/>
    <hyperlink xmlns:r="http://schemas.openxmlformats.org/officeDocument/2006/relationships" ref="O86" r:id="rId85"/>
    <hyperlink xmlns:r="http://schemas.openxmlformats.org/officeDocument/2006/relationships" ref="O87" r:id="rId86"/>
    <hyperlink xmlns:r="http://schemas.openxmlformats.org/officeDocument/2006/relationships" ref="O88" r:id="rId87"/>
    <hyperlink xmlns:r="http://schemas.openxmlformats.org/officeDocument/2006/relationships" ref="O89" r:id="rId88"/>
    <hyperlink xmlns:r="http://schemas.openxmlformats.org/officeDocument/2006/relationships" ref="O90" r:id="rId89"/>
  </hyperlink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9" t="inlineStr">
        <is>
          <t>Totals</t>
        </is>
      </c>
    </row>
    <row r="3">
      <c r="A3" s="21" t="inlineStr">
        <is>
          <t>Leads by tier</t>
        </is>
      </c>
    </row>
    <row r="4">
      <c r="A4" s="37" t="inlineStr"/>
      <c r="B4" s="37" t="inlineStr">
        <is>
          <t>Count</t>
        </is>
      </c>
    </row>
    <row r="5">
      <c r="A5" s="20" t="inlineStr">
        <is>
          <t>1 · E2 Haggerston</t>
        </is>
      </c>
      <c r="B5" s="20">
        <f>COUNTIF(Outreach!$B$3:$B$2000,A5)</f>
        <v/>
      </c>
    </row>
    <row r="6">
      <c r="A6" s="20" t="inlineStr">
        <is>
          <t>1 · E8 London Fields</t>
        </is>
      </c>
      <c r="B6" s="20">
        <f>COUNTIF(Outreach!$B$3:$B$2000,A6)</f>
        <v/>
      </c>
    </row>
    <row r="7">
      <c r="A7" s="20" t="inlineStr">
        <is>
          <t>2 · EC2A Shoreditch</t>
        </is>
      </c>
      <c r="B7" s="20">
        <f>COUNTIF(Outreach!$B$3:$B$2000,A7)</f>
        <v/>
      </c>
    </row>
    <row r="8">
      <c r="A8" s="20" t="inlineStr">
        <is>
          <t>2 · N1 Hoxton</t>
        </is>
      </c>
      <c r="B8" s="20">
        <f>COUNTIF(Outreach!$B$3:$B$2000,A8)</f>
        <v/>
      </c>
    </row>
    <row r="9">
      <c r="A9" s="20" t="inlineStr">
        <is>
          <t>3 · E1 Whitechapel</t>
        </is>
      </c>
      <c r="B9" s="20">
        <f>COUNTIF(Outreach!$B$3:$B$2000,A9)</f>
        <v/>
      </c>
    </row>
    <row r="10">
      <c r="A10" s="21" t="inlineStr">
        <is>
          <t>Total</t>
        </is>
      </c>
      <c r="B10" s="21">
        <f>SUM(B5:B9)</f>
        <v/>
      </c>
    </row>
    <row r="12">
      <c r="A12" s="21" t="inlineStr">
        <is>
          <t>Leads by segment</t>
        </is>
      </c>
    </row>
    <row r="13">
      <c r="A13" s="37" t="inlineStr"/>
      <c r="B13" s="37" t="inlineStr">
        <is>
          <t>Count</t>
        </is>
      </c>
    </row>
    <row r="14">
      <c r="A14" s="20" t="inlineStr">
        <is>
          <t>Office &amp; professional</t>
        </is>
      </c>
      <c r="B14" s="20">
        <f>COUNTIF(Outreach!$C$3:$C$2000,A14)</f>
        <v/>
      </c>
    </row>
    <row r="15">
      <c r="A15" s="20" t="inlineStr">
        <is>
          <t>Coworking / shared office</t>
        </is>
      </c>
      <c r="B15" s="20">
        <f>COUNTIF(Outreach!$C$3:$C$2000,A15)</f>
        <v/>
      </c>
    </row>
    <row r="16">
      <c r="A16" s="20" t="inlineStr">
        <is>
          <t>Hospitality</t>
        </is>
      </c>
      <c r="B16" s="20">
        <f>COUNTIF(Outreach!$C$3:$C$2000,A16)</f>
        <v/>
      </c>
    </row>
    <row r="17">
      <c r="A17" s="20" t="inlineStr">
        <is>
          <t>Education</t>
        </is>
      </c>
      <c r="B17" s="20">
        <f>COUNTIF(Outreach!$C$3:$C$2000,A17)</f>
        <v/>
      </c>
    </row>
    <row r="18">
      <c r="A18" s="20" t="inlineStr">
        <is>
          <t>Retail</t>
        </is>
      </c>
      <c r="B18" s="20">
        <f>COUNTIF(Outreach!$C$3:$C$2000,A18)</f>
        <v/>
      </c>
    </row>
    <row r="19">
      <c r="A19" s="20" t="inlineStr">
        <is>
          <t>Leisure &amp; culture</t>
        </is>
      </c>
      <c r="B19" s="20">
        <f>COUNTIF(Outreach!$C$3:$C$2000,A19)</f>
        <v/>
      </c>
    </row>
    <row r="20">
      <c r="A20" s="20" t="inlineStr">
        <is>
          <t>Health</t>
        </is>
      </c>
      <c r="B20" s="20">
        <f>COUNTIF(Outreach!$C$3:$C$2000,A20)</f>
        <v/>
      </c>
    </row>
    <row r="21">
      <c r="A21" s="20" t="inlineStr">
        <is>
          <t>Other</t>
        </is>
      </c>
      <c r="B21" s="20">
        <f>COUNTIF(Outreach!$C$3:$C$2000,A21)</f>
        <v/>
      </c>
    </row>
    <row r="22">
      <c r="A22" s="21" t="inlineStr">
        <is>
          <t>Total</t>
        </is>
      </c>
      <c r="B22" s="21">
        <f>SUM(B14:B21)</f>
        <v/>
      </c>
    </row>
    <row r="24">
      <c r="A24" s="21" t="inlineStr">
        <is>
          <t>Leads by tagged-venue status</t>
        </is>
      </c>
    </row>
    <row r="25">
      <c r="A25" s="37" t="inlineStr"/>
      <c r="B25" s="37" t="inlineStr">
        <is>
          <t>Count</t>
        </is>
      </c>
    </row>
    <row r="26">
      <c r="A26" s="20" t="inlineStr">
        <is>
          <t>Available</t>
        </is>
      </c>
      <c r="B26" s="20">
        <f>COUNTIF(Outreach!$O$3:$O$2000,A26)</f>
        <v/>
      </c>
    </row>
    <row r="27">
      <c r="A27" s="20" t="inlineStr">
        <is>
          <t>Contact required</t>
        </is>
      </c>
      <c r="B27" s="20">
        <f>COUNTIF(Outreach!$O$3:$O$2000,A27)</f>
        <v/>
      </c>
    </row>
    <row r="28">
      <c r="A28" s="20" t="inlineStr">
        <is>
          <t>No availability</t>
        </is>
      </c>
      <c r="B28" s="20">
        <f>COUNTIF(Outreach!$O$3:$O$2000,A28)</f>
        <v/>
      </c>
    </row>
    <row r="29">
      <c r="A29" s="21" t="inlineStr">
        <is>
          <t>Total</t>
        </is>
      </c>
      <c r="B29" s="21">
        <f>SUM(B26:B28)</f>
        <v/>
      </c>
    </row>
    <row r="31">
      <c r="A31" s="21" t="inlineStr">
        <is>
          <t>Funnel (from the Tracking columns on Outreach)</t>
        </is>
      </c>
    </row>
    <row r="32">
      <c r="A32" s="37" t="inlineStr">
        <is>
          <t>Stage</t>
        </is>
      </c>
      <c r="B32" s="37" t="inlineStr">
        <is>
          <t>Leads</t>
        </is>
      </c>
      <c r="C32" s="37" t="inlineStr">
        <is>
          <t>% of previous stage</t>
        </is>
      </c>
    </row>
    <row r="33">
      <c r="A33" s="20" t="inlineStr">
        <is>
          <t>Contacted</t>
        </is>
      </c>
      <c r="B33" s="20">
        <f>COUNTIF(Outreach!$AD$3:$AD$2000,"&gt;0")</f>
        <v/>
      </c>
    </row>
    <row r="34">
      <c r="A34" s="20" t="inlineStr">
        <is>
          <t>Replied</t>
        </is>
      </c>
      <c r="B34" s="20">
        <f>COUNTIF(Outreach!$AE$3:$AE$2000,"Yes")</f>
        <v/>
      </c>
      <c r="C34" s="55">
        <f>IF(B33=0,"",B34/B33)</f>
        <v/>
      </c>
    </row>
    <row r="35">
      <c r="A35" s="20" t="inlineStr">
        <is>
          <t>Call booked</t>
        </is>
      </c>
      <c r="B35" s="20">
        <f>COUNTIF(Outreach!$AF$3:$AF$2000,"Yes")</f>
        <v/>
      </c>
      <c r="C35" s="55">
        <f>IF(B34=0,"",B35/B34)</f>
        <v/>
      </c>
    </row>
    <row r="36">
      <c r="A36" s="20" t="inlineStr">
        <is>
          <t>Group created</t>
        </is>
      </c>
      <c r="B36" s="20">
        <f>COUNTIF(Outreach!$AG$3:$AG$2000,"Yes")</f>
        <v/>
      </c>
      <c r="C36" s="55">
        <f>IF(B35=0,"",B36/B35)</f>
        <v/>
      </c>
    </row>
    <row r="37">
      <c r="A37" s="20" t="inlineStr">
        <is>
          <t>First game booked</t>
        </is>
      </c>
      <c r="B37" s="20">
        <f>COUNTIF(Outreach!$AH$3:$AH$2000,"Yes")</f>
        <v/>
      </c>
      <c r="C37" s="55">
        <f>IF(B36=0,"",B37/B36)</f>
        <v/>
      </c>
    </row>
    <row r="38">
      <c r="A38" s="20" t="inlineStr">
        <is>
          <t>Second game booked</t>
        </is>
      </c>
      <c r="B38" s="20">
        <f>COUNTIF(Outreach!$AI$3:$AI$2000,"Yes")</f>
        <v/>
      </c>
      <c r="C38" s="55">
        <f>IF(B37=0,"",B38/B37)</f>
        <v/>
      </c>
    </row>
    <row r="39">
      <c r="A39" s="20" t="inlineStr">
        <is>
          <t>Saw FC Urban as a competitor</t>
        </is>
      </c>
      <c r="B39" s="20">
        <f>COUNTIF(Outreach!$AJ$3:$AJ$2000,"Yes")</f>
        <v/>
      </c>
    </row>
    <row r="42">
      <c r="A42" s="21" t="inlineStr">
        <is>
          <t>Funnel by channel</t>
        </is>
      </c>
    </row>
    <row r="43">
      <c r="A43" s="37" t="inlineStr">
        <is>
          <t>Channel</t>
        </is>
      </c>
      <c r="B43" s="37" t="inlineStr">
        <is>
          <t>Contacted</t>
        </is>
      </c>
      <c r="C43" s="37" t="inlineStr">
        <is>
          <t>Replied</t>
        </is>
      </c>
      <c r="D43" s="37" t="inlineStr">
        <is>
          <t>Call booked</t>
        </is>
      </c>
      <c r="E43" s="37" t="inlineStr">
        <is>
          <t>Group created</t>
        </is>
      </c>
      <c r="F43" s="37" t="inlineStr">
        <is>
          <t>First game booked</t>
        </is>
      </c>
      <c r="G43" s="37" t="inlineStr">
        <is>
          <t>Second game booked</t>
        </is>
      </c>
    </row>
    <row r="44">
      <c r="A44" s="20" t="inlineStr">
        <is>
          <t>Email</t>
        </is>
      </c>
      <c r="B44" s="20">
        <f>COUNTIFS(Outreach!$AC$3:$AC$2000,$A44,Outreach!$AD$3:$AD$2000,"&gt;0")</f>
        <v/>
      </c>
      <c r="C44" s="20">
        <f>COUNTIFS(Outreach!$AC$3:$AC$2000,$A44,Outreach!$AE$3:$AE$2000,"Yes")</f>
        <v/>
      </c>
      <c r="D44" s="20">
        <f>COUNTIFS(Outreach!$AC$3:$AC$2000,$A44,Outreach!$AF$3:$AF$2000,"Yes")</f>
        <v/>
      </c>
      <c r="E44" s="20">
        <f>COUNTIFS(Outreach!$AC$3:$AC$2000,$A44,Outreach!$AG$3:$AG$2000,"Yes")</f>
        <v/>
      </c>
      <c r="F44" s="20">
        <f>COUNTIFS(Outreach!$AC$3:$AC$2000,$A44,Outreach!$AH$3:$AH$2000,"Yes")</f>
        <v/>
      </c>
      <c r="G44" s="20">
        <f>COUNTIFS(Outreach!$AC$3:$AC$2000,$A44,Outreach!$AI$3:$AI$2000,"Yes")</f>
        <v/>
      </c>
    </row>
    <row r="45">
      <c r="A45" s="20" t="inlineStr">
        <is>
          <t>LinkedIn</t>
        </is>
      </c>
      <c r="B45" s="20">
        <f>COUNTIFS(Outreach!$AC$3:$AC$2000,$A45,Outreach!$AD$3:$AD$2000,"&gt;0")</f>
        <v/>
      </c>
      <c r="C45" s="20">
        <f>COUNTIFS(Outreach!$AC$3:$AC$2000,$A45,Outreach!$AE$3:$AE$2000,"Yes")</f>
        <v/>
      </c>
      <c r="D45" s="20">
        <f>COUNTIFS(Outreach!$AC$3:$AC$2000,$A45,Outreach!$AF$3:$AF$2000,"Yes")</f>
        <v/>
      </c>
      <c r="E45" s="20">
        <f>COUNTIFS(Outreach!$AC$3:$AC$2000,$A45,Outreach!$AG$3:$AG$2000,"Yes")</f>
        <v/>
      </c>
      <c r="F45" s="20">
        <f>COUNTIFS(Outreach!$AC$3:$AC$2000,$A45,Outreach!$AH$3:$AH$2000,"Yes")</f>
        <v/>
      </c>
      <c r="G45" s="20">
        <f>COUNTIFS(Outreach!$AC$3:$AC$2000,$A45,Outreach!$AI$3:$AI$2000,"Yes")</f>
        <v/>
      </c>
    </row>
    <row r="46">
      <c r="A46" s="20" t="inlineStr">
        <is>
          <t>Phone</t>
        </is>
      </c>
      <c r="B46" s="20">
        <f>COUNTIFS(Outreach!$AC$3:$AC$2000,$A46,Outreach!$AD$3:$AD$2000,"&gt;0")</f>
        <v/>
      </c>
      <c r="C46" s="20">
        <f>COUNTIFS(Outreach!$AC$3:$AC$2000,$A46,Outreach!$AE$3:$AE$2000,"Yes")</f>
        <v/>
      </c>
      <c r="D46" s="20">
        <f>COUNTIFS(Outreach!$AC$3:$AC$2000,$A46,Outreach!$AF$3:$AF$2000,"Yes")</f>
        <v/>
      </c>
      <c r="E46" s="20">
        <f>COUNTIFS(Outreach!$AC$3:$AC$2000,$A46,Outreach!$AG$3:$AG$2000,"Yes")</f>
        <v/>
      </c>
      <c r="F46" s="20">
        <f>COUNTIFS(Outreach!$AC$3:$AC$2000,$A46,Outreach!$AH$3:$AH$2000,"Yes")</f>
        <v/>
      </c>
      <c r="G46" s="20">
        <f>COUNTIFS(Outreach!$AC$3:$AC$2000,$A46,Outreach!$AI$3:$AI$2000,"Yes")</f>
        <v/>
      </c>
    </row>
    <row r="47">
      <c r="A47" s="20" t="inlineStr">
        <is>
          <t>Instagram</t>
        </is>
      </c>
      <c r="B47" s="20">
        <f>COUNTIFS(Outreach!$AC$3:$AC$2000,$A47,Outreach!$AD$3:$AD$2000,"&gt;0")</f>
        <v/>
      </c>
      <c r="C47" s="20">
        <f>COUNTIFS(Outreach!$AC$3:$AC$2000,$A47,Outreach!$AE$3:$AE$2000,"Yes")</f>
        <v/>
      </c>
      <c r="D47" s="20">
        <f>COUNTIFS(Outreach!$AC$3:$AC$2000,$A47,Outreach!$AF$3:$AF$2000,"Yes")</f>
        <v/>
      </c>
      <c r="E47" s="20">
        <f>COUNTIFS(Outreach!$AC$3:$AC$2000,$A47,Outreach!$AG$3:$AG$2000,"Yes")</f>
        <v/>
      </c>
      <c r="F47" s="20">
        <f>COUNTIFS(Outreach!$AC$3:$AC$2000,$A47,Outreach!$AH$3:$AH$2000,"Yes")</f>
        <v/>
      </c>
      <c r="G47" s="20">
        <f>COUNTIFS(Outreach!$AC$3:$AC$2000,$A47,Outreach!$AI$3:$AI$2000,"Yes")</f>
        <v/>
      </c>
    </row>
    <row r="48">
      <c r="A48" s="20" t="inlineStr">
        <is>
          <t>WhatsApp</t>
        </is>
      </c>
      <c r="B48" s="20">
        <f>COUNTIFS(Outreach!$AC$3:$AC$2000,$A48,Outreach!$AD$3:$AD$2000,"&gt;0")</f>
        <v/>
      </c>
      <c r="C48" s="20">
        <f>COUNTIFS(Outreach!$AC$3:$AC$2000,$A48,Outreach!$AE$3:$AE$2000,"Yes")</f>
        <v/>
      </c>
      <c r="D48" s="20">
        <f>COUNTIFS(Outreach!$AC$3:$AC$2000,$A48,Outreach!$AF$3:$AF$2000,"Yes")</f>
        <v/>
      </c>
      <c r="E48" s="20">
        <f>COUNTIFS(Outreach!$AC$3:$AC$2000,$A48,Outreach!$AG$3:$AG$2000,"Yes")</f>
        <v/>
      </c>
      <c r="F48" s="20">
        <f>COUNTIFS(Outreach!$AC$3:$AC$2000,$A48,Outreach!$AH$3:$AH$2000,"Yes")</f>
        <v/>
      </c>
      <c r="G48" s="20">
        <f>COUNTIFS(Outreach!$AC$3:$AC$2000,$A48,Outreach!$AI$3:$AI$2000,"Yes")</f>
        <v/>
      </c>
    </row>
    <row r="49">
      <c r="A49" s="20" t="inlineStr">
        <is>
          <t>Walk-in</t>
        </is>
      </c>
      <c r="B49" s="20">
        <f>COUNTIFS(Outreach!$AC$3:$AC$2000,$A49,Outreach!$AD$3:$AD$2000,"&gt;0")</f>
        <v/>
      </c>
      <c r="C49" s="20">
        <f>COUNTIFS(Outreach!$AC$3:$AC$2000,$A49,Outreach!$AE$3:$AE$2000,"Yes")</f>
        <v/>
      </c>
      <c r="D49" s="20">
        <f>COUNTIFS(Outreach!$AC$3:$AC$2000,$A49,Outreach!$AF$3:$AF$2000,"Yes")</f>
        <v/>
      </c>
      <c r="E49" s="20">
        <f>COUNTIFS(Outreach!$AC$3:$AC$2000,$A49,Outreach!$AG$3:$AG$2000,"Yes")</f>
        <v/>
      </c>
      <c r="F49" s="20">
        <f>COUNTIFS(Outreach!$AC$3:$AC$2000,$A49,Outreach!$AH$3:$AH$2000,"Yes")</f>
        <v/>
      </c>
      <c r="G49" s="20">
        <f>COUNTIFS(Outreach!$AC$3:$AC$2000,$A49,Outreach!$AI$3:$AI$2000,"Yes")</f>
        <v/>
      </c>
    </row>
    <row r="50">
      <c r="A50" s="20" t="inlineStr">
        <is>
          <t>Other</t>
        </is>
      </c>
      <c r="B50" s="20">
        <f>COUNTIFS(Outreach!$AC$3:$AC$2000,$A50,Outreach!$AD$3:$AD$2000,"&gt;0")</f>
        <v/>
      </c>
      <c r="C50" s="20">
        <f>COUNTIFS(Outreach!$AC$3:$AC$2000,$A50,Outreach!$AE$3:$AE$2000,"Yes")</f>
        <v/>
      </c>
      <c r="D50" s="20">
        <f>COUNTIFS(Outreach!$AC$3:$AC$2000,$A50,Outreach!$AF$3:$AF$2000,"Yes")</f>
        <v/>
      </c>
      <c r="E50" s="20">
        <f>COUNTIFS(Outreach!$AC$3:$AC$2000,$A50,Outreach!$AG$3:$AG$2000,"Yes")</f>
        <v/>
      </c>
      <c r="F50" s="20">
        <f>COUNTIFS(Outreach!$AC$3:$AC$2000,$A50,Outreach!$AH$3:$AH$2000,"Yes")</f>
        <v/>
      </c>
      <c r="G50" s="20">
        <f>COUNTIFS(Outreach!$AC$3:$AC$2000,$A50,Outreach!$AI$3:$AI$2000,"Yes")</f>
        <v/>
      </c>
    </row>
    <row r="53">
      <c r="A53" s="21" t="inlineStr">
        <is>
          <t>Funnel by segment</t>
        </is>
      </c>
    </row>
    <row r="54">
      <c r="A54" s="37" t="inlineStr">
        <is>
          <t>Segment</t>
        </is>
      </c>
      <c r="B54" s="37" t="inlineStr">
        <is>
          <t>Contacted</t>
        </is>
      </c>
      <c r="C54" s="37" t="inlineStr">
        <is>
          <t>Replied</t>
        </is>
      </c>
      <c r="D54" s="37" t="inlineStr">
        <is>
          <t>Call booked</t>
        </is>
      </c>
      <c r="E54" s="37" t="inlineStr">
        <is>
          <t>Group created</t>
        </is>
      </c>
      <c r="F54" s="37" t="inlineStr">
        <is>
          <t>First game booked</t>
        </is>
      </c>
      <c r="G54" s="37" t="inlineStr">
        <is>
          <t>Second game booked</t>
        </is>
      </c>
    </row>
    <row r="55">
      <c r="A55" s="20" t="inlineStr">
        <is>
          <t>Office &amp; professional</t>
        </is>
      </c>
      <c r="B55" s="20">
        <f>COUNTIFS(Outreach!$C$3:$C$2000,$A55,Outreach!$AD$3:$AD$2000,"&gt;0")</f>
        <v/>
      </c>
      <c r="C55" s="20">
        <f>COUNTIFS(Outreach!$C$3:$C$2000,$A55,Outreach!$AE$3:$AE$2000,"Yes")</f>
        <v/>
      </c>
      <c r="D55" s="20">
        <f>COUNTIFS(Outreach!$C$3:$C$2000,$A55,Outreach!$AF$3:$AF$2000,"Yes")</f>
        <v/>
      </c>
      <c r="E55" s="20">
        <f>COUNTIFS(Outreach!$C$3:$C$2000,$A55,Outreach!$AG$3:$AG$2000,"Yes")</f>
        <v/>
      </c>
      <c r="F55" s="20">
        <f>COUNTIFS(Outreach!$C$3:$C$2000,$A55,Outreach!$AH$3:$AH$2000,"Yes")</f>
        <v/>
      </c>
      <c r="G55" s="20">
        <f>COUNTIFS(Outreach!$C$3:$C$2000,$A55,Outreach!$AI$3:$AI$2000,"Yes")</f>
        <v/>
      </c>
    </row>
    <row r="56">
      <c r="A56" s="20" t="inlineStr">
        <is>
          <t>Coworking / shared office</t>
        </is>
      </c>
      <c r="B56" s="20">
        <f>COUNTIFS(Outreach!$C$3:$C$2000,$A56,Outreach!$AD$3:$AD$2000,"&gt;0")</f>
        <v/>
      </c>
      <c r="C56" s="20">
        <f>COUNTIFS(Outreach!$C$3:$C$2000,$A56,Outreach!$AE$3:$AE$2000,"Yes")</f>
        <v/>
      </c>
      <c r="D56" s="20">
        <f>COUNTIFS(Outreach!$C$3:$C$2000,$A56,Outreach!$AF$3:$AF$2000,"Yes")</f>
        <v/>
      </c>
      <c r="E56" s="20">
        <f>COUNTIFS(Outreach!$C$3:$C$2000,$A56,Outreach!$AG$3:$AG$2000,"Yes")</f>
        <v/>
      </c>
      <c r="F56" s="20">
        <f>COUNTIFS(Outreach!$C$3:$C$2000,$A56,Outreach!$AH$3:$AH$2000,"Yes")</f>
        <v/>
      </c>
      <c r="G56" s="20">
        <f>COUNTIFS(Outreach!$C$3:$C$2000,$A56,Outreach!$AI$3:$AI$2000,"Yes")</f>
        <v/>
      </c>
    </row>
    <row r="57">
      <c r="A57" s="20" t="inlineStr">
        <is>
          <t>Hospitality</t>
        </is>
      </c>
      <c r="B57" s="20">
        <f>COUNTIFS(Outreach!$C$3:$C$2000,$A57,Outreach!$AD$3:$AD$2000,"&gt;0")</f>
        <v/>
      </c>
      <c r="C57" s="20">
        <f>COUNTIFS(Outreach!$C$3:$C$2000,$A57,Outreach!$AE$3:$AE$2000,"Yes")</f>
        <v/>
      </c>
      <c r="D57" s="20">
        <f>COUNTIFS(Outreach!$C$3:$C$2000,$A57,Outreach!$AF$3:$AF$2000,"Yes")</f>
        <v/>
      </c>
      <c r="E57" s="20">
        <f>COUNTIFS(Outreach!$C$3:$C$2000,$A57,Outreach!$AG$3:$AG$2000,"Yes")</f>
        <v/>
      </c>
      <c r="F57" s="20">
        <f>COUNTIFS(Outreach!$C$3:$C$2000,$A57,Outreach!$AH$3:$AH$2000,"Yes")</f>
        <v/>
      </c>
      <c r="G57" s="20">
        <f>COUNTIFS(Outreach!$C$3:$C$2000,$A57,Outreach!$AI$3:$AI$2000,"Yes")</f>
        <v/>
      </c>
    </row>
    <row r="58">
      <c r="A58" s="20" t="inlineStr">
        <is>
          <t>Education</t>
        </is>
      </c>
      <c r="B58" s="20">
        <f>COUNTIFS(Outreach!$C$3:$C$2000,$A58,Outreach!$AD$3:$AD$2000,"&gt;0")</f>
        <v/>
      </c>
      <c r="C58" s="20">
        <f>COUNTIFS(Outreach!$C$3:$C$2000,$A58,Outreach!$AE$3:$AE$2000,"Yes")</f>
        <v/>
      </c>
      <c r="D58" s="20">
        <f>COUNTIFS(Outreach!$C$3:$C$2000,$A58,Outreach!$AF$3:$AF$2000,"Yes")</f>
        <v/>
      </c>
      <c r="E58" s="20">
        <f>COUNTIFS(Outreach!$C$3:$C$2000,$A58,Outreach!$AG$3:$AG$2000,"Yes")</f>
        <v/>
      </c>
      <c r="F58" s="20">
        <f>COUNTIFS(Outreach!$C$3:$C$2000,$A58,Outreach!$AH$3:$AH$2000,"Yes")</f>
        <v/>
      </c>
      <c r="G58" s="20">
        <f>COUNTIFS(Outreach!$C$3:$C$2000,$A58,Outreach!$AI$3:$AI$2000,"Yes")</f>
        <v/>
      </c>
    </row>
    <row r="59">
      <c r="A59" s="20" t="inlineStr">
        <is>
          <t>Retail</t>
        </is>
      </c>
      <c r="B59" s="20">
        <f>COUNTIFS(Outreach!$C$3:$C$2000,$A59,Outreach!$AD$3:$AD$2000,"&gt;0")</f>
        <v/>
      </c>
      <c r="C59" s="20">
        <f>COUNTIFS(Outreach!$C$3:$C$2000,$A59,Outreach!$AE$3:$AE$2000,"Yes")</f>
        <v/>
      </c>
      <c r="D59" s="20">
        <f>COUNTIFS(Outreach!$C$3:$C$2000,$A59,Outreach!$AF$3:$AF$2000,"Yes")</f>
        <v/>
      </c>
      <c r="E59" s="20">
        <f>COUNTIFS(Outreach!$C$3:$C$2000,$A59,Outreach!$AG$3:$AG$2000,"Yes")</f>
        <v/>
      </c>
      <c r="F59" s="20">
        <f>COUNTIFS(Outreach!$C$3:$C$2000,$A59,Outreach!$AH$3:$AH$2000,"Yes")</f>
        <v/>
      </c>
      <c r="G59" s="20">
        <f>COUNTIFS(Outreach!$C$3:$C$2000,$A59,Outreach!$AI$3:$AI$2000,"Yes")</f>
        <v/>
      </c>
    </row>
    <row r="60">
      <c r="A60" s="20" t="inlineStr">
        <is>
          <t>Leisure &amp; culture</t>
        </is>
      </c>
      <c r="B60" s="20">
        <f>COUNTIFS(Outreach!$C$3:$C$2000,$A60,Outreach!$AD$3:$AD$2000,"&gt;0")</f>
        <v/>
      </c>
      <c r="C60" s="20">
        <f>COUNTIFS(Outreach!$C$3:$C$2000,$A60,Outreach!$AE$3:$AE$2000,"Yes")</f>
        <v/>
      </c>
      <c r="D60" s="20">
        <f>COUNTIFS(Outreach!$C$3:$C$2000,$A60,Outreach!$AF$3:$AF$2000,"Yes")</f>
        <v/>
      </c>
      <c r="E60" s="20">
        <f>COUNTIFS(Outreach!$C$3:$C$2000,$A60,Outreach!$AG$3:$AG$2000,"Yes")</f>
        <v/>
      </c>
      <c r="F60" s="20">
        <f>COUNTIFS(Outreach!$C$3:$C$2000,$A60,Outreach!$AH$3:$AH$2000,"Yes")</f>
        <v/>
      </c>
      <c r="G60" s="20">
        <f>COUNTIFS(Outreach!$C$3:$C$2000,$A60,Outreach!$AI$3:$AI$2000,"Yes")</f>
        <v/>
      </c>
    </row>
    <row r="61">
      <c r="A61" s="20" t="inlineStr">
        <is>
          <t>Health</t>
        </is>
      </c>
      <c r="B61" s="20">
        <f>COUNTIFS(Outreach!$C$3:$C$2000,$A61,Outreach!$AD$3:$AD$2000,"&gt;0")</f>
        <v/>
      </c>
      <c r="C61" s="20">
        <f>COUNTIFS(Outreach!$C$3:$C$2000,$A61,Outreach!$AE$3:$AE$2000,"Yes")</f>
        <v/>
      </c>
      <c r="D61" s="20">
        <f>COUNTIFS(Outreach!$C$3:$C$2000,$A61,Outreach!$AF$3:$AF$2000,"Yes")</f>
        <v/>
      </c>
      <c r="E61" s="20">
        <f>COUNTIFS(Outreach!$C$3:$C$2000,$A61,Outreach!$AG$3:$AG$2000,"Yes")</f>
        <v/>
      </c>
      <c r="F61" s="20">
        <f>COUNTIFS(Outreach!$C$3:$C$2000,$A61,Outreach!$AH$3:$AH$2000,"Yes")</f>
        <v/>
      </c>
      <c r="G61" s="20">
        <f>COUNTIFS(Outreach!$C$3:$C$2000,$A61,Outreach!$AI$3:$AI$2000,"Yes")</f>
        <v/>
      </c>
    </row>
    <row r="62">
      <c r="A62" s="20" t="inlineStr">
        <is>
          <t>Other</t>
        </is>
      </c>
      <c r="B62" s="20">
        <f>COUNTIFS(Outreach!$C$3:$C$2000,$A62,Outreach!$AD$3:$AD$2000,"&gt;0")</f>
        <v/>
      </c>
      <c r="C62" s="20">
        <f>COUNTIFS(Outreach!$C$3:$C$2000,$A62,Outreach!$AE$3:$AE$2000,"Yes")</f>
        <v/>
      </c>
      <c r="D62" s="20">
        <f>COUNTIFS(Outreach!$C$3:$C$2000,$A62,Outreach!$AF$3:$AF$2000,"Yes")</f>
        <v/>
      </c>
      <c r="E62" s="20">
        <f>COUNTIFS(Outreach!$C$3:$C$2000,$A62,Outreach!$AG$3:$AG$2000,"Yes")</f>
        <v/>
      </c>
      <c r="F62" s="20">
        <f>COUNTIFS(Outreach!$C$3:$C$2000,$A62,Outreach!$AH$3:$AH$2000,"Yes")</f>
        <v/>
      </c>
      <c r="G62" s="20">
        <f>COUNTIFS(Outreach!$C$3:$C$2000,$A62,Outreach!$AI$3:$AI$2000,"Yes")</f>
        <v/>
      </c>
    </row>
    <row r="65">
      <c r="A65" s="21" t="inlineStr">
        <is>
          <t>Open after-work slots by venue and weekday (28 Sep – 23 Oct)</t>
        </is>
      </c>
    </row>
    <row r="66">
      <c r="A66" s="37" t="inlineStr">
        <is>
          <t>Venue</t>
        </is>
      </c>
      <c r="B66" s="37" t="inlineStr">
        <is>
          <t>Mon</t>
        </is>
      </c>
      <c r="C66" s="37" t="inlineStr">
        <is>
          <t>Tue</t>
        </is>
      </c>
      <c r="D66" s="37" t="inlineStr">
        <is>
          <t>Wed</t>
        </is>
      </c>
      <c r="E66" s="37" t="inlineStr">
        <is>
          <t>Thu</t>
        </is>
      </c>
      <c r="F66" s="37" t="inlineStr">
        <is>
          <t>Fri</t>
        </is>
      </c>
      <c r="G66" s="37" t="inlineStr">
        <is>
          <t>Total</t>
        </is>
      </c>
    </row>
    <row r="67">
      <c r="A67" s="20" t="inlineStr">
        <is>
          <t>Haggerston Park</t>
        </is>
      </c>
      <c r="B67" s="20">
        <f>COUNTIFS(Slots!$A$2:$A$90,$A67,Slots!$C$2:$C$90,"Mon",Slots!$I$2:$I$90,"Available")</f>
        <v/>
      </c>
      <c r="C67" s="20">
        <f>COUNTIFS(Slots!$A$2:$A$90,$A67,Slots!$C$2:$C$90,"Tue",Slots!$I$2:$I$90,"Available")</f>
        <v/>
      </c>
      <c r="D67" s="20">
        <f>COUNTIFS(Slots!$A$2:$A$90,$A67,Slots!$C$2:$C$90,"Wed",Slots!$I$2:$I$90,"Available")</f>
        <v/>
      </c>
      <c r="E67" s="20">
        <f>COUNTIFS(Slots!$A$2:$A$90,$A67,Slots!$C$2:$C$90,"Thu",Slots!$I$2:$I$90,"Available")</f>
        <v/>
      </c>
      <c r="F67" s="20">
        <f>COUNTIFS(Slots!$A$2:$A$90,$A67,Slots!$C$2:$C$90,"Fri",Slots!$I$2:$I$90,"Available")</f>
        <v/>
      </c>
      <c r="G67" s="21">
        <f>SUM(B67:F67)</f>
        <v/>
      </c>
    </row>
    <row r="68">
      <c r="A68" s="20" t="inlineStr">
        <is>
          <t>Whitechapel</t>
        </is>
      </c>
      <c r="B68" s="20">
        <f>COUNTIFS(Slots!$A$2:$A$90,$A68,Slots!$C$2:$C$90,"Mon",Slots!$I$2:$I$90,"Available")</f>
        <v/>
      </c>
      <c r="C68" s="20">
        <f>COUNTIFS(Slots!$A$2:$A$90,$A68,Slots!$C$2:$C$90,"Tue",Slots!$I$2:$I$90,"Available")</f>
        <v/>
      </c>
      <c r="D68" s="20">
        <f>COUNTIFS(Slots!$A$2:$A$90,$A68,Slots!$C$2:$C$90,"Wed",Slots!$I$2:$I$90,"Available")</f>
        <v/>
      </c>
      <c r="E68" s="20">
        <f>COUNTIFS(Slots!$A$2:$A$90,$A68,Slots!$C$2:$C$90,"Thu",Slots!$I$2:$I$90,"Available")</f>
        <v/>
      </c>
      <c r="F68" s="20">
        <f>COUNTIFS(Slots!$A$2:$A$90,$A68,Slots!$C$2:$C$90,"Fri",Slots!$I$2:$I$90,"Available")</f>
        <v/>
      </c>
      <c r="G68" s="21">
        <f>SUM(B68:F68)</f>
        <v/>
      </c>
    </row>
    <row r="69">
      <c r="A69" s="20" t="inlineStr">
        <is>
          <t>Shoreditch Rooftop</t>
        </is>
      </c>
      <c r="B69" s="20">
        <f>COUNTIFS(Slots!$A$2:$A$90,$A69,Slots!$C$2:$C$90,"Mon",Slots!$I$2:$I$90,"Available")</f>
        <v/>
      </c>
      <c r="C69" s="20">
        <f>COUNTIFS(Slots!$A$2:$A$90,$A69,Slots!$C$2:$C$90,"Tue",Slots!$I$2:$I$90,"Available")</f>
        <v/>
      </c>
      <c r="D69" s="20">
        <f>COUNTIFS(Slots!$A$2:$A$90,$A69,Slots!$C$2:$C$90,"Wed",Slots!$I$2:$I$90,"Available")</f>
        <v/>
      </c>
      <c r="E69" s="20">
        <f>COUNTIFS(Slots!$A$2:$A$90,$A69,Slots!$C$2:$C$90,"Thu",Slots!$I$2:$I$90,"Available")</f>
        <v/>
      </c>
      <c r="F69" s="20">
        <f>COUNTIFS(Slots!$A$2:$A$90,$A69,Slots!$C$2:$C$90,"Fri",Slots!$I$2:$I$90,"Available")</f>
        <v/>
      </c>
      <c r="G69" s="21">
        <f>SUM(B69:F69)</f>
        <v/>
      </c>
    </row>
    <row r="70">
      <c r="A70" s="20" t="inlineStr">
        <is>
          <t>Rosemary Gardens 3G - Islington</t>
        </is>
      </c>
      <c r="B70" s="20">
        <f>COUNTIFS(Slots!$A$2:$A$90,$A70,Slots!$C$2:$C$90,"Mon",Slots!$I$2:$I$90,"Available")</f>
        <v/>
      </c>
      <c r="C70" s="20">
        <f>COUNTIFS(Slots!$A$2:$A$90,$A70,Slots!$C$2:$C$90,"Tue",Slots!$I$2:$I$90,"Available")</f>
        <v/>
      </c>
      <c r="D70" s="20">
        <f>COUNTIFS(Slots!$A$2:$A$90,$A70,Slots!$C$2:$C$90,"Wed",Slots!$I$2:$I$90,"Available")</f>
        <v/>
      </c>
      <c r="E70" s="20">
        <f>COUNTIFS(Slots!$A$2:$A$90,$A70,Slots!$C$2:$C$90,"Thu",Slots!$I$2:$I$90,"Available")</f>
        <v/>
      </c>
      <c r="F70" s="20">
        <f>COUNTIFS(Slots!$A$2:$A$90,$A70,Slots!$C$2:$C$90,"Fri",Slots!$I$2:$I$90,"Available")</f>
        <v/>
      </c>
      <c r="G70" s="21">
        <f>SUM(B70:F70)</f>
        <v/>
      </c>
    </row>
    <row r="71">
      <c r="A71" s="20" t="inlineStr">
        <is>
          <t>Stepney 3G</t>
        </is>
      </c>
      <c r="B71" s="20">
        <f>COUNTIFS(Slots!$A$2:$A$90,$A71,Slots!$C$2:$C$90,"Mon",Slots!$I$2:$I$90,"Available")</f>
        <v/>
      </c>
      <c r="C71" s="20">
        <f>COUNTIFS(Slots!$A$2:$A$90,$A71,Slots!$C$2:$C$90,"Tue",Slots!$I$2:$I$90,"Available")</f>
        <v/>
      </c>
      <c r="D71" s="20">
        <f>COUNTIFS(Slots!$A$2:$A$90,$A71,Slots!$C$2:$C$90,"Wed",Slots!$I$2:$I$90,"Available")</f>
        <v/>
      </c>
      <c r="E71" s="20">
        <f>COUNTIFS(Slots!$A$2:$A$90,$A71,Slots!$C$2:$C$90,"Thu",Slots!$I$2:$I$90,"Available")</f>
        <v/>
      </c>
      <c r="F71" s="20">
        <f>COUNTIFS(Slots!$A$2:$A$90,$A71,Slots!$C$2:$C$90,"Fri",Slots!$I$2:$I$90,"Available")</f>
        <v/>
      </c>
      <c r="G71" s="21">
        <f>SUM(B71:F71)</f>
        <v/>
      </c>
    </row>
    <row r="72">
      <c r="A72" s="20" t="inlineStr">
        <is>
          <t>Old St - Moreland Primary School</t>
        </is>
      </c>
      <c r="B72" s="20">
        <f>COUNTIFS(Slots!$A$2:$A$90,$A72,Slots!$C$2:$C$90,"Mon",Slots!$I$2:$I$90,"Available")</f>
        <v/>
      </c>
      <c r="C72" s="20">
        <f>COUNTIFS(Slots!$A$2:$A$90,$A72,Slots!$C$2:$C$90,"Tue",Slots!$I$2:$I$90,"Available")</f>
        <v/>
      </c>
      <c r="D72" s="20">
        <f>COUNTIFS(Slots!$A$2:$A$90,$A72,Slots!$C$2:$C$90,"Wed",Slots!$I$2:$I$90,"Available")</f>
        <v/>
      </c>
      <c r="E72" s="20">
        <f>COUNTIFS(Slots!$A$2:$A$90,$A72,Slots!$C$2:$C$90,"Thu",Slots!$I$2:$I$90,"Available")</f>
        <v/>
      </c>
      <c r="F72" s="20">
        <f>COUNTIFS(Slots!$A$2:$A$90,$A72,Slots!$C$2:$C$90,"Fri",Slots!$I$2:$I$90,"Available")</f>
        <v/>
      </c>
      <c r="G72" s="21">
        <f>SUM(B72:F72)</f>
        <v/>
      </c>
    </row>
    <row r="73">
      <c r="A73" s="20" t="inlineStr">
        <is>
          <t>Hackney</t>
        </is>
      </c>
      <c r="B73" s="20">
        <f>COUNTIFS(Slots!$A$2:$A$90,$A73,Slots!$C$2:$C$90,"Mon",Slots!$I$2:$I$90,"Available")</f>
        <v/>
      </c>
      <c r="C73" s="20">
        <f>COUNTIFS(Slots!$A$2:$A$90,$A73,Slots!$C$2:$C$90,"Tue",Slots!$I$2:$I$90,"Available")</f>
        <v/>
      </c>
      <c r="D73" s="20">
        <f>COUNTIFS(Slots!$A$2:$A$90,$A73,Slots!$C$2:$C$90,"Wed",Slots!$I$2:$I$90,"Available")</f>
        <v/>
      </c>
      <c r="E73" s="20">
        <f>COUNTIFS(Slots!$A$2:$A$90,$A73,Slots!$C$2:$C$90,"Thu",Slots!$I$2:$I$90,"Available")</f>
        <v/>
      </c>
      <c r="F73" s="20">
        <f>COUNTIFS(Slots!$A$2:$A$90,$A73,Slots!$C$2:$C$90,"Fri",Slots!$I$2:$I$90,"Available")</f>
        <v/>
      </c>
      <c r="G73" s="21">
        <f>SUM(B73:F73)</f>
        <v/>
      </c>
    </row>
    <row r="74">
      <c r="A74" s="20" t="inlineStr">
        <is>
          <t>COLA Shoreditch Park</t>
        </is>
      </c>
      <c r="B74" s="20">
        <f>COUNTIFS(Slots!$A$2:$A$90,$A74,Slots!$C$2:$C$90,"Mon",Slots!$I$2:$I$90,"Available")</f>
        <v/>
      </c>
      <c r="C74" s="20">
        <f>COUNTIFS(Slots!$A$2:$A$90,$A74,Slots!$C$2:$C$90,"Tue",Slots!$I$2:$I$90,"Available")</f>
        <v/>
      </c>
      <c r="D74" s="20">
        <f>COUNTIFS(Slots!$A$2:$A$90,$A74,Slots!$C$2:$C$90,"Wed",Slots!$I$2:$I$90,"Available")</f>
        <v/>
      </c>
      <c r="E74" s="20">
        <f>COUNTIFS(Slots!$A$2:$A$90,$A74,Slots!$C$2:$C$90,"Thu",Slots!$I$2:$I$90,"Available")</f>
        <v/>
      </c>
      <c r="F74" s="20">
        <f>COUNTIFS(Slots!$A$2:$A$90,$A74,Slots!$C$2:$C$90,"Fri",Slots!$I$2:$I$90,"Available")</f>
        <v/>
      </c>
      <c r="G74" s="21">
        <f>SUM(B74:F74)</f>
        <v/>
      </c>
    </row>
    <row r="75">
      <c r="A75" s="20" t="inlineStr">
        <is>
          <t>Market Road</t>
        </is>
      </c>
      <c r="B75" s="20">
        <f>COUNTIFS(Slots!$A$2:$A$90,$A75,Slots!$C$2:$C$90,"Mon",Slots!$I$2:$I$90,"Available")</f>
        <v/>
      </c>
      <c r="C75" s="20">
        <f>COUNTIFS(Slots!$A$2:$A$90,$A75,Slots!$C$2:$C$90,"Tue",Slots!$I$2:$I$90,"Available")</f>
        <v/>
      </c>
      <c r="D75" s="20">
        <f>COUNTIFS(Slots!$A$2:$A$90,$A75,Slots!$C$2:$C$90,"Wed",Slots!$I$2:$I$90,"Available")</f>
        <v/>
      </c>
      <c r="E75" s="20">
        <f>COUNTIFS(Slots!$A$2:$A$90,$A75,Slots!$C$2:$C$90,"Thu",Slots!$I$2:$I$90,"Available")</f>
        <v/>
      </c>
      <c r="F75" s="20">
        <f>COUNTIFS(Slots!$A$2:$A$90,$A75,Slots!$C$2:$C$90,"Fri",Slots!$I$2:$I$90,"Available")</f>
        <v/>
      </c>
      <c r="G75" s="21">
        <f>SUM(B75:F75)</f>
        <v/>
      </c>
    </row>
    <row r="76">
      <c r="A76" s="21" t="inlineStr">
        <is>
          <t>Total</t>
        </is>
      </c>
      <c r="B76" s="21">
        <f>SUM(B67:B75)</f>
        <v/>
      </c>
      <c r="C76" s="21">
        <f>SUM(C67:C75)</f>
        <v/>
      </c>
      <c r="D76" s="21">
        <f>SUM(D67:D75)</f>
        <v/>
      </c>
      <c r="E76" s="21">
        <f>SUM(E67:E75)</f>
        <v/>
      </c>
      <c r="F76" s="21">
        <f>SUM(F67:F75)</f>
        <v/>
      </c>
      <c r="G76" s="21">
        <f>SUM(G67:G75)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44" customWidth="1" min="10" max="10"/>
    <col width="34" customWidth="1" min="11" max="11"/>
  </cols>
  <sheetData>
    <row r="1">
      <c r="A1" s="19" t="inlineStr">
        <is>
          <t>FC Urban · London pilot · Haggerston Park</t>
        </is>
      </c>
    </row>
    <row r="2">
      <c r="A2" s="20" t="inlineStr">
        <is>
          <t>Goal: book a first game by leading with a specific pitch, time and price per player, and learn what makes organisers commit or hold back.</t>
        </is>
      </c>
    </row>
    <row r="3">
      <c r="A3" s="20" t="inlineStr"/>
    </row>
    <row r="4">
      <c r="A4" s="21" t="inlineStr">
        <is>
          <t>Tabs</t>
        </is>
      </c>
    </row>
    <row r="5">
      <c r="A5" s="20" t="inlineStr">
        <is>
          <t>Outreach — one row per organiser to contact (696). Everything needed to draft and log a message is on the row.</t>
        </is>
      </c>
    </row>
    <row r="6">
      <c r="A6" s="20" t="inlineStr">
        <is>
          <t>Pilot offer — the Haggerston Park slot and price. Fill the yellow cells; Outreach then leads with this slot on every row.</t>
        </is>
      </c>
    </row>
    <row r="7">
      <c r="A7" s="20" t="inlineStr">
        <is>
          <t>Venues — one row per nearby venue: open slots, earliest slot, cost per player, floodlights, who to call.</t>
        </is>
      </c>
    </row>
    <row r="8">
      <c r="A8" s="20" t="inlineStr">
        <is>
          <t>Slots — every open after-work slot found (weekdays 17:30–20:30 kick-off, 28 Sep – 23 Oct 2026).</t>
        </is>
      </c>
    </row>
    <row r="9">
      <c r="A9" s="20" t="inlineStr">
        <is>
          <t>Totals — leads by tier/segment, the outreach funnel (overall, by channel, by segment) and slots by weekday.</t>
        </is>
      </c>
    </row>
    <row r="10">
      <c r="A10" s="20" t="inlineStr"/>
    </row>
    <row r="11">
      <c r="A11" s="21" t="inlineStr">
        <is>
          <t>What to fill in (yellow)</t>
        </is>
      </c>
    </row>
    <row r="12">
      <c r="A12" s="20" t="inlineStr">
        <is>
          <t>Pilot offer: Date, Kick-off, Format, Hire cost (Luuk); Price per player and the commit point (Joep); booking deadline, cancellation terms, joining link.</t>
        </is>
      </c>
    </row>
    <row r="13">
      <c r="A13" s="20" t="inlineStr">
        <is>
          <t>Outreach › Tracking columns: Owner, Channel, Contacted on, then Yes/No per funnel stage. Objection only when they see us as a competitor — exact words.</t>
        </is>
      </c>
    </row>
    <row r="14">
      <c r="A14" s="20" t="inlineStr">
        <is>
          <t>Blue text = values typed in from a source. Green text = formulas; leave those alone.</t>
        </is>
      </c>
    </row>
    <row r="15">
      <c r="A15" s="20" t="inlineStr"/>
    </row>
    <row r="16">
      <c r="A16" s="21" t="inlineStr">
        <is>
          <t>Example of a logged row (Tracking columns only)</t>
        </is>
      </c>
    </row>
    <row r="17">
      <c r="A17" s="39" t="inlineStr">
        <is>
          <t>Owner</t>
        </is>
      </c>
      <c r="B17" s="39" t="inlineStr">
        <is>
          <t>Channel</t>
        </is>
      </c>
      <c r="C17" s="39" t="inlineStr">
        <is>
          <t>Contacted on</t>
        </is>
      </c>
      <c r="D17" s="39" t="inlineStr">
        <is>
          <t>Replied</t>
        </is>
      </c>
      <c r="E17" s="39" t="inlineStr">
        <is>
          <t>Call booked</t>
        </is>
      </c>
      <c r="F17" s="39" t="inlineStr">
        <is>
          <t>Group created</t>
        </is>
      </c>
      <c r="G17" s="39" t="inlineStr">
        <is>
          <t>First game booked</t>
        </is>
      </c>
      <c r="H17" s="39" t="inlineStr">
        <is>
          <t>Second game booked</t>
        </is>
      </c>
      <c r="I17" s="39" t="inlineStr">
        <is>
          <t>Sees us as competitor?</t>
        </is>
      </c>
      <c r="J17" s="39" t="inlineStr">
        <is>
          <t>Objection (exact words)</t>
        </is>
      </c>
      <c r="K17" s="39" t="inlineStr">
        <is>
          <t>Next step</t>
        </is>
      </c>
    </row>
    <row r="18">
      <c r="A18" s="40" t="inlineStr">
        <is>
          <t>Luuk</t>
        </is>
      </c>
      <c r="B18" s="40" t="inlineStr">
        <is>
          <t>Email</t>
        </is>
      </c>
      <c r="C18" s="56" t="n">
        <v>46294</v>
      </c>
      <c r="D18" s="40" t="inlineStr">
        <is>
          <t>Yes</t>
        </is>
      </c>
      <c r="E18" s="40" t="inlineStr">
        <is>
          <t>Yes</t>
        </is>
      </c>
      <c r="F18" s="40" t="inlineStr">
        <is>
          <t>No</t>
        </is>
      </c>
      <c r="G18" s="40" t="inlineStr">
        <is>
          <t>No</t>
        </is>
      </c>
      <c r="H18" s="40" t="inlineStr">
        <is>
          <t>No</t>
        </is>
      </c>
      <c r="I18" s="40" t="inlineStr">
        <is>
          <t>Yes</t>
        </is>
      </c>
      <c r="J18" s="40" t="inlineStr">
        <is>
          <t>"We already have a Thursday kickabout, I don't want players moving to your app"</t>
        </is>
      </c>
      <c r="K18" s="40" t="inlineStr">
        <is>
          <t>Call Tue 6 Oct 12:30, send pitch link</t>
        </is>
      </c>
    </row>
    <row r="20">
      <c r="A20" s="21" t="inlineStr">
        <is>
          <t>Rules used</t>
        </is>
      </c>
    </row>
    <row r="21">
      <c r="A21" s="20" t="inlineStr">
        <is>
          <t>Tier: 1 = E2 and E8 (closest to Yorkton St); 2 = N1 and EC2A; 3 = E1.</t>
        </is>
      </c>
    </row>
    <row r="22">
      <c r="A22" s="20" t="inlineStr">
        <is>
          <t>Segment: grouped from the Industry column — Office &amp; professional, Coworking / shared office, Hospitality, Education, Retail, Leisure &amp; culture, Health, Other.</t>
        </is>
      </c>
    </row>
    <row r="23">
      <c r="A23" s="20" t="inlineStr">
        <is>
          <t>Fallback venue: the lead’s tagged venue if it has bookable after-work slots; otherwise COLA Shoreditch Park (closest to Haggerston, most open slots).</t>
        </is>
      </c>
    </row>
    <row r="24">
      <c r="A24" s="20" t="inlineStr">
        <is>
          <t>Cost per player at cost: whole-pitch hire ÷ players on a full pitch (5-a-side = 10, 6 = 12, 7 = 14). This is the floor, not the price to charge.</t>
        </is>
      </c>
    </row>
    <row r="25">
      <c r="A25" s="20" t="inlineStr"/>
    </row>
    <row r="26">
      <c r="A26" s="21" t="inlineStr">
        <is>
          <t>Sources and caveats</t>
        </is>
      </c>
    </row>
    <row r="27">
      <c r="A27" s="20" t="inlineStr">
        <is>
          <t>Slots and contacts: Claude in Chrome check of each venue’s booking system, 24 Sep 2026. Leads: FC Urban London lead list, postcodes E1, E2, E8, N1, EC2A.</t>
        </is>
      </c>
    </row>
    <row r="28">
      <c r="A28" s="20" t="inlineStr">
        <is>
          <t>Better (GLL) venues release slots only 6 days ahead — Shoreditch Rooftop, Market Road and Rosemary Gardens will show more availability closer to the date.</t>
        </is>
      </c>
    </row>
    <row r="29">
      <c r="A29" s="20" t="inlineStr">
        <is>
          <t>Stepney 3G is run by BookMyPitch as pay-per-player games (£3–£5), not a pitch we hire — it does not fit the “our pitch, our price” offer.</t>
        </is>
      </c>
    </row>
    <row r="30">
      <c r="A30" s="20" t="inlineStr">
        <is>
          <t>Haggerston Park: no online calendar; Playfinder shows it fully booked. Floodlit per Playfinder and Hackney Council, but the fcurban.com page says no — confirm on the call.</t>
        </is>
      </c>
    </row>
    <row r="31">
      <c r="A31" s="20" t="inlineStr">
        <is>
          <t>Cancellation terms and booking deadlines were not published by any venue — ask on the call.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2026-09-24T09:32:19Z</dcterms:created>
  <dcterms:modified xsi:type="dcterms:W3CDTF">2026-09-24T09:32:22Z</dcterms:modified>
</cp:coreProperties>
</file>